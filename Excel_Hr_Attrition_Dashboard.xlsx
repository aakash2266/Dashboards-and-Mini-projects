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code\dashboards\"/>
    </mc:Choice>
  </mc:AlternateContent>
  <xr:revisionPtr revIDLastSave="0" documentId="13_ncr:1_{38276473-F1A7-4876-99A3-0E49285A2C3F}" xr6:coauthVersionLast="47" xr6:coauthVersionMax="47" xr10:uidLastSave="{00000000-0000-0000-0000-000000000000}"/>
  <bookViews>
    <workbookView xWindow="-120" yWindow="-120" windowWidth="29040" windowHeight="15720" xr2:uid="{00000000-000D-0000-FFFF-FFFF00000000}"/>
  </bookViews>
  <sheets>
    <sheet name="Dashboard_Overview" sheetId="2" r:id="rId1"/>
    <sheet name="Dashboard_Attrition" sheetId="3" r:id="rId2"/>
    <sheet name="Dashboard_Performance" sheetId="4" r:id="rId3"/>
    <sheet name="Dashboard_Compensation" sheetId="5" r:id="rId4"/>
    <sheet name="page 4" sheetId="12" r:id="rId5"/>
    <sheet name="Data" sheetId="9" r:id="rId6"/>
    <sheet name="page 1" sheetId="8" r:id="rId7"/>
    <sheet name="page 2" sheetId="10" r:id="rId8"/>
    <sheet name="page 3" sheetId="11" r:id="rId9"/>
  </sheets>
  <definedNames>
    <definedName name="Slicer_Attrition">#N/A</definedName>
    <definedName name="Slicer_Department">#N/A</definedName>
    <definedName name="Slicer_Gender">#N/A</definedName>
    <definedName name="Slicer_JobRol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 i="5" l="1"/>
  <c r="A46" i="5"/>
  <c r="A44" i="5"/>
  <c r="A54" i="4"/>
  <c r="A52" i="4"/>
  <c r="A50" i="4"/>
  <c r="A48" i="4"/>
  <c r="A46" i="4"/>
  <c r="B55" i="2"/>
  <c r="B53" i="2"/>
  <c r="A49" i="2"/>
  <c r="A55" i="2"/>
  <c r="A53" i="2"/>
  <c r="A51" i="2"/>
  <c r="A47" i="2"/>
  <c r="P11" i="10"/>
  <c r="P9" i="10"/>
  <c r="P7" i="10"/>
  <c r="P5" i="10"/>
  <c r="P3" i="10"/>
</calcChain>
</file>

<file path=xl/sharedStrings.xml><?xml version="1.0" encoding="utf-8"?>
<sst xmlns="http://schemas.openxmlformats.org/spreadsheetml/2006/main" count="14130" uniqueCount="51">
  <si>
    <t>EmployeeID</t>
  </si>
  <si>
    <t>Age</t>
  </si>
  <si>
    <t>Gender</t>
  </si>
  <si>
    <t>Department</t>
  </si>
  <si>
    <t>JobRole</t>
  </si>
  <si>
    <t>EducationLevel</t>
  </si>
  <si>
    <t>MaritalStatus</t>
  </si>
  <si>
    <t>MonthlyIncome</t>
  </si>
  <si>
    <t>Bonus</t>
  </si>
  <si>
    <t>YearsAtCompany</t>
  </si>
  <si>
    <t>YearsInCurrentRole</t>
  </si>
  <si>
    <t>PerformanceRating</t>
  </si>
  <si>
    <t>Overtime</t>
  </si>
  <si>
    <t>WorkLifeBalance</t>
  </si>
  <si>
    <t>DistanceFromHome</t>
  </si>
  <si>
    <t>TrainingHours</t>
  </si>
  <si>
    <t>JobSatisfaction</t>
  </si>
  <si>
    <t>EnvironmentSatisfaction</t>
  </si>
  <si>
    <t>Attrition</t>
  </si>
  <si>
    <t>Male</t>
  </si>
  <si>
    <t>IT</t>
  </si>
  <si>
    <t>Team Lead</t>
  </si>
  <si>
    <t>High School</t>
  </si>
  <si>
    <t>Divorced</t>
  </si>
  <si>
    <t>Yes</t>
  </si>
  <si>
    <t>No</t>
  </si>
  <si>
    <t>Operations</t>
  </si>
  <si>
    <t>Executive</t>
  </si>
  <si>
    <t>HR</t>
  </si>
  <si>
    <t>Manager</t>
  </si>
  <si>
    <t>Married</t>
  </si>
  <si>
    <t>Female</t>
  </si>
  <si>
    <t>Finance</t>
  </si>
  <si>
    <t>Analyst</t>
  </si>
  <si>
    <t>Marketing</t>
  </si>
  <si>
    <t>Master</t>
  </si>
  <si>
    <t>Senior Analyst</t>
  </si>
  <si>
    <t>PhD</t>
  </si>
  <si>
    <t>Single</t>
  </si>
  <si>
    <t>Bachelor</t>
  </si>
  <si>
    <t>Intern</t>
  </si>
  <si>
    <t>Sales</t>
  </si>
  <si>
    <t>Row Labels</t>
  </si>
  <si>
    <t>Grand Total</t>
  </si>
  <si>
    <t>Count of EmployeeID</t>
  </si>
  <si>
    <t>Average of JobSatisfaction</t>
  </si>
  <si>
    <t>Average of WorkLifeBalance</t>
  </si>
  <si>
    <t>Average of TrainingHours</t>
  </si>
  <si>
    <t>Average of MonthlyIncome</t>
  </si>
  <si>
    <t>Average of YearsAtCompany</t>
  </si>
  <si>
    <t>Count of Overtime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</si>
</sst>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5"/>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0" borderId="1" xfId="0" applyBorder="1"/>
    <xf numFmtId="2" fontId="0" fillId="0" borderId="0" xfId="0" applyNumberFormat="1"/>
    <xf numFmtId="164" fontId="0" fillId="0" borderId="0" xfId="0" applyNumberFormat="1"/>
    <xf numFmtId="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4">
    <dxf>
      <numFmt numFmtId="2" formatCode="0.00"/>
    </dxf>
    <dxf>
      <numFmt numFmtId="2" formatCode="0.00"/>
    </dxf>
    <dxf>
      <numFmt numFmtId="2" formatCode="0.00"/>
    </dxf>
    <dxf>
      <numFmt numFmtId="2" formatCode="0.00"/>
    </dxf>
  </dxfs>
  <tableStyles count="0" defaultTableStyle="TableStyleMedium9" defaultPivotStyle="PivotStyleLight16"/>
  <colors>
    <mruColors>
      <color rgb="FF2A8656"/>
      <color rgb="FF527A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1!Pivott 1.1</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'page 1'!$B$2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648-4457-9E88-6B44D78B668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648-4457-9E88-6B44D78B66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'page 1'!$A$3:$A$5</c:f>
              <c:strCache>
                <c:ptCount val="2"/>
                <c:pt idx="0">
                  <c:v>Female</c:v>
                </c:pt>
                <c:pt idx="1">
                  <c:v>Male</c:v>
                </c:pt>
              </c:strCache>
            </c:strRef>
          </c:cat>
          <c:val>
            <c:numRef>
              <c:f>'page 1'!$B$3:$B$5</c:f>
              <c:numCache>
                <c:formatCode>General</c:formatCode>
                <c:ptCount val="2"/>
                <c:pt idx="0">
                  <c:v>88</c:v>
                </c:pt>
                <c:pt idx="1">
                  <c:v>188</c:v>
                </c:pt>
              </c:numCache>
            </c:numRef>
          </c:val>
          <c:extLst>
            <c:ext xmlns:c16="http://schemas.microsoft.com/office/drawing/2014/chart" uri="{C3380CC4-5D6E-409C-BE32-E72D297353CC}">
              <c16:uniqueId val="{00000000-F6D5-4434-9149-EFFA2576A1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1!1.2</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Employees</a:t>
            </a:r>
            <a:r>
              <a:rPr lang="en-IN" baseline="0"/>
              <a:t> By Job Role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'page 1'!$B$20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4B3-4031-B567-67D35F62A1E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4B3-4031-B567-67D35F62A1E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4B3-4031-B567-67D35F62A1E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4B3-4031-B567-67D35F62A1E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4B3-4031-B567-67D35F62A1E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4B3-4031-B567-67D35F62A1EF}"/>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B3-4031-B567-67D35F62A1E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B3-4031-B567-67D35F62A1EF}"/>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B3-4031-B567-67D35F62A1EF}"/>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B3-4031-B567-67D35F62A1EF}"/>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B3-4031-B567-67D35F62A1EF}"/>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4B3-4031-B567-67D35F62A1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'page 1'!$A$21:$A$27</c:f>
              <c:strCache>
                <c:ptCount val="6"/>
                <c:pt idx="0">
                  <c:v>Analyst</c:v>
                </c:pt>
                <c:pt idx="1">
                  <c:v>Executive</c:v>
                </c:pt>
                <c:pt idx="2">
                  <c:v>Intern</c:v>
                </c:pt>
                <c:pt idx="3">
                  <c:v>Manager</c:v>
                </c:pt>
                <c:pt idx="4">
                  <c:v>Senior Analyst</c:v>
                </c:pt>
                <c:pt idx="5">
                  <c:v>Team Lead</c:v>
                </c:pt>
              </c:strCache>
            </c:strRef>
          </c:cat>
          <c:val>
            <c:numRef>
              <c:f>'page 1'!$B$21:$B$27</c:f>
              <c:numCache>
                <c:formatCode>General</c:formatCode>
                <c:ptCount val="6"/>
                <c:pt idx="0">
                  <c:v>89</c:v>
                </c:pt>
                <c:pt idx="1">
                  <c:v>63</c:v>
                </c:pt>
                <c:pt idx="2">
                  <c:v>22</c:v>
                </c:pt>
                <c:pt idx="3">
                  <c:v>10</c:v>
                </c:pt>
                <c:pt idx="4">
                  <c:v>63</c:v>
                </c:pt>
                <c:pt idx="5">
                  <c:v>29</c:v>
                </c:pt>
              </c:numCache>
            </c:numRef>
          </c:val>
          <c:extLst>
            <c:ext xmlns:c16="http://schemas.microsoft.com/office/drawing/2014/chart" uri="{C3380CC4-5D6E-409C-BE32-E72D297353CC}">
              <c16:uniqueId val="{00000000-40C7-4D30-8D5C-0C392F7A73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1!PivotTable7</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a:t>
            </a:r>
            <a:r>
              <a:rPr lang="en-US" baseline="0"/>
              <a:t> Education Level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'page 1'!$B$36</c:f>
              <c:strCache>
                <c:ptCount val="1"/>
                <c:pt idx="0">
                  <c:v>Total</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'page 1'!$A$37:$A$41</c:f>
              <c:strCache>
                <c:ptCount val="4"/>
                <c:pt idx="0">
                  <c:v>Bachelor</c:v>
                </c:pt>
                <c:pt idx="1">
                  <c:v>High School</c:v>
                </c:pt>
                <c:pt idx="2">
                  <c:v>Master</c:v>
                </c:pt>
                <c:pt idx="3">
                  <c:v>PhD</c:v>
                </c:pt>
              </c:strCache>
            </c:strRef>
          </c:cat>
          <c:val>
            <c:numRef>
              <c:f>'page 1'!$B$37:$B$41</c:f>
              <c:numCache>
                <c:formatCode>General</c:formatCode>
                <c:ptCount val="4"/>
                <c:pt idx="0">
                  <c:v>134</c:v>
                </c:pt>
                <c:pt idx="1">
                  <c:v>38</c:v>
                </c:pt>
                <c:pt idx="2">
                  <c:v>85</c:v>
                </c:pt>
                <c:pt idx="3">
                  <c:v>19</c:v>
                </c:pt>
              </c:numCache>
            </c:numRef>
          </c:val>
          <c:extLst>
            <c:ext xmlns:c16="http://schemas.microsoft.com/office/drawing/2014/chart" uri="{C3380CC4-5D6E-409C-BE32-E72D297353CC}">
              <c16:uniqueId val="{00000000-B387-4767-8FDF-3239DF10E6CD}"/>
            </c:ext>
          </c:extLst>
        </c:ser>
        <c:dLbls>
          <c:dLblPos val="ctr"/>
          <c:showLegendKey val="0"/>
          <c:showVal val="1"/>
          <c:showCatName val="0"/>
          <c:showSerName val="0"/>
          <c:showPercent val="0"/>
          <c:showBubbleSize val="0"/>
        </c:dLbls>
        <c:gapWidth val="150"/>
        <c:overlap val="100"/>
        <c:axId val="1352582976"/>
        <c:axId val="1352585856"/>
      </c:barChart>
      <c:catAx>
        <c:axId val="1352582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52585856"/>
        <c:crosses val="autoZero"/>
        <c:auto val="1"/>
        <c:lblAlgn val="ctr"/>
        <c:lblOffset val="100"/>
        <c:noMultiLvlLbl val="0"/>
      </c:catAx>
      <c:valAx>
        <c:axId val="13525858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58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1!PivotTable8</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Employees</a:t>
            </a:r>
            <a:r>
              <a:rPr lang="en-US" baseline="0"/>
              <a:t> in Each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'page 1'!$B$51</c:f>
              <c:strCache>
                <c:ptCount val="1"/>
                <c:pt idx="0">
                  <c:v>Total</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'page 1'!$A$52:$A$58</c:f>
              <c:strCache>
                <c:ptCount val="6"/>
                <c:pt idx="0">
                  <c:v>Finance</c:v>
                </c:pt>
                <c:pt idx="1">
                  <c:v>HR</c:v>
                </c:pt>
                <c:pt idx="2">
                  <c:v>IT</c:v>
                </c:pt>
                <c:pt idx="3">
                  <c:v>Marketing</c:v>
                </c:pt>
                <c:pt idx="4">
                  <c:v>Operations</c:v>
                </c:pt>
                <c:pt idx="5">
                  <c:v>Sales</c:v>
                </c:pt>
              </c:strCache>
            </c:strRef>
          </c:cat>
          <c:val>
            <c:numRef>
              <c:f>'page 1'!$B$52:$B$58</c:f>
              <c:numCache>
                <c:formatCode>General</c:formatCode>
                <c:ptCount val="6"/>
                <c:pt idx="0">
                  <c:v>20</c:v>
                </c:pt>
                <c:pt idx="1">
                  <c:v>23</c:v>
                </c:pt>
                <c:pt idx="2">
                  <c:v>69</c:v>
                </c:pt>
                <c:pt idx="3">
                  <c:v>32</c:v>
                </c:pt>
                <c:pt idx="4">
                  <c:v>44</c:v>
                </c:pt>
                <c:pt idx="5">
                  <c:v>88</c:v>
                </c:pt>
              </c:numCache>
            </c:numRef>
          </c:val>
          <c:extLst>
            <c:ext xmlns:c16="http://schemas.microsoft.com/office/drawing/2014/chart" uri="{C3380CC4-5D6E-409C-BE32-E72D297353CC}">
              <c16:uniqueId val="{00000000-8F64-4214-A2A7-C664A3A9BC67}"/>
            </c:ext>
          </c:extLst>
        </c:ser>
        <c:dLbls>
          <c:dLblPos val="ctr"/>
          <c:showLegendKey val="0"/>
          <c:showVal val="1"/>
          <c:showCatName val="0"/>
          <c:showSerName val="0"/>
          <c:showPercent val="0"/>
          <c:showBubbleSize val="0"/>
        </c:dLbls>
        <c:gapWidth val="150"/>
        <c:overlap val="100"/>
        <c:axId val="1352565216"/>
        <c:axId val="1352577696"/>
      </c:barChart>
      <c:catAx>
        <c:axId val="1352565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577696"/>
        <c:crosses val="autoZero"/>
        <c:auto val="1"/>
        <c:lblAlgn val="ctr"/>
        <c:lblOffset val="100"/>
        <c:noMultiLvlLbl val="0"/>
      </c:catAx>
      <c:valAx>
        <c:axId val="13525776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5256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2!PivotTable1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'page 2'!$B$3</c:f>
              <c:strCache>
                <c:ptCount val="1"/>
                <c:pt idx="0">
                  <c:v>Total</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'page 2'!$A$4:$A$10</c:f>
              <c:strCache>
                <c:ptCount val="6"/>
                <c:pt idx="0">
                  <c:v>Analyst</c:v>
                </c:pt>
                <c:pt idx="1">
                  <c:v>Executive</c:v>
                </c:pt>
                <c:pt idx="2">
                  <c:v>Intern</c:v>
                </c:pt>
                <c:pt idx="3">
                  <c:v>Manager</c:v>
                </c:pt>
                <c:pt idx="4">
                  <c:v>Senior Analyst</c:v>
                </c:pt>
                <c:pt idx="5">
                  <c:v>Team Lead</c:v>
                </c:pt>
              </c:strCache>
            </c:strRef>
          </c:cat>
          <c:val>
            <c:numRef>
              <c:f>'page 2'!$B$4:$B$10</c:f>
              <c:numCache>
                <c:formatCode>General</c:formatCode>
                <c:ptCount val="6"/>
                <c:pt idx="0">
                  <c:v>89</c:v>
                </c:pt>
                <c:pt idx="1">
                  <c:v>63</c:v>
                </c:pt>
                <c:pt idx="2">
                  <c:v>22</c:v>
                </c:pt>
                <c:pt idx="3">
                  <c:v>10</c:v>
                </c:pt>
                <c:pt idx="4">
                  <c:v>63</c:v>
                </c:pt>
                <c:pt idx="5">
                  <c:v>29</c:v>
                </c:pt>
              </c:numCache>
            </c:numRef>
          </c:val>
          <c:extLst>
            <c:ext xmlns:c16="http://schemas.microsoft.com/office/drawing/2014/chart" uri="{C3380CC4-5D6E-409C-BE32-E72D297353CC}">
              <c16:uniqueId val="{00000000-75A6-4778-874F-CB665F685D48}"/>
            </c:ext>
          </c:extLst>
        </c:ser>
        <c:dLbls>
          <c:showLegendKey val="0"/>
          <c:showVal val="0"/>
          <c:showCatName val="0"/>
          <c:showSerName val="0"/>
          <c:showPercent val="0"/>
          <c:showBubbleSize val="0"/>
        </c:dLbls>
        <c:gapWidth val="100"/>
        <c:overlap val="-24"/>
        <c:axId val="1044075888"/>
        <c:axId val="1044060048"/>
      </c:barChart>
      <c:catAx>
        <c:axId val="1044075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44060048"/>
        <c:crosses val="autoZero"/>
        <c:auto val="1"/>
        <c:lblAlgn val="ctr"/>
        <c:lblOffset val="100"/>
        <c:noMultiLvlLbl val="0"/>
      </c:catAx>
      <c:valAx>
        <c:axId val="1044060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4407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2!PivotTable2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rgbClr val="00B0F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'page 2'!$B$24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rgbClr val="00B0F0"/>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'page 2'!$A$25:$A$31</c:f>
              <c:strCache>
                <c:ptCount val="6"/>
                <c:pt idx="0">
                  <c:v>Finance</c:v>
                </c:pt>
                <c:pt idx="1">
                  <c:v>HR</c:v>
                </c:pt>
                <c:pt idx="2">
                  <c:v>IT</c:v>
                </c:pt>
                <c:pt idx="3">
                  <c:v>Marketing</c:v>
                </c:pt>
                <c:pt idx="4">
                  <c:v>Operations</c:v>
                </c:pt>
                <c:pt idx="5">
                  <c:v>Sales</c:v>
                </c:pt>
              </c:strCache>
            </c:strRef>
          </c:cat>
          <c:val>
            <c:numRef>
              <c:f>'page 2'!$B$25:$B$31</c:f>
              <c:numCache>
                <c:formatCode>General</c:formatCode>
                <c:ptCount val="6"/>
                <c:pt idx="0">
                  <c:v>20</c:v>
                </c:pt>
                <c:pt idx="1">
                  <c:v>23</c:v>
                </c:pt>
                <c:pt idx="2">
                  <c:v>69</c:v>
                </c:pt>
                <c:pt idx="3">
                  <c:v>32</c:v>
                </c:pt>
                <c:pt idx="4">
                  <c:v>44</c:v>
                </c:pt>
                <c:pt idx="5">
                  <c:v>88</c:v>
                </c:pt>
              </c:numCache>
            </c:numRef>
          </c:val>
          <c:smooth val="0"/>
          <c:extLst>
            <c:ext xmlns:c16="http://schemas.microsoft.com/office/drawing/2014/chart" uri="{C3380CC4-5D6E-409C-BE32-E72D297353CC}">
              <c16:uniqueId val="{00000000-9500-4AA4-AAE3-1ACF9EA67857}"/>
            </c:ext>
          </c:extLst>
        </c:ser>
        <c:dLbls>
          <c:showLegendKey val="0"/>
          <c:showVal val="0"/>
          <c:showCatName val="0"/>
          <c:showSerName val="0"/>
          <c:showPercent val="0"/>
          <c:showBubbleSize val="0"/>
        </c:dLbls>
        <c:marker val="1"/>
        <c:smooth val="0"/>
        <c:axId val="1044047088"/>
        <c:axId val="1044073008"/>
      </c:lineChart>
      <c:catAx>
        <c:axId val="10440470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44073008"/>
        <c:crosses val="autoZero"/>
        <c:auto val="1"/>
        <c:lblAlgn val="ctr"/>
        <c:lblOffset val="100"/>
        <c:noMultiLvlLbl val="0"/>
      </c:catAx>
      <c:valAx>
        <c:axId val="1044073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4404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2!PivotTable4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Employee Vs Job Satisfaction</a:t>
            </a:r>
          </a:p>
        </c:rich>
      </c:tx>
      <c:layout>
        <c:manualLayout>
          <c:xMode val="edge"/>
          <c:yMode val="edge"/>
          <c:x val="0.25619146290924161"/>
          <c:y val="3.41880341880341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'page 2'!$B$38</c:f>
              <c:strCache>
                <c:ptCount val="1"/>
                <c:pt idx="0">
                  <c:v>Total</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'page 2'!$A$39:$A$43</c:f>
              <c:strCache>
                <c:ptCount val="4"/>
                <c:pt idx="0">
                  <c:v>1</c:v>
                </c:pt>
                <c:pt idx="1">
                  <c:v>2</c:v>
                </c:pt>
                <c:pt idx="2">
                  <c:v>3</c:v>
                </c:pt>
                <c:pt idx="3">
                  <c:v>4</c:v>
                </c:pt>
              </c:strCache>
            </c:strRef>
          </c:cat>
          <c:val>
            <c:numRef>
              <c:f>'page 2'!$B$39:$B$43</c:f>
              <c:numCache>
                <c:formatCode>General</c:formatCode>
                <c:ptCount val="4"/>
                <c:pt idx="0">
                  <c:v>121</c:v>
                </c:pt>
                <c:pt idx="1">
                  <c:v>66</c:v>
                </c:pt>
                <c:pt idx="2">
                  <c:v>64</c:v>
                </c:pt>
                <c:pt idx="3">
                  <c:v>25</c:v>
                </c:pt>
              </c:numCache>
            </c:numRef>
          </c:val>
          <c:extLst>
            <c:ext xmlns:c16="http://schemas.microsoft.com/office/drawing/2014/chart" uri="{C3380CC4-5D6E-409C-BE32-E72D297353CC}">
              <c16:uniqueId val="{00000000-DE49-45E8-9034-5D9623ABE518}"/>
            </c:ext>
          </c:extLst>
        </c:ser>
        <c:dLbls>
          <c:showLegendKey val="0"/>
          <c:showVal val="0"/>
          <c:showCatName val="0"/>
          <c:showSerName val="0"/>
          <c:showPercent val="0"/>
          <c:showBubbleSize val="0"/>
        </c:dLbls>
        <c:gapWidth val="100"/>
        <c:axId val="1044056688"/>
        <c:axId val="1044057168"/>
      </c:barChart>
      <c:catAx>
        <c:axId val="1044056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057168"/>
        <c:crosses val="autoZero"/>
        <c:auto val="1"/>
        <c:lblAlgn val="ctr"/>
        <c:lblOffset val="100"/>
        <c:noMultiLvlLbl val="0"/>
      </c:catAx>
      <c:valAx>
        <c:axId val="10440571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05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3!PivotTable5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a:t>
            </a:r>
            <a:r>
              <a:rPr lang="en-IN"/>
              <a:t>satisfaction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84301911653757"/>
          <c:y val="0.23584978629263698"/>
          <c:w val="0.5711124570967091"/>
          <c:h val="0.59900117580843792"/>
        </c:manualLayout>
      </c:layout>
      <c:radarChart>
        <c:radarStyle val="marker"/>
        <c:varyColors val="0"/>
        <c:ser>
          <c:idx val="0"/>
          <c:order val="0"/>
          <c:tx>
            <c:strRef>
              <c:f>'page 3'!$C$6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'page 3'!$B$7:$B$13</c:f>
              <c:strCache>
                <c:ptCount val="6"/>
                <c:pt idx="0">
                  <c:v>Finance</c:v>
                </c:pt>
                <c:pt idx="1">
                  <c:v>HR</c:v>
                </c:pt>
                <c:pt idx="2">
                  <c:v>IT</c:v>
                </c:pt>
                <c:pt idx="3">
                  <c:v>Marketing</c:v>
                </c:pt>
                <c:pt idx="4">
                  <c:v>Operations</c:v>
                </c:pt>
                <c:pt idx="5">
                  <c:v>Sales</c:v>
                </c:pt>
              </c:strCache>
            </c:strRef>
          </c:cat>
          <c:val>
            <c:numRef>
              <c:f>'page 3'!$C$7:$C$13</c:f>
              <c:numCache>
                <c:formatCode>0.00</c:formatCode>
                <c:ptCount val="6"/>
                <c:pt idx="0">
                  <c:v>2.8317307692307692</c:v>
                </c:pt>
                <c:pt idx="1">
                  <c:v>2.782178217821782</c:v>
                </c:pt>
                <c:pt idx="2">
                  <c:v>2.8314447592067991</c:v>
                </c:pt>
                <c:pt idx="3">
                  <c:v>2.8720930232558142</c:v>
                </c:pt>
                <c:pt idx="4">
                  <c:v>2.7571428571428571</c:v>
                </c:pt>
                <c:pt idx="5">
                  <c:v>2.7307692307692308</c:v>
                </c:pt>
              </c:numCache>
            </c:numRef>
          </c:val>
          <c:extLst>
            <c:ext xmlns:c16="http://schemas.microsoft.com/office/drawing/2014/chart" uri="{C3380CC4-5D6E-409C-BE32-E72D297353CC}">
              <c16:uniqueId val="{00000000-4D38-4FE0-A9D1-2ABEA0C19757}"/>
            </c:ext>
          </c:extLst>
        </c:ser>
        <c:dLbls>
          <c:showLegendKey val="0"/>
          <c:showVal val="0"/>
          <c:showCatName val="0"/>
          <c:showSerName val="0"/>
          <c:showPercent val="0"/>
          <c:showBubbleSize val="0"/>
        </c:dLbls>
        <c:axId val="1282463888"/>
        <c:axId val="1282464368"/>
      </c:radarChart>
      <c:catAx>
        <c:axId val="128246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464368"/>
        <c:crosses val="autoZero"/>
        <c:auto val="1"/>
        <c:lblAlgn val="ctr"/>
        <c:lblOffset val="100"/>
        <c:noMultiLvlLbl val="0"/>
      </c:catAx>
      <c:valAx>
        <c:axId val="1282464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46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3!PivotTable6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WorkLife Balance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'page 3'!$C$26</c:f>
              <c:strCache>
                <c:ptCount val="1"/>
                <c:pt idx="0">
                  <c:v>Total</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'page 3'!$B$27:$B$33</c:f>
              <c:strCache>
                <c:ptCount val="6"/>
                <c:pt idx="0">
                  <c:v>Analyst</c:v>
                </c:pt>
                <c:pt idx="1">
                  <c:v>Executive</c:v>
                </c:pt>
                <c:pt idx="2">
                  <c:v>Intern</c:v>
                </c:pt>
                <c:pt idx="3">
                  <c:v>Manager</c:v>
                </c:pt>
                <c:pt idx="4">
                  <c:v>Senior Analyst</c:v>
                </c:pt>
                <c:pt idx="5">
                  <c:v>Team Lead</c:v>
                </c:pt>
              </c:strCache>
            </c:strRef>
          </c:cat>
          <c:val>
            <c:numRef>
              <c:f>'page 3'!$C$27:$C$33</c:f>
              <c:numCache>
                <c:formatCode>General</c:formatCode>
                <c:ptCount val="6"/>
                <c:pt idx="0">
                  <c:v>2.8510638297872339</c:v>
                </c:pt>
                <c:pt idx="1">
                  <c:v>2.7805486284289276</c:v>
                </c:pt>
                <c:pt idx="2">
                  <c:v>2.7924528301886791</c:v>
                </c:pt>
                <c:pt idx="3">
                  <c:v>2.7311827956989245</c:v>
                </c:pt>
                <c:pt idx="4">
                  <c:v>2.8190127970749543</c:v>
                </c:pt>
                <c:pt idx="5">
                  <c:v>2.8008474576271185</c:v>
                </c:pt>
              </c:numCache>
            </c:numRef>
          </c:val>
          <c:extLst>
            <c:ext xmlns:c16="http://schemas.microsoft.com/office/drawing/2014/chart" uri="{C3380CC4-5D6E-409C-BE32-E72D297353CC}">
              <c16:uniqueId val="{00000000-7485-4C85-97E6-A6EBE9B4D1B1}"/>
            </c:ext>
          </c:extLst>
        </c:ser>
        <c:dLbls>
          <c:showLegendKey val="0"/>
          <c:showVal val="0"/>
          <c:showCatName val="0"/>
          <c:showSerName val="0"/>
          <c:showPercent val="0"/>
          <c:showBubbleSize val="0"/>
        </c:dLbls>
        <c:axId val="484334752"/>
        <c:axId val="960154608"/>
      </c:areaChart>
      <c:catAx>
        <c:axId val="4843347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60154608"/>
        <c:crosses val="autoZero"/>
        <c:auto val="1"/>
        <c:lblAlgn val="ctr"/>
        <c:lblOffset val="100"/>
        <c:noMultiLvlLbl val="0"/>
      </c:catAx>
      <c:valAx>
        <c:axId val="960154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84334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3!PivotTable7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Training Hours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'page 3'!$C$46</c:f>
              <c:strCache>
                <c:ptCount val="1"/>
                <c:pt idx="0">
                  <c:v>Total</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'page 3'!$B$47:$B$53</c:f>
              <c:strCache>
                <c:ptCount val="6"/>
                <c:pt idx="0">
                  <c:v>Analyst</c:v>
                </c:pt>
                <c:pt idx="1">
                  <c:v>Executive</c:v>
                </c:pt>
                <c:pt idx="2">
                  <c:v>Intern</c:v>
                </c:pt>
                <c:pt idx="3">
                  <c:v>Manager</c:v>
                </c:pt>
                <c:pt idx="4">
                  <c:v>Senior Analyst</c:v>
                </c:pt>
                <c:pt idx="5">
                  <c:v>Team Lead</c:v>
                </c:pt>
              </c:strCache>
            </c:strRef>
          </c:cat>
          <c:val>
            <c:numRef>
              <c:f>'page 3'!$C$47:$C$53</c:f>
              <c:numCache>
                <c:formatCode>General</c:formatCode>
                <c:ptCount val="6"/>
                <c:pt idx="0">
                  <c:v>31.696808510638299</c:v>
                </c:pt>
                <c:pt idx="1">
                  <c:v>32.835411471321699</c:v>
                </c:pt>
                <c:pt idx="2">
                  <c:v>31.062893081761008</c:v>
                </c:pt>
                <c:pt idx="3">
                  <c:v>31.86021505376344</c:v>
                </c:pt>
                <c:pt idx="4">
                  <c:v>31.819012797074954</c:v>
                </c:pt>
                <c:pt idx="5">
                  <c:v>32.682203389830505</c:v>
                </c:pt>
              </c:numCache>
            </c:numRef>
          </c:val>
          <c:extLst>
            <c:ext xmlns:c16="http://schemas.microsoft.com/office/drawing/2014/chart" uri="{C3380CC4-5D6E-409C-BE32-E72D297353CC}">
              <c16:uniqueId val="{00000000-5319-498D-B2FC-3FAC9E718C29}"/>
            </c:ext>
          </c:extLst>
        </c:ser>
        <c:dLbls>
          <c:showLegendKey val="0"/>
          <c:showVal val="0"/>
          <c:showCatName val="0"/>
          <c:showSerName val="0"/>
          <c:showPercent val="0"/>
          <c:showBubbleSize val="0"/>
        </c:dLbls>
        <c:gapWidth val="150"/>
        <c:overlap val="100"/>
        <c:axId val="1035991568"/>
        <c:axId val="1034320896"/>
      </c:barChart>
      <c:catAx>
        <c:axId val="1035991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4320896"/>
        <c:crosses val="autoZero"/>
        <c:auto val="1"/>
        <c:lblAlgn val="ctr"/>
        <c:lblOffset val="100"/>
        <c:noMultiLvlLbl val="0"/>
      </c:catAx>
      <c:valAx>
        <c:axId val="1034320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359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4!PivotTable1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Monthly Income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'page 4'!$B$3</c:f>
              <c:strCache>
                <c:ptCount val="1"/>
                <c:pt idx="0">
                  <c:v>Total</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'page 4'!$A$4:$A$10</c:f>
              <c:strCache>
                <c:ptCount val="6"/>
                <c:pt idx="0">
                  <c:v>Analyst</c:v>
                </c:pt>
                <c:pt idx="1">
                  <c:v>Executive</c:v>
                </c:pt>
                <c:pt idx="2">
                  <c:v>Intern</c:v>
                </c:pt>
                <c:pt idx="3">
                  <c:v>Manager</c:v>
                </c:pt>
                <c:pt idx="4">
                  <c:v>Senior Analyst</c:v>
                </c:pt>
                <c:pt idx="5">
                  <c:v>Team Lead</c:v>
                </c:pt>
              </c:strCache>
            </c:strRef>
          </c:cat>
          <c:val>
            <c:numRef>
              <c:f>'page 4'!$B$4:$B$10</c:f>
              <c:numCache>
                <c:formatCode>General</c:formatCode>
                <c:ptCount val="6"/>
                <c:pt idx="0">
                  <c:v>35035.012411347518</c:v>
                </c:pt>
                <c:pt idx="1">
                  <c:v>74141.930174563589</c:v>
                </c:pt>
                <c:pt idx="2">
                  <c:v>14991.031446540881</c:v>
                </c:pt>
                <c:pt idx="3">
                  <c:v>151516.48387096773</c:v>
                </c:pt>
                <c:pt idx="4">
                  <c:v>57198.274223034736</c:v>
                </c:pt>
                <c:pt idx="5">
                  <c:v>109792.46186440678</c:v>
                </c:pt>
              </c:numCache>
            </c:numRef>
          </c:val>
          <c:extLst>
            <c:ext xmlns:c16="http://schemas.microsoft.com/office/drawing/2014/chart" uri="{C3380CC4-5D6E-409C-BE32-E72D297353CC}">
              <c16:uniqueId val="{00000000-3959-4BB0-AF19-23DD337C6CBB}"/>
            </c:ext>
          </c:extLst>
        </c:ser>
        <c:dLbls>
          <c:showLegendKey val="0"/>
          <c:showVal val="0"/>
          <c:showCatName val="0"/>
          <c:showSerName val="0"/>
          <c:showPercent val="0"/>
          <c:showBubbleSize val="0"/>
        </c:dLbls>
        <c:gapWidth val="150"/>
        <c:overlap val="100"/>
        <c:axId val="731381488"/>
        <c:axId val="731362288"/>
      </c:barChart>
      <c:catAx>
        <c:axId val="731381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31362288"/>
        <c:crosses val="autoZero"/>
        <c:auto val="1"/>
        <c:lblAlgn val="ctr"/>
        <c:lblOffset val="100"/>
        <c:noMultiLvlLbl val="0"/>
      </c:catAx>
      <c:valAx>
        <c:axId val="731362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3138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4!PivotTable2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Years at Company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rgbClr val="00B0F0"/>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'page 4'!$B$20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rgbClr val="00B0F0"/>
              </a:solidFill>
              <a:ln>
                <a:noFill/>
              </a:ln>
              <a:effectLst>
                <a:glow rad="63500">
                  <a:schemeClr val="accent1">
                    <a:satMod val="175000"/>
                    <a:alpha val="25000"/>
                  </a:schemeClr>
                </a:glow>
              </a:effectLst>
            </c:spPr>
          </c:marker>
          <c:cat>
            <c:strRef>
              <c:f>'page 4'!$A$21:$A$27</c:f>
              <c:strCache>
                <c:ptCount val="6"/>
                <c:pt idx="0">
                  <c:v>Finance</c:v>
                </c:pt>
                <c:pt idx="1">
                  <c:v>HR</c:v>
                </c:pt>
                <c:pt idx="2">
                  <c:v>IT</c:v>
                </c:pt>
                <c:pt idx="3">
                  <c:v>Marketing</c:v>
                </c:pt>
                <c:pt idx="4">
                  <c:v>Operations</c:v>
                </c:pt>
                <c:pt idx="5">
                  <c:v>Sales</c:v>
                </c:pt>
              </c:strCache>
            </c:strRef>
          </c:cat>
          <c:val>
            <c:numRef>
              <c:f>'page 4'!$B$21:$B$27</c:f>
              <c:numCache>
                <c:formatCode>General</c:formatCode>
                <c:ptCount val="6"/>
                <c:pt idx="0">
                  <c:v>12.514423076923077</c:v>
                </c:pt>
                <c:pt idx="1">
                  <c:v>11.737623762376238</c:v>
                </c:pt>
                <c:pt idx="2">
                  <c:v>12.233711048158641</c:v>
                </c:pt>
                <c:pt idx="3">
                  <c:v>11.232558139534884</c:v>
                </c:pt>
                <c:pt idx="4">
                  <c:v>11.647619047619047</c:v>
                </c:pt>
                <c:pt idx="5">
                  <c:v>12.48076923076923</c:v>
                </c:pt>
              </c:numCache>
            </c:numRef>
          </c:val>
          <c:smooth val="0"/>
          <c:extLst>
            <c:ext xmlns:c16="http://schemas.microsoft.com/office/drawing/2014/chart" uri="{C3380CC4-5D6E-409C-BE32-E72D297353CC}">
              <c16:uniqueId val="{00000000-A8E9-4ABD-BE48-38F5C600BC6C}"/>
            </c:ext>
          </c:extLst>
        </c:ser>
        <c:dLbls>
          <c:showLegendKey val="0"/>
          <c:showVal val="0"/>
          <c:showCatName val="0"/>
          <c:showSerName val="0"/>
          <c:showPercent val="0"/>
          <c:showBubbleSize val="0"/>
        </c:dLbls>
        <c:marker val="1"/>
        <c:smooth val="0"/>
        <c:axId val="666031760"/>
        <c:axId val="666046160"/>
      </c:lineChart>
      <c:catAx>
        <c:axId val="666031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66046160"/>
        <c:crosses val="autoZero"/>
        <c:auto val="1"/>
        <c:lblAlgn val="ctr"/>
        <c:lblOffset val="100"/>
        <c:noMultiLvlLbl val="0"/>
      </c:catAx>
      <c:valAx>
        <c:axId val="6660461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6603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4!PivotTable3</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4593715908968175"/>
          <c:y val="0.18225085500676055"/>
          <c:w val="0.34740762342978732"/>
          <c:h val="0.73090954539773434"/>
        </c:manualLayout>
      </c:layout>
      <c:pieChart>
        <c:varyColors val="1"/>
        <c:ser>
          <c:idx val="0"/>
          <c:order val="0"/>
          <c:tx>
            <c:strRef>
              <c:f>'page 4'!$B$36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2F5-4383-B87F-DAC7ECDB324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2F5-4383-B87F-DAC7ECDB324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2F5-4383-B87F-DAC7ECDB324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2F5-4383-B87F-DAC7ECDB324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2F5-4383-B87F-DAC7ECDB324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62F5-4383-B87F-DAC7ECDB32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'page 4'!$A$37:$A$43</c:f>
              <c:strCache>
                <c:ptCount val="6"/>
                <c:pt idx="0">
                  <c:v>Finance</c:v>
                </c:pt>
                <c:pt idx="1">
                  <c:v>HR</c:v>
                </c:pt>
                <c:pt idx="2">
                  <c:v>IT</c:v>
                </c:pt>
                <c:pt idx="3">
                  <c:v>Marketing</c:v>
                </c:pt>
                <c:pt idx="4">
                  <c:v>Operations</c:v>
                </c:pt>
                <c:pt idx="5">
                  <c:v>Sales</c:v>
                </c:pt>
              </c:strCache>
            </c:strRef>
          </c:cat>
          <c:val>
            <c:numRef>
              <c:f>'page 4'!$B$37:$B$43</c:f>
              <c:numCache>
                <c:formatCode>General</c:formatCode>
                <c:ptCount val="6"/>
                <c:pt idx="0">
                  <c:v>208</c:v>
                </c:pt>
                <c:pt idx="1">
                  <c:v>202</c:v>
                </c:pt>
                <c:pt idx="2">
                  <c:v>706</c:v>
                </c:pt>
                <c:pt idx="3">
                  <c:v>258</c:v>
                </c:pt>
                <c:pt idx="4">
                  <c:v>210</c:v>
                </c:pt>
                <c:pt idx="5">
                  <c:v>416</c:v>
                </c:pt>
              </c:numCache>
            </c:numRef>
          </c:val>
          <c:extLst>
            <c:ext xmlns:c16="http://schemas.microsoft.com/office/drawing/2014/chart" uri="{C3380CC4-5D6E-409C-BE32-E72D297353CC}">
              <c16:uniqueId val="{0000000C-62F5-4383-B87F-DAC7ECDB32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Years at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'page 4'!$B$20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'page 4'!$A$21:$A$27</c:f>
              <c:strCache>
                <c:ptCount val="6"/>
                <c:pt idx="0">
                  <c:v>Finance</c:v>
                </c:pt>
                <c:pt idx="1">
                  <c:v>HR</c:v>
                </c:pt>
                <c:pt idx="2">
                  <c:v>IT</c:v>
                </c:pt>
                <c:pt idx="3">
                  <c:v>Marketing</c:v>
                </c:pt>
                <c:pt idx="4">
                  <c:v>Operations</c:v>
                </c:pt>
                <c:pt idx="5">
                  <c:v>Sales</c:v>
                </c:pt>
              </c:strCache>
            </c:strRef>
          </c:cat>
          <c:val>
            <c:numRef>
              <c:f>'page 4'!$B$21:$B$27</c:f>
              <c:numCache>
                <c:formatCode>General</c:formatCode>
                <c:ptCount val="6"/>
                <c:pt idx="0">
                  <c:v>12.514423076923077</c:v>
                </c:pt>
                <c:pt idx="1">
                  <c:v>11.737623762376238</c:v>
                </c:pt>
                <c:pt idx="2">
                  <c:v>12.233711048158641</c:v>
                </c:pt>
                <c:pt idx="3">
                  <c:v>11.232558139534884</c:v>
                </c:pt>
                <c:pt idx="4">
                  <c:v>11.647619047619047</c:v>
                </c:pt>
                <c:pt idx="5">
                  <c:v>12.48076923076923</c:v>
                </c:pt>
              </c:numCache>
            </c:numRef>
          </c:val>
          <c:smooth val="0"/>
          <c:extLst>
            <c:ext xmlns:c16="http://schemas.microsoft.com/office/drawing/2014/chart" uri="{C3380CC4-5D6E-409C-BE32-E72D297353CC}">
              <c16:uniqueId val="{00000000-8FE5-4F63-94FE-30D6C4C25B12}"/>
            </c:ext>
          </c:extLst>
        </c:ser>
        <c:dLbls>
          <c:showLegendKey val="0"/>
          <c:showVal val="0"/>
          <c:showCatName val="0"/>
          <c:showSerName val="0"/>
          <c:showPercent val="0"/>
          <c:showBubbleSize val="0"/>
        </c:dLbls>
        <c:marker val="1"/>
        <c:smooth val="0"/>
        <c:axId val="666031760"/>
        <c:axId val="666046160"/>
      </c:lineChart>
      <c:catAx>
        <c:axId val="6660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46160"/>
        <c:crosses val="autoZero"/>
        <c:auto val="1"/>
        <c:lblAlgn val="ctr"/>
        <c:lblOffset val="100"/>
        <c:noMultiLvlLbl val="0"/>
      </c:catAx>
      <c:valAx>
        <c:axId val="66604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3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Monthly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'page 4'!$B$3</c:f>
              <c:strCache>
                <c:ptCount val="1"/>
                <c:pt idx="0">
                  <c:v>Total</c:v>
                </c:pt>
              </c:strCache>
            </c:strRef>
          </c:tx>
          <c:spPr>
            <a:solidFill>
              <a:schemeClr val="accent1"/>
            </a:solidFill>
            <a:ln>
              <a:noFill/>
            </a:ln>
            <a:effectLst/>
          </c:spPr>
          <c:invertIfNegative val="0"/>
          <c:cat>
            <c:strRef>
              <c:f>'page 4'!$A$4:$A$10</c:f>
              <c:strCache>
                <c:ptCount val="6"/>
                <c:pt idx="0">
                  <c:v>Analyst</c:v>
                </c:pt>
                <c:pt idx="1">
                  <c:v>Executive</c:v>
                </c:pt>
                <c:pt idx="2">
                  <c:v>Intern</c:v>
                </c:pt>
                <c:pt idx="3">
                  <c:v>Manager</c:v>
                </c:pt>
                <c:pt idx="4">
                  <c:v>Senior Analyst</c:v>
                </c:pt>
                <c:pt idx="5">
                  <c:v>Team Lead</c:v>
                </c:pt>
              </c:strCache>
            </c:strRef>
          </c:cat>
          <c:val>
            <c:numRef>
              <c:f>'page 4'!$B$4:$B$10</c:f>
              <c:numCache>
                <c:formatCode>General</c:formatCode>
                <c:ptCount val="6"/>
                <c:pt idx="0">
                  <c:v>35035.012411347518</c:v>
                </c:pt>
                <c:pt idx="1">
                  <c:v>74141.930174563589</c:v>
                </c:pt>
                <c:pt idx="2">
                  <c:v>14991.031446540881</c:v>
                </c:pt>
                <c:pt idx="3">
                  <c:v>151516.48387096773</c:v>
                </c:pt>
                <c:pt idx="4">
                  <c:v>57198.274223034736</c:v>
                </c:pt>
                <c:pt idx="5">
                  <c:v>109792.46186440678</c:v>
                </c:pt>
              </c:numCache>
            </c:numRef>
          </c:val>
          <c:extLst>
            <c:ext xmlns:c16="http://schemas.microsoft.com/office/drawing/2014/chart" uri="{C3380CC4-5D6E-409C-BE32-E72D297353CC}">
              <c16:uniqueId val="{00000000-05EC-4D25-9949-6CD4E8D48E99}"/>
            </c:ext>
          </c:extLst>
        </c:ser>
        <c:dLbls>
          <c:showLegendKey val="0"/>
          <c:showVal val="0"/>
          <c:showCatName val="0"/>
          <c:showSerName val="0"/>
          <c:showPercent val="0"/>
          <c:showBubbleSize val="0"/>
        </c:dLbls>
        <c:gapWidth val="150"/>
        <c:overlap val="100"/>
        <c:axId val="731381488"/>
        <c:axId val="731362288"/>
      </c:barChart>
      <c:catAx>
        <c:axId val="73138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362288"/>
        <c:crosses val="autoZero"/>
        <c:auto val="1"/>
        <c:lblAlgn val="ctr"/>
        <c:lblOffset val="100"/>
        <c:noMultiLvlLbl val="0"/>
      </c:catAx>
      <c:valAx>
        <c:axId val="73136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38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4!PivotTable3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'page 4'!$B$36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52-4AAD-B130-49854326EE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52-4AAD-B130-49854326EE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52-4AAD-B130-49854326EE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52-4AAD-B130-49854326EE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52-4AAD-B130-49854326EE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952-4AAD-B130-49854326EE93}"/>
              </c:ext>
            </c:extLst>
          </c:dPt>
          <c:cat>
            <c:strRef>
              <c:f>'page 4'!$A$37:$A$43</c:f>
              <c:strCache>
                <c:ptCount val="6"/>
                <c:pt idx="0">
                  <c:v>Finance</c:v>
                </c:pt>
                <c:pt idx="1">
                  <c:v>HR</c:v>
                </c:pt>
                <c:pt idx="2">
                  <c:v>IT</c:v>
                </c:pt>
                <c:pt idx="3">
                  <c:v>Marketing</c:v>
                </c:pt>
                <c:pt idx="4">
                  <c:v>Operations</c:v>
                </c:pt>
                <c:pt idx="5">
                  <c:v>Sales</c:v>
                </c:pt>
              </c:strCache>
            </c:strRef>
          </c:cat>
          <c:val>
            <c:numRef>
              <c:f>'page 4'!$B$37:$B$43</c:f>
              <c:numCache>
                <c:formatCode>General</c:formatCode>
                <c:ptCount val="6"/>
                <c:pt idx="0">
                  <c:v>208</c:v>
                </c:pt>
                <c:pt idx="1">
                  <c:v>202</c:v>
                </c:pt>
                <c:pt idx="2">
                  <c:v>706</c:v>
                </c:pt>
                <c:pt idx="3">
                  <c:v>258</c:v>
                </c:pt>
                <c:pt idx="4">
                  <c:v>210</c:v>
                </c:pt>
                <c:pt idx="5">
                  <c:v>416</c:v>
                </c:pt>
              </c:numCache>
            </c:numRef>
          </c:val>
          <c:extLst>
            <c:ext xmlns:c16="http://schemas.microsoft.com/office/drawing/2014/chart" uri="{C3380CC4-5D6E-409C-BE32-E72D297353CC}">
              <c16:uniqueId val="{00000000-D0DE-43F6-B1E0-9BA5BD214A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1!Pivott 1.1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'page 1'!$B$2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09-48A3-8937-41AE7657B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09-48A3-8937-41AE7657B9DF}"/>
              </c:ext>
            </c:extLst>
          </c:dPt>
          <c:cat>
            <c:strRef>
              <c:f>'page 1'!$A$3:$A$5</c:f>
              <c:strCache>
                <c:ptCount val="2"/>
                <c:pt idx="0">
                  <c:v>Female</c:v>
                </c:pt>
                <c:pt idx="1">
                  <c:v>Male</c:v>
                </c:pt>
              </c:strCache>
            </c:strRef>
          </c:cat>
          <c:val>
            <c:numRef>
              <c:f>'page 1'!$B$3:$B$5</c:f>
              <c:numCache>
                <c:formatCode>General</c:formatCode>
                <c:ptCount val="2"/>
                <c:pt idx="0">
                  <c:v>88</c:v>
                </c:pt>
                <c:pt idx="1">
                  <c:v>188</c:v>
                </c:pt>
              </c:numCache>
            </c:numRef>
          </c:val>
          <c:extLst>
            <c:ext xmlns:c16="http://schemas.microsoft.com/office/drawing/2014/chart" uri="{C3380CC4-5D6E-409C-BE32-E72D297353CC}">
              <c16:uniqueId val="{00000000-7156-4E44-9E7D-FAD6FFE02B3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1!1.2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'page 1'!$B$20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26-48FC-9CCE-EC7D4A1A30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26-48FC-9CCE-EC7D4A1A30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26-48FC-9CCE-EC7D4A1A30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26-48FC-9CCE-EC7D4A1A30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426-48FC-9CCE-EC7D4A1A30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426-48FC-9CCE-EC7D4A1A30BE}"/>
              </c:ext>
            </c:extLst>
          </c:dPt>
          <c:cat>
            <c:strRef>
              <c:f>'page 1'!$A$21:$A$27</c:f>
              <c:strCache>
                <c:ptCount val="6"/>
                <c:pt idx="0">
                  <c:v>Analyst</c:v>
                </c:pt>
                <c:pt idx="1">
                  <c:v>Executive</c:v>
                </c:pt>
                <c:pt idx="2">
                  <c:v>Intern</c:v>
                </c:pt>
                <c:pt idx="3">
                  <c:v>Manager</c:v>
                </c:pt>
                <c:pt idx="4">
                  <c:v>Senior Analyst</c:v>
                </c:pt>
                <c:pt idx="5">
                  <c:v>Team Lead</c:v>
                </c:pt>
              </c:strCache>
            </c:strRef>
          </c:cat>
          <c:val>
            <c:numRef>
              <c:f>'page 1'!$B$21:$B$27</c:f>
              <c:numCache>
                <c:formatCode>General</c:formatCode>
                <c:ptCount val="6"/>
                <c:pt idx="0">
                  <c:v>89</c:v>
                </c:pt>
                <c:pt idx="1">
                  <c:v>63</c:v>
                </c:pt>
                <c:pt idx="2">
                  <c:v>22</c:v>
                </c:pt>
                <c:pt idx="3">
                  <c:v>10</c:v>
                </c:pt>
                <c:pt idx="4">
                  <c:v>63</c:v>
                </c:pt>
                <c:pt idx="5">
                  <c:v>29</c:v>
                </c:pt>
              </c:numCache>
            </c:numRef>
          </c:val>
          <c:extLst>
            <c:ext xmlns:c16="http://schemas.microsoft.com/office/drawing/2014/chart" uri="{C3380CC4-5D6E-409C-BE32-E72D297353CC}">
              <c16:uniqueId val="{00000000-C808-4954-B434-B18F01008B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1!PivotTable7</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'page 1'!$B$36</c:f>
              <c:strCache>
                <c:ptCount val="1"/>
                <c:pt idx="0">
                  <c:v>Total</c:v>
                </c:pt>
              </c:strCache>
            </c:strRef>
          </c:tx>
          <c:spPr>
            <a:solidFill>
              <a:schemeClr val="accent1"/>
            </a:solidFill>
            <a:ln>
              <a:noFill/>
            </a:ln>
            <a:effectLst/>
          </c:spPr>
          <c:invertIfNegative val="0"/>
          <c:cat>
            <c:strRef>
              <c:f>'page 1'!$A$37:$A$41</c:f>
              <c:strCache>
                <c:ptCount val="4"/>
                <c:pt idx="0">
                  <c:v>Bachelor</c:v>
                </c:pt>
                <c:pt idx="1">
                  <c:v>High School</c:v>
                </c:pt>
                <c:pt idx="2">
                  <c:v>Master</c:v>
                </c:pt>
                <c:pt idx="3">
                  <c:v>PhD</c:v>
                </c:pt>
              </c:strCache>
            </c:strRef>
          </c:cat>
          <c:val>
            <c:numRef>
              <c:f>'page 1'!$B$37:$B$41</c:f>
              <c:numCache>
                <c:formatCode>General</c:formatCode>
                <c:ptCount val="4"/>
                <c:pt idx="0">
                  <c:v>134</c:v>
                </c:pt>
                <c:pt idx="1">
                  <c:v>38</c:v>
                </c:pt>
                <c:pt idx="2">
                  <c:v>85</c:v>
                </c:pt>
                <c:pt idx="3">
                  <c:v>19</c:v>
                </c:pt>
              </c:numCache>
            </c:numRef>
          </c:val>
          <c:extLst>
            <c:ext xmlns:c16="http://schemas.microsoft.com/office/drawing/2014/chart" uri="{C3380CC4-5D6E-409C-BE32-E72D297353CC}">
              <c16:uniqueId val="{00000000-F257-4A46-8B58-F19E3B704F73}"/>
            </c:ext>
          </c:extLst>
        </c:ser>
        <c:dLbls>
          <c:showLegendKey val="0"/>
          <c:showVal val="0"/>
          <c:showCatName val="0"/>
          <c:showSerName val="0"/>
          <c:showPercent val="0"/>
          <c:showBubbleSize val="0"/>
        </c:dLbls>
        <c:gapWidth val="150"/>
        <c:overlap val="100"/>
        <c:axId val="1352582976"/>
        <c:axId val="1352585856"/>
      </c:barChart>
      <c:catAx>
        <c:axId val="135258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585856"/>
        <c:crosses val="autoZero"/>
        <c:auto val="1"/>
        <c:lblAlgn val="ctr"/>
        <c:lblOffset val="100"/>
        <c:noMultiLvlLbl val="0"/>
      </c:catAx>
      <c:valAx>
        <c:axId val="1352585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58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1!PivotTable8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'page 1'!$B$51</c:f>
              <c:strCache>
                <c:ptCount val="1"/>
                <c:pt idx="0">
                  <c:v>Total</c:v>
                </c:pt>
              </c:strCache>
            </c:strRef>
          </c:tx>
          <c:spPr>
            <a:solidFill>
              <a:schemeClr val="accent1"/>
            </a:solidFill>
            <a:ln>
              <a:noFill/>
            </a:ln>
            <a:effectLst/>
          </c:spPr>
          <c:invertIfNegative val="0"/>
          <c:cat>
            <c:strRef>
              <c:f>'page 1'!$A$52:$A$58</c:f>
              <c:strCache>
                <c:ptCount val="6"/>
                <c:pt idx="0">
                  <c:v>Finance</c:v>
                </c:pt>
                <c:pt idx="1">
                  <c:v>HR</c:v>
                </c:pt>
                <c:pt idx="2">
                  <c:v>IT</c:v>
                </c:pt>
                <c:pt idx="3">
                  <c:v>Marketing</c:v>
                </c:pt>
                <c:pt idx="4">
                  <c:v>Operations</c:v>
                </c:pt>
                <c:pt idx="5">
                  <c:v>Sales</c:v>
                </c:pt>
              </c:strCache>
            </c:strRef>
          </c:cat>
          <c:val>
            <c:numRef>
              <c:f>'page 1'!$B$52:$B$58</c:f>
              <c:numCache>
                <c:formatCode>General</c:formatCode>
                <c:ptCount val="6"/>
                <c:pt idx="0">
                  <c:v>20</c:v>
                </c:pt>
                <c:pt idx="1">
                  <c:v>23</c:v>
                </c:pt>
                <c:pt idx="2">
                  <c:v>69</c:v>
                </c:pt>
                <c:pt idx="3">
                  <c:v>32</c:v>
                </c:pt>
                <c:pt idx="4">
                  <c:v>44</c:v>
                </c:pt>
                <c:pt idx="5">
                  <c:v>88</c:v>
                </c:pt>
              </c:numCache>
            </c:numRef>
          </c:val>
          <c:extLst>
            <c:ext xmlns:c16="http://schemas.microsoft.com/office/drawing/2014/chart" uri="{C3380CC4-5D6E-409C-BE32-E72D297353CC}">
              <c16:uniqueId val="{00000000-DF58-45BF-8506-5EF87773DEF4}"/>
            </c:ext>
          </c:extLst>
        </c:ser>
        <c:dLbls>
          <c:showLegendKey val="0"/>
          <c:showVal val="0"/>
          <c:showCatName val="0"/>
          <c:showSerName val="0"/>
          <c:showPercent val="0"/>
          <c:showBubbleSize val="0"/>
        </c:dLbls>
        <c:gapWidth val="150"/>
        <c:overlap val="100"/>
        <c:axId val="1352565216"/>
        <c:axId val="1352577696"/>
      </c:barChart>
      <c:catAx>
        <c:axId val="135256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577696"/>
        <c:crosses val="autoZero"/>
        <c:auto val="1"/>
        <c:lblAlgn val="ctr"/>
        <c:lblOffset val="100"/>
        <c:noMultiLvlLbl val="0"/>
      </c:catAx>
      <c:valAx>
        <c:axId val="135257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56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'page 2'!$B$3</c:f>
              <c:strCache>
                <c:ptCount val="1"/>
                <c:pt idx="0">
                  <c:v>Total</c:v>
                </c:pt>
              </c:strCache>
            </c:strRef>
          </c:tx>
          <c:spPr>
            <a:solidFill>
              <a:schemeClr val="accent1"/>
            </a:solidFill>
            <a:ln>
              <a:noFill/>
            </a:ln>
            <a:effectLst/>
          </c:spPr>
          <c:invertIfNegative val="0"/>
          <c:cat>
            <c:strRef>
              <c:f>'page 2'!$A$4:$A$10</c:f>
              <c:strCache>
                <c:ptCount val="6"/>
                <c:pt idx="0">
                  <c:v>Analyst</c:v>
                </c:pt>
                <c:pt idx="1">
                  <c:v>Executive</c:v>
                </c:pt>
                <c:pt idx="2">
                  <c:v>Intern</c:v>
                </c:pt>
                <c:pt idx="3">
                  <c:v>Manager</c:v>
                </c:pt>
                <c:pt idx="4">
                  <c:v>Senior Analyst</c:v>
                </c:pt>
                <c:pt idx="5">
                  <c:v>Team Lead</c:v>
                </c:pt>
              </c:strCache>
            </c:strRef>
          </c:cat>
          <c:val>
            <c:numRef>
              <c:f>'page 2'!$B$4:$B$10</c:f>
              <c:numCache>
                <c:formatCode>General</c:formatCode>
                <c:ptCount val="6"/>
                <c:pt idx="0">
                  <c:v>89</c:v>
                </c:pt>
                <c:pt idx="1">
                  <c:v>63</c:v>
                </c:pt>
                <c:pt idx="2">
                  <c:v>22</c:v>
                </c:pt>
                <c:pt idx="3">
                  <c:v>10</c:v>
                </c:pt>
                <c:pt idx="4">
                  <c:v>63</c:v>
                </c:pt>
                <c:pt idx="5">
                  <c:v>29</c:v>
                </c:pt>
              </c:numCache>
            </c:numRef>
          </c:val>
          <c:extLst>
            <c:ext xmlns:c16="http://schemas.microsoft.com/office/drawing/2014/chart" uri="{C3380CC4-5D6E-409C-BE32-E72D297353CC}">
              <c16:uniqueId val="{00000000-6A0A-487F-81F5-FA10BEFC118F}"/>
            </c:ext>
          </c:extLst>
        </c:ser>
        <c:dLbls>
          <c:showLegendKey val="0"/>
          <c:showVal val="0"/>
          <c:showCatName val="0"/>
          <c:showSerName val="0"/>
          <c:showPercent val="0"/>
          <c:showBubbleSize val="0"/>
        </c:dLbls>
        <c:gapWidth val="219"/>
        <c:overlap val="-27"/>
        <c:axId val="1044075888"/>
        <c:axId val="1044060048"/>
      </c:barChart>
      <c:catAx>
        <c:axId val="104407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60048"/>
        <c:crosses val="autoZero"/>
        <c:auto val="1"/>
        <c:lblAlgn val="ctr"/>
        <c:lblOffset val="100"/>
        <c:noMultiLvlLbl val="0"/>
      </c:catAx>
      <c:valAx>
        <c:axId val="104406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7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'page 2'!$B$24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'page 2'!$A$25:$A$31</c:f>
              <c:strCache>
                <c:ptCount val="6"/>
                <c:pt idx="0">
                  <c:v>Finance</c:v>
                </c:pt>
                <c:pt idx="1">
                  <c:v>HR</c:v>
                </c:pt>
                <c:pt idx="2">
                  <c:v>IT</c:v>
                </c:pt>
                <c:pt idx="3">
                  <c:v>Marketing</c:v>
                </c:pt>
                <c:pt idx="4">
                  <c:v>Operations</c:v>
                </c:pt>
                <c:pt idx="5">
                  <c:v>Sales</c:v>
                </c:pt>
              </c:strCache>
            </c:strRef>
          </c:cat>
          <c:val>
            <c:numRef>
              <c:f>'page 2'!$B$25:$B$31</c:f>
              <c:numCache>
                <c:formatCode>General</c:formatCode>
                <c:ptCount val="6"/>
                <c:pt idx="0">
                  <c:v>20</c:v>
                </c:pt>
                <c:pt idx="1">
                  <c:v>23</c:v>
                </c:pt>
                <c:pt idx="2">
                  <c:v>69</c:v>
                </c:pt>
                <c:pt idx="3">
                  <c:v>32</c:v>
                </c:pt>
                <c:pt idx="4">
                  <c:v>44</c:v>
                </c:pt>
                <c:pt idx="5">
                  <c:v>88</c:v>
                </c:pt>
              </c:numCache>
            </c:numRef>
          </c:val>
          <c:smooth val="0"/>
          <c:extLst>
            <c:ext xmlns:c16="http://schemas.microsoft.com/office/drawing/2014/chart" uri="{C3380CC4-5D6E-409C-BE32-E72D297353CC}">
              <c16:uniqueId val="{00000000-750D-4149-9E5F-1ADCACB3F105}"/>
            </c:ext>
          </c:extLst>
        </c:ser>
        <c:dLbls>
          <c:showLegendKey val="0"/>
          <c:showVal val="0"/>
          <c:showCatName val="0"/>
          <c:showSerName val="0"/>
          <c:showPercent val="0"/>
          <c:showBubbleSize val="0"/>
        </c:dLbls>
        <c:marker val="1"/>
        <c:smooth val="0"/>
        <c:axId val="1044047088"/>
        <c:axId val="1044073008"/>
      </c:lineChart>
      <c:catAx>
        <c:axId val="104404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73008"/>
        <c:crosses val="autoZero"/>
        <c:auto val="1"/>
        <c:lblAlgn val="ctr"/>
        <c:lblOffset val="100"/>
        <c:noMultiLvlLbl val="0"/>
      </c:catAx>
      <c:valAx>
        <c:axId val="104407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4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Employee Vs Job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'page 2'!$B$38</c:f>
              <c:strCache>
                <c:ptCount val="1"/>
                <c:pt idx="0">
                  <c:v>Total</c:v>
                </c:pt>
              </c:strCache>
            </c:strRef>
          </c:tx>
          <c:spPr>
            <a:solidFill>
              <a:schemeClr val="accent1"/>
            </a:solidFill>
            <a:ln>
              <a:noFill/>
            </a:ln>
            <a:effectLst/>
          </c:spPr>
          <c:invertIfNegative val="0"/>
          <c:cat>
            <c:strRef>
              <c:f>'page 2'!$A$39:$A$43</c:f>
              <c:strCache>
                <c:ptCount val="4"/>
                <c:pt idx="0">
                  <c:v>1</c:v>
                </c:pt>
                <c:pt idx="1">
                  <c:v>2</c:v>
                </c:pt>
                <c:pt idx="2">
                  <c:v>3</c:v>
                </c:pt>
                <c:pt idx="3">
                  <c:v>4</c:v>
                </c:pt>
              </c:strCache>
            </c:strRef>
          </c:cat>
          <c:val>
            <c:numRef>
              <c:f>'page 2'!$B$39:$B$43</c:f>
              <c:numCache>
                <c:formatCode>General</c:formatCode>
                <c:ptCount val="4"/>
                <c:pt idx="0">
                  <c:v>121</c:v>
                </c:pt>
                <c:pt idx="1">
                  <c:v>66</c:v>
                </c:pt>
                <c:pt idx="2">
                  <c:v>64</c:v>
                </c:pt>
                <c:pt idx="3">
                  <c:v>25</c:v>
                </c:pt>
              </c:numCache>
            </c:numRef>
          </c:val>
          <c:extLst>
            <c:ext xmlns:c16="http://schemas.microsoft.com/office/drawing/2014/chart" uri="{C3380CC4-5D6E-409C-BE32-E72D297353CC}">
              <c16:uniqueId val="{00000000-2F33-42F3-94F6-E83CE8D68023}"/>
            </c:ext>
          </c:extLst>
        </c:ser>
        <c:dLbls>
          <c:showLegendKey val="0"/>
          <c:showVal val="0"/>
          <c:showCatName val="0"/>
          <c:showSerName val="0"/>
          <c:showPercent val="0"/>
          <c:showBubbleSize val="0"/>
        </c:dLbls>
        <c:gapWidth val="219"/>
        <c:overlap val="-27"/>
        <c:axId val="1044056688"/>
        <c:axId val="1044057168"/>
      </c:barChart>
      <c:catAx>
        <c:axId val="104405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57168"/>
        <c:crosses val="autoZero"/>
        <c:auto val="1"/>
        <c:lblAlgn val="ctr"/>
        <c:lblOffset val="100"/>
        <c:noMultiLvlLbl val="0"/>
      </c:catAx>
      <c:valAx>
        <c:axId val="104405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5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a:t>
            </a:r>
            <a:r>
              <a:rPr lang="en-IN"/>
              <a:t>satisfaction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'page 3'!$C$6</c:f>
              <c:strCache>
                <c:ptCount val="1"/>
                <c:pt idx="0">
                  <c:v>Total</c:v>
                </c:pt>
              </c:strCache>
            </c:strRef>
          </c:tx>
          <c:spPr>
            <a:ln w="28575" cap="rnd">
              <a:solidFill>
                <a:schemeClr val="accent1"/>
              </a:solidFill>
              <a:round/>
            </a:ln>
            <a:effectLst/>
          </c:spPr>
          <c:marker>
            <c:symbol val="none"/>
          </c:marker>
          <c:cat>
            <c:strRef>
              <c:f>'page 3'!$B$7:$B$13</c:f>
              <c:strCache>
                <c:ptCount val="6"/>
                <c:pt idx="0">
                  <c:v>Finance</c:v>
                </c:pt>
                <c:pt idx="1">
                  <c:v>HR</c:v>
                </c:pt>
                <c:pt idx="2">
                  <c:v>IT</c:v>
                </c:pt>
                <c:pt idx="3">
                  <c:v>Marketing</c:v>
                </c:pt>
                <c:pt idx="4">
                  <c:v>Operations</c:v>
                </c:pt>
                <c:pt idx="5">
                  <c:v>Sales</c:v>
                </c:pt>
              </c:strCache>
            </c:strRef>
          </c:cat>
          <c:val>
            <c:numRef>
              <c:f>'page 3'!$C$7:$C$13</c:f>
              <c:numCache>
                <c:formatCode>0.00</c:formatCode>
                <c:ptCount val="6"/>
                <c:pt idx="0">
                  <c:v>2.8317307692307692</c:v>
                </c:pt>
                <c:pt idx="1">
                  <c:v>2.782178217821782</c:v>
                </c:pt>
                <c:pt idx="2">
                  <c:v>2.8314447592067991</c:v>
                </c:pt>
                <c:pt idx="3">
                  <c:v>2.8720930232558142</c:v>
                </c:pt>
                <c:pt idx="4">
                  <c:v>2.7571428571428571</c:v>
                </c:pt>
                <c:pt idx="5">
                  <c:v>2.7307692307692308</c:v>
                </c:pt>
              </c:numCache>
            </c:numRef>
          </c:val>
          <c:extLst>
            <c:ext xmlns:c16="http://schemas.microsoft.com/office/drawing/2014/chart" uri="{C3380CC4-5D6E-409C-BE32-E72D297353CC}">
              <c16:uniqueId val="{00000000-DB71-44DD-880C-1B72BCB9D156}"/>
            </c:ext>
          </c:extLst>
        </c:ser>
        <c:dLbls>
          <c:showLegendKey val="0"/>
          <c:showVal val="0"/>
          <c:showCatName val="0"/>
          <c:showSerName val="0"/>
          <c:showPercent val="0"/>
          <c:showBubbleSize val="0"/>
        </c:dLbls>
        <c:axId val="1282463888"/>
        <c:axId val="1282464368"/>
      </c:radarChart>
      <c:catAx>
        <c:axId val="128246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464368"/>
        <c:crosses val="autoZero"/>
        <c:auto val="1"/>
        <c:lblAlgn val="ctr"/>
        <c:lblOffset val="100"/>
        <c:noMultiLvlLbl val="0"/>
      </c:catAx>
      <c:valAx>
        <c:axId val="1282464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46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WorkLife</a:t>
            </a:r>
            <a:r>
              <a:rPr lang="en-US" baseline="0"/>
              <a:t>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'page 3'!$C$26</c:f>
              <c:strCache>
                <c:ptCount val="1"/>
                <c:pt idx="0">
                  <c:v>Total</c:v>
                </c:pt>
              </c:strCache>
            </c:strRef>
          </c:tx>
          <c:spPr>
            <a:solidFill>
              <a:schemeClr val="accent1"/>
            </a:solidFill>
            <a:ln>
              <a:noFill/>
            </a:ln>
            <a:effectLst/>
          </c:spPr>
          <c:cat>
            <c:strRef>
              <c:f>'page 3'!$B$27:$B$33</c:f>
              <c:strCache>
                <c:ptCount val="6"/>
                <c:pt idx="0">
                  <c:v>Analyst</c:v>
                </c:pt>
                <c:pt idx="1">
                  <c:v>Executive</c:v>
                </c:pt>
                <c:pt idx="2">
                  <c:v>Intern</c:v>
                </c:pt>
                <c:pt idx="3">
                  <c:v>Manager</c:v>
                </c:pt>
                <c:pt idx="4">
                  <c:v>Senior Analyst</c:v>
                </c:pt>
                <c:pt idx="5">
                  <c:v>Team Lead</c:v>
                </c:pt>
              </c:strCache>
            </c:strRef>
          </c:cat>
          <c:val>
            <c:numRef>
              <c:f>'page 3'!$C$27:$C$33</c:f>
              <c:numCache>
                <c:formatCode>General</c:formatCode>
                <c:ptCount val="6"/>
                <c:pt idx="0">
                  <c:v>2.8510638297872339</c:v>
                </c:pt>
                <c:pt idx="1">
                  <c:v>2.7805486284289276</c:v>
                </c:pt>
                <c:pt idx="2">
                  <c:v>2.7924528301886791</c:v>
                </c:pt>
                <c:pt idx="3">
                  <c:v>2.7311827956989245</c:v>
                </c:pt>
                <c:pt idx="4">
                  <c:v>2.8190127970749543</c:v>
                </c:pt>
                <c:pt idx="5">
                  <c:v>2.8008474576271185</c:v>
                </c:pt>
              </c:numCache>
            </c:numRef>
          </c:val>
          <c:extLst>
            <c:ext xmlns:c16="http://schemas.microsoft.com/office/drawing/2014/chart" uri="{C3380CC4-5D6E-409C-BE32-E72D297353CC}">
              <c16:uniqueId val="{00000000-53A7-4EEB-9474-596323B1BB15}"/>
            </c:ext>
          </c:extLst>
        </c:ser>
        <c:dLbls>
          <c:showLegendKey val="0"/>
          <c:showVal val="0"/>
          <c:showCatName val="0"/>
          <c:showSerName val="0"/>
          <c:showPercent val="0"/>
          <c:showBubbleSize val="0"/>
        </c:dLbls>
        <c:axId val="484334752"/>
        <c:axId val="960154608"/>
      </c:areaChart>
      <c:catAx>
        <c:axId val="48433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154608"/>
        <c:crosses val="autoZero"/>
        <c:auto val="1"/>
        <c:lblAlgn val="ctr"/>
        <c:lblOffset val="100"/>
        <c:noMultiLvlLbl val="0"/>
      </c:catAx>
      <c:valAx>
        <c:axId val="96015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34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[Excel_Hr_Attrition_Dashboard.xlsx]page 3!PivotTable7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'page 3'!$C$46</c:f>
              <c:strCache>
                <c:ptCount val="1"/>
                <c:pt idx="0">
                  <c:v>Total</c:v>
                </c:pt>
              </c:strCache>
            </c:strRef>
          </c:tx>
          <c:spPr>
            <a:solidFill>
              <a:schemeClr val="accent1"/>
            </a:solidFill>
            <a:ln>
              <a:noFill/>
            </a:ln>
            <a:effectLst/>
          </c:spPr>
          <c:invertIfNegative val="0"/>
          <c:cat>
            <c:strRef>
              <c:f>'page 3'!$B$47:$B$53</c:f>
              <c:strCache>
                <c:ptCount val="6"/>
                <c:pt idx="0">
                  <c:v>Analyst</c:v>
                </c:pt>
                <c:pt idx="1">
                  <c:v>Executive</c:v>
                </c:pt>
                <c:pt idx="2">
                  <c:v>Intern</c:v>
                </c:pt>
                <c:pt idx="3">
                  <c:v>Manager</c:v>
                </c:pt>
                <c:pt idx="4">
                  <c:v>Senior Analyst</c:v>
                </c:pt>
                <c:pt idx="5">
                  <c:v>Team Lead</c:v>
                </c:pt>
              </c:strCache>
            </c:strRef>
          </c:cat>
          <c:val>
            <c:numRef>
              <c:f>'page 3'!$C$47:$C$53</c:f>
              <c:numCache>
                <c:formatCode>General</c:formatCode>
                <c:ptCount val="6"/>
                <c:pt idx="0">
                  <c:v>31.696808510638299</c:v>
                </c:pt>
                <c:pt idx="1">
                  <c:v>32.835411471321699</c:v>
                </c:pt>
                <c:pt idx="2">
                  <c:v>31.062893081761008</c:v>
                </c:pt>
                <c:pt idx="3">
                  <c:v>31.86021505376344</c:v>
                </c:pt>
                <c:pt idx="4">
                  <c:v>31.819012797074954</c:v>
                </c:pt>
                <c:pt idx="5">
                  <c:v>32.682203389830505</c:v>
                </c:pt>
              </c:numCache>
            </c:numRef>
          </c:val>
          <c:extLst>
            <c:ext xmlns:c16="http://schemas.microsoft.com/office/drawing/2014/chart" uri="{C3380CC4-5D6E-409C-BE32-E72D297353CC}">
              <c16:uniqueId val="{00000000-52D9-4B08-A407-CE2ABC3229BC}"/>
            </c:ext>
          </c:extLst>
        </c:ser>
        <c:dLbls>
          <c:showLegendKey val="0"/>
          <c:showVal val="0"/>
          <c:showCatName val="0"/>
          <c:showSerName val="0"/>
          <c:showPercent val="0"/>
          <c:showBubbleSize val="0"/>
        </c:dLbls>
        <c:gapWidth val="150"/>
        <c:overlap val="100"/>
        <c:axId val="1035991568"/>
        <c:axId val="1034320896"/>
      </c:barChart>
      <c:catAx>
        <c:axId val="103599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320896"/>
        <c:crosses val="autoZero"/>
        <c:auto val="1"/>
        <c:lblAlgn val="ctr"/>
        <c:lblOffset val="100"/>
        <c:noMultiLvlLbl val="0"/>
      </c:catAx>
      <c:valAx>
        <c:axId val="103432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9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3" Type="http://schemas.openxmlformats.org/officeDocument/2006/relationships/hyperlink" Target="#Dashboard_Attrition!A1"/><Relationship Id="rId7" Type="http://schemas.openxmlformats.org/officeDocument/2006/relationships/image" Target="../media/image4.svg"/><Relationship Id="rId12"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Dashboard_Compensation!A1"/><Relationship Id="rId15" Type="http://schemas.openxmlformats.org/officeDocument/2006/relationships/chart" Target="../charts/chart4.xml"/><Relationship Id="rId10" Type="http://schemas.openxmlformats.org/officeDocument/2006/relationships/image" Target="../media/image7.png"/><Relationship Id="rId4" Type="http://schemas.openxmlformats.org/officeDocument/2006/relationships/hyperlink" Target="#Dashboard_Performance!A1"/><Relationship Id="rId9" Type="http://schemas.openxmlformats.org/officeDocument/2006/relationships/image" Target="../media/image6.svg"/><Relationship Id="rId1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6.xml"/><Relationship Id="rId3" Type="http://schemas.openxmlformats.org/officeDocument/2006/relationships/image" Target="../media/image2.svg"/><Relationship Id="rId7" Type="http://schemas.openxmlformats.org/officeDocument/2006/relationships/image" Target="../media/image4.svg"/><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hyperlink" Target="#Dashboard_Overview!A1"/><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Dashboard_Compensation!A1"/><Relationship Id="rId10" Type="http://schemas.openxmlformats.org/officeDocument/2006/relationships/image" Target="../media/image7.png"/><Relationship Id="rId4" Type="http://schemas.openxmlformats.org/officeDocument/2006/relationships/hyperlink" Target="#Dashboard_Performance!A1"/><Relationship Id="rId9" Type="http://schemas.openxmlformats.org/officeDocument/2006/relationships/image" Target="../media/image6.svg"/><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9.xml"/><Relationship Id="rId3" Type="http://schemas.openxmlformats.org/officeDocument/2006/relationships/image" Target="../media/image2.svg"/><Relationship Id="rId7" Type="http://schemas.openxmlformats.org/officeDocument/2006/relationships/image" Target="../media/image4.svg"/><Relationship Id="rId12" Type="http://schemas.openxmlformats.org/officeDocument/2006/relationships/chart" Target="../charts/chart8.xml"/><Relationship Id="rId2" Type="http://schemas.openxmlformats.org/officeDocument/2006/relationships/image" Target="../media/image1.png"/><Relationship Id="rId1" Type="http://schemas.openxmlformats.org/officeDocument/2006/relationships/hyperlink" Target="#Dashboard_Overview!A1"/><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Dashboard_Compensation!A1"/><Relationship Id="rId10" Type="http://schemas.openxmlformats.org/officeDocument/2006/relationships/image" Target="../media/image7.png"/><Relationship Id="rId4" Type="http://schemas.openxmlformats.org/officeDocument/2006/relationships/hyperlink" Target="#Dashboard_Attrition!A1"/><Relationship Id="rId9" Type="http://schemas.openxmlformats.org/officeDocument/2006/relationships/image" Target="../media/image6.sv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2.xml"/><Relationship Id="rId3" Type="http://schemas.openxmlformats.org/officeDocument/2006/relationships/image" Target="../media/image2.svg"/><Relationship Id="rId7" Type="http://schemas.openxmlformats.org/officeDocument/2006/relationships/image" Target="../media/image4.svg"/><Relationship Id="rId12" Type="http://schemas.openxmlformats.org/officeDocument/2006/relationships/chart" Target="../charts/chart11.xml"/><Relationship Id="rId2" Type="http://schemas.openxmlformats.org/officeDocument/2006/relationships/image" Target="../media/image1.png"/><Relationship Id="rId1" Type="http://schemas.openxmlformats.org/officeDocument/2006/relationships/hyperlink" Target="#Dashboard_Overview!A1"/><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Dashboard_Performance!A1"/><Relationship Id="rId10" Type="http://schemas.openxmlformats.org/officeDocument/2006/relationships/image" Target="../media/image7.png"/><Relationship Id="rId4" Type="http://schemas.openxmlformats.org/officeDocument/2006/relationships/hyperlink" Target="#Dashboard_Attrition!A1"/><Relationship Id="rId9" Type="http://schemas.openxmlformats.org/officeDocument/2006/relationships/image" Target="../media/image6.svg"/><Relationship Id="rId1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590550</xdr:colOff>
      <xdr:row>35</xdr:row>
      <xdr:rowOff>47625</xdr:rowOff>
    </xdr:to>
    <xdr:grpSp>
      <xdr:nvGrpSpPr>
        <xdr:cNvPr id="45" name="Group 44">
          <a:extLst>
            <a:ext uri="{FF2B5EF4-FFF2-40B4-BE49-F238E27FC236}">
              <a16:creationId xmlns:a16="http://schemas.microsoft.com/office/drawing/2014/main" id="{6C9AA761-142C-6125-E241-7EB32469227C}"/>
            </a:ext>
          </a:extLst>
        </xdr:cNvPr>
        <xdr:cNvGrpSpPr/>
      </xdr:nvGrpSpPr>
      <xdr:grpSpPr>
        <a:xfrm>
          <a:off x="0" y="0"/>
          <a:ext cx="12782550" cy="6715125"/>
          <a:chOff x="0" y="0"/>
          <a:chExt cx="12782550" cy="6715125"/>
        </a:xfrm>
      </xdr:grpSpPr>
      <xdr:sp macro="" textlink="">
        <xdr:nvSpPr>
          <xdr:cNvPr id="2" name="Rectangle 1">
            <a:extLst>
              <a:ext uri="{FF2B5EF4-FFF2-40B4-BE49-F238E27FC236}">
                <a16:creationId xmlns:a16="http://schemas.microsoft.com/office/drawing/2014/main" id="{1CD14EB5-553C-1408-352F-2FB87FA2B42F}"/>
              </a:ext>
            </a:extLst>
          </xdr:cNvPr>
          <xdr:cNvSpPr/>
        </xdr:nvSpPr>
        <xdr:spPr>
          <a:xfrm>
            <a:off x="0" y="0"/>
            <a:ext cx="12782550" cy="6715125"/>
          </a:xfrm>
          <a:prstGeom prst="rect">
            <a:avLst/>
          </a:prstGeom>
          <a:solidFill>
            <a:schemeClr val="tx2">
              <a:lumMod val="50000"/>
            </a:schemeClr>
          </a:solidFill>
          <a:ln>
            <a:noFill/>
          </a:ln>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descr="as">
            <a:extLst>
              <a:ext uri="{FF2B5EF4-FFF2-40B4-BE49-F238E27FC236}">
                <a16:creationId xmlns:a16="http://schemas.microsoft.com/office/drawing/2014/main" id="{804A25FD-39C7-4E20-AB82-5F9DD702905C}"/>
              </a:ext>
            </a:extLst>
          </xdr:cNvPr>
          <xdr:cNvSpPr/>
        </xdr:nvSpPr>
        <xdr:spPr>
          <a:xfrm>
            <a:off x="276226" y="819150"/>
            <a:ext cx="2343150"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age 1'!M9">
        <xdr:nvSpPr>
          <xdr:cNvPr id="36" name="TextBox 35">
            <a:extLst>
              <a:ext uri="{FF2B5EF4-FFF2-40B4-BE49-F238E27FC236}">
                <a16:creationId xmlns:a16="http://schemas.microsoft.com/office/drawing/2014/main" id="{60A59905-8306-4329-2843-C7EFF28DBB22}"/>
              </a:ext>
            </a:extLst>
          </xdr:cNvPr>
          <xdr:cNvSpPr txBox="1"/>
        </xdr:nvSpPr>
        <xdr:spPr>
          <a:xfrm>
            <a:off x="771525" y="1019174"/>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7CC206-4A57-40C4-AD25-1F9F1799D1C8}" type="TxLink">
              <a:rPr lang="en-US" sz="3200" b="0" i="0" u="none" strike="noStrike">
                <a:solidFill>
                  <a:schemeClr val="tx2">
                    <a:lumMod val="20000"/>
                    <a:lumOff val="80000"/>
                  </a:schemeClr>
                </a:solidFill>
                <a:latin typeface="Arial Black" panose="020B0A04020102020204" pitchFamily="34" charset="0"/>
                <a:ea typeface="Calibri"/>
                <a:cs typeface="Calibri"/>
              </a:rPr>
              <a:pPr/>
              <a:t> </a:t>
            </a:fld>
            <a:endParaRPr lang="en-IN" sz="3200" b="0" u="none">
              <a:solidFill>
                <a:schemeClr val="tx2">
                  <a:lumMod val="20000"/>
                  <a:lumOff val="80000"/>
                </a:schemeClr>
              </a:solidFill>
              <a:latin typeface="Arial Black" panose="020B0A04020102020204" pitchFamily="34" charset="0"/>
            </a:endParaRPr>
          </a:p>
        </xdr:txBody>
      </xdr:sp>
      <xdr:sp macro="" textlink="">
        <xdr:nvSpPr>
          <xdr:cNvPr id="37" name="TextBox 36">
            <a:extLst>
              <a:ext uri="{FF2B5EF4-FFF2-40B4-BE49-F238E27FC236}">
                <a16:creationId xmlns:a16="http://schemas.microsoft.com/office/drawing/2014/main" id="{36F1B69E-58E6-2FD5-4019-2FD4B5E18E97}"/>
              </a:ext>
            </a:extLst>
          </xdr:cNvPr>
          <xdr:cNvSpPr txBox="1"/>
        </xdr:nvSpPr>
        <xdr:spPr>
          <a:xfrm>
            <a:off x="609600" y="809625"/>
            <a:ext cx="2257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none">
                <a:solidFill>
                  <a:schemeClr val="tx2">
                    <a:lumMod val="20000"/>
                    <a:lumOff val="80000"/>
                  </a:schemeClr>
                </a:solidFill>
              </a:rPr>
              <a:t>Total Employees:-</a:t>
            </a:r>
          </a:p>
        </xdr:txBody>
      </xdr:sp>
    </xdr:grpSp>
    <xdr:clientData/>
  </xdr:twoCellAnchor>
  <xdr:twoCellAnchor>
    <xdr:from>
      <xdr:col>0</xdr:col>
      <xdr:colOff>57150</xdr:colOff>
      <xdr:row>0</xdr:row>
      <xdr:rowOff>0</xdr:rowOff>
    </xdr:from>
    <xdr:to>
      <xdr:col>10</xdr:col>
      <xdr:colOff>209550</xdr:colOff>
      <xdr:row>3</xdr:row>
      <xdr:rowOff>0</xdr:rowOff>
    </xdr:to>
    <xdr:sp macro="" textlink="">
      <xdr:nvSpPr>
        <xdr:cNvPr id="4" name="TextBox 3">
          <a:extLst>
            <a:ext uri="{FF2B5EF4-FFF2-40B4-BE49-F238E27FC236}">
              <a16:creationId xmlns:a16="http://schemas.microsoft.com/office/drawing/2014/main" id="{4C0717E4-430C-D905-D59D-801BFE342DF8}"/>
            </a:ext>
          </a:extLst>
        </xdr:cNvPr>
        <xdr:cNvSpPr txBox="1"/>
      </xdr:nvSpPr>
      <xdr:spPr>
        <a:xfrm>
          <a:off x="57150" y="0"/>
          <a:ext cx="62484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b="1">
              <a:solidFill>
                <a:schemeClr val="tx2">
                  <a:lumMod val="20000"/>
                  <a:lumOff val="80000"/>
                </a:schemeClr>
              </a:solidFill>
            </a:rPr>
            <a:t>HR ATTRITION DASHOARD</a:t>
          </a:r>
        </a:p>
      </xdr:txBody>
    </xdr:sp>
    <xdr:clientData/>
  </xdr:twoCellAnchor>
  <xdr:twoCellAnchor>
    <xdr:from>
      <xdr:col>10</xdr:col>
      <xdr:colOff>571500</xdr:colOff>
      <xdr:row>0</xdr:row>
      <xdr:rowOff>161925</xdr:rowOff>
    </xdr:from>
    <xdr:to>
      <xdr:col>13</xdr:col>
      <xdr:colOff>247650</xdr:colOff>
      <xdr:row>2</xdr:row>
      <xdr:rowOff>180975</xdr:rowOff>
    </xdr:to>
    <xdr:grpSp>
      <xdr:nvGrpSpPr>
        <xdr:cNvPr id="12" name="Group 11">
          <a:extLst>
            <a:ext uri="{FF2B5EF4-FFF2-40B4-BE49-F238E27FC236}">
              <a16:creationId xmlns:a16="http://schemas.microsoft.com/office/drawing/2014/main" id="{24DB99D5-4CF6-0C3D-FABA-84B3490C9A06}"/>
            </a:ext>
          </a:extLst>
        </xdr:cNvPr>
        <xdr:cNvGrpSpPr/>
      </xdr:nvGrpSpPr>
      <xdr:grpSpPr>
        <a:xfrm>
          <a:off x="6667500" y="161925"/>
          <a:ext cx="1504950" cy="400050"/>
          <a:chOff x="6819900" y="123825"/>
          <a:chExt cx="1504950" cy="400050"/>
        </a:xfrm>
      </xdr:grpSpPr>
      <xdr:grpSp>
        <xdr:nvGrpSpPr>
          <xdr:cNvPr id="9" name="Group 8">
            <a:extLst>
              <a:ext uri="{FF2B5EF4-FFF2-40B4-BE49-F238E27FC236}">
                <a16:creationId xmlns:a16="http://schemas.microsoft.com/office/drawing/2014/main" id="{97AC2D17-F442-6A3D-EFF0-103F7C77166A}"/>
              </a:ext>
            </a:extLst>
          </xdr:cNvPr>
          <xdr:cNvGrpSpPr/>
        </xdr:nvGrpSpPr>
        <xdr:grpSpPr>
          <a:xfrm>
            <a:off x="6819900" y="123825"/>
            <a:ext cx="1504950" cy="400050"/>
            <a:chOff x="6819900" y="123825"/>
            <a:chExt cx="1504950" cy="400050"/>
          </a:xfrm>
        </xdr:grpSpPr>
        <xdr:sp macro="" textlink="">
          <xdr:nvSpPr>
            <xdr:cNvPr id="5" name="Rectangle: Rounded Corners 4" descr="as">
              <a:extLst>
                <a:ext uri="{FF2B5EF4-FFF2-40B4-BE49-F238E27FC236}">
                  <a16:creationId xmlns:a16="http://schemas.microsoft.com/office/drawing/2014/main" id="{ABDC156B-B435-4308-AC2D-96128FC6C957}"/>
                </a:ext>
              </a:extLst>
            </xdr:cNvPr>
            <xdr:cNvSpPr/>
          </xdr:nvSpPr>
          <xdr:spPr>
            <a:xfrm>
              <a:off x="6838950" y="123825"/>
              <a:ext cx="1314450" cy="400050"/>
            </a:xfrm>
            <a:prstGeom prst="roundRect">
              <a:avLst/>
            </a:prstGeom>
            <a:solidFill>
              <a:schemeClr val="tx2"/>
            </a:solidFill>
            <a:ln>
              <a:solidFill>
                <a:schemeClr val="tx2">
                  <a:lumMod val="60000"/>
                  <a:lumOff val="40000"/>
                </a:schemeClr>
              </a:solidFill>
            </a:ln>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954EAEA4-07B3-74B4-AA28-CC8160CFD30D}"/>
                </a:ext>
              </a:extLst>
            </xdr:cNvPr>
            <xdr:cNvSpPr txBox="1"/>
          </xdr:nvSpPr>
          <xdr:spPr>
            <a:xfrm>
              <a:off x="6819900" y="152400"/>
              <a:ext cx="15049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OVERVIEW</a:t>
              </a:r>
            </a:p>
          </xdr:txBody>
        </xdr:sp>
      </xdr:grpSp>
      <xdr:pic>
        <xdr:nvPicPr>
          <xdr:cNvPr id="11" name="Graphic 10" descr="Monitor with solid fill">
            <a:extLst>
              <a:ext uri="{FF2B5EF4-FFF2-40B4-BE49-F238E27FC236}">
                <a16:creationId xmlns:a16="http://schemas.microsoft.com/office/drawing/2014/main" id="{74147D91-30DE-D32A-C0A4-2394CB96F4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62875" y="180975"/>
            <a:ext cx="333375" cy="333375"/>
          </a:xfrm>
          <a:prstGeom prst="rect">
            <a:avLst/>
          </a:prstGeom>
        </xdr:spPr>
      </xdr:pic>
    </xdr:grpSp>
    <xdr:clientData/>
  </xdr:twoCellAnchor>
  <xdr:twoCellAnchor>
    <xdr:from>
      <xdr:col>13</xdr:col>
      <xdr:colOff>266700</xdr:colOff>
      <xdr:row>0</xdr:row>
      <xdr:rowOff>152400</xdr:rowOff>
    </xdr:from>
    <xdr:to>
      <xdr:col>15</xdr:col>
      <xdr:colOff>552450</xdr:colOff>
      <xdr:row>2</xdr:row>
      <xdr:rowOff>171450</xdr:rowOff>
    </xdr:to>
    <xdr:grpSp>
      <xdr:nvGrpSpPr>
        <xdr:cNvPr id="14" name="Group 13">
          <a:extLst>
            <a:ext uri="{FF2B5EF4-FFF2-40B4-BE49-F238E27FC236}">
              <a16:creationId xmlns:a16="http://schemas.microsoft.com/office/drawing/2014/main" id="{239E841B-5138-FE01-5CB3-628594EA6BB5}"/>
            </a:ext>
          </a:extLst>
        </xdr:cNvPr>
        <xdr:cNvGrpSpPr/>
      </xdr:nvGrpSpPr>
      <xdr:grpSpPr>
        <a:xfrm>
          <a:off x="8191500" y="152400"/>
          <a:ext cx="1504950" cy="400050"/>
          <a:chOff x="6810375" y="123825"/>
          <a:chExt cx="1504950" cy="400050"/>
        </a:xfrm>
      </xdr:grpSpPr>
      <xdr:sp macro="" textlink="">
        <xdr:nvSpPr>
          <xdr:cNvPr id="16" name="Rectangle: Rounded Corners 15" descr="as">
            <a:extLst>
              <a:ext uri="{FF2B5EF4-FFF2-40B4-BE49-F238E27FC236}">
                <a16:creationId xmlns:a16="http://schemas.microsoft.com/office/drawing/2014/main" id="{AF2875F8-E39A-62B9-0061-F358AA9EBFE3}"/>
              </a:ext>
            </a:extLst>
          </xdr:cNvPr>
          <xdr:cNvSpPr/>
        </xdr:nvSpPr>
        <xdr:spPr>
          <a:xfrm>
            <a:off x="6838950" y="123825"/>
            <a:ext cx="1314450" cy="40005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hlinkClick xmlns:r="http://schemas.openxmlformats.org/officeDocument/2006/relationships" r:id="rId3"/>
            <a:extLst>
              <a:ext uri="{FF2B5EF4-FFF2-40B4-BE49-F238E27FC236}">
                <a16:creationId xmlns:a16="http://schemas.microsoft.com/office/drawing/2014/main" id="{E02E1CA2-F990-EB4D-BC7B-D53A638C0B45}"/>
              </a:ext>
            </a:extLst>
          </xdr:cNvPr>
          <xdr:cNvSpPr txBox="1"/>
        </xdr:nvSpPr>
        <xdr:spPr>
          <a:xfrm>
            <a:off x="6810375" y="1714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ATTRITION</a:t>
            </a:r>
          </a:p>
        </xdr:txBody>
      </xdr:sp>
    </xdr:grpSp>
    <xdr:clientData/>
  </xdr:twoCellAnchor>
  <xdr:twoCellAnchor>
    <xdr:from>
      <xdr:col>15</xdr:col>
      <xdr:colOff>571500</xdr:colOff>
      <xdr:row>0</xdr:row>
      <xdr:rowOff>152400</xdr:rowOff>
    </xdr:from>
    <xdr:to>
      <xdr:col>18</xdr:col>
      <xdr:colOff>247650</xdr:colOff>
      <xdr:row>2</xdr:row>
      <xdr:rowOff>171450</xdr:rowOff>
    </xdr:to>
    <xdr:grpSp>
      <xdr:nvGrpSpPr>
        <xdr:cNvPr id="19" name="Group 18">
          <a:extLst>
            <a:ext uri="{FF2B5EF4-FFF2-40B4-BE49-F238E27FC236}">
              <a16:creationId xmlns:a16="http://schemas.microsoft.com/office/drawing/2014/main" id="{F768C3D8-C875-24EE-229B-81E439985B87}"/>
            </a:ext>
          </a:extLst>
        </xdr:cNvPr>
        <xdr:cNvGrpSpPr/>
      </xdr:nvGrpSpPr>
      <xdr:grpSpPr>
        <a:xfrm>
          <a:off x="9715500" y="152400"/>
          <a:ext cx="1504950" cy="400050"/>
          <a:chOff x="6810375" y="123825"/>
          <a:chExt cx="1504950" cy="400050"/>
        </a:xfrm>
      </xdr:grpSpPr>
      <xdr:sp macro="" textlink="">
        <xdr:nvSpPr>
          <xdr:cNvPr id="21" name="Rectangle: Rounded Corners 20" descr="as">
            <a:extLst>
              <a:ext uri="{FF2B5EF4-FFF2-40B4-BE49-F238E27FC236}">
                <a16:creationId xmlns:a16="http://schemas.microsoft.com/office/drawing/2014/main" id="{E1CB214E-E775-A5B3-EE10-30E44B17D7B7}"/>
              </a:ext>
            </a:extLst>
          </xdr:cNvPr>
          <xdr:cNvSpPr/>
        </xdr:nvSpPr>
        <xdr:spPr>
          <a:xfrm>
            <a:off x="6838950" y="123825"/>
            <a:ext cx="1314450" cy="40005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hlinkClick xmlns:r="http://schemas.openxmlformats.org/officeDocument/2006/relationships" r:id="rId4"/>
            <a:extLst>
              <a:ext uri="{FF2B5EF4-FFF2-40B4-BE49-F238E27FC236}">
                <a16:creationId xmlns:a16="http://schemas.microsoft.com/office/drawing/2014/main" id="{2ED54A10-921D-31CD-7B44-82470AC80433}"/>
              </a:ext>
            </a:extLst>
          </xdr:cNvPr>
          <xdr:cNvSpPr txBox="1"/>
        </xdr:nvSpPr>
        <xdr:spPr>
          <a:xfrm>
            <a:off x="6810375" y="19050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lumMod val="20000"/>
                    <a:lumOff val="80000"/>
                  </a:schemeClr>
                </a:solidFill>
              </a:rPr>
              <a:t>PERFORMANE</a:t>
            </a:r>
          </a:p>
        </xdr:txBody>
      </xdr:sp>
    </xdr:grpSp>
    <xdr:clientData/>
  </xdr:twoCellAnchor>
  <xdr:twoCellAnchor>
    <xdr:from>
      <xdr:col>18</xdr:col>
      <xdr:colOff>285750</xdr:colOff>
      <xdr:row>0</xdr:row>
      <xdr:rowOff>152400</xdr:rowOff>
    </xdr:from>
    <xdr:to>
      <xdr:col>20</xdr:col>
      <xdr:colOff>533401</xdr:colOff>
      <xdr:row>2</xdr:row>
      <xdr:rowOff>171450</xdr:rowOff>
    </xdr:to>
    <xdr:grpSp>
      <xdr:nvGrpSpPr>
        <xdr:cNvPr id="24" name="Group 23">
          <a:extLst>
            <a:ext uri="{FF2B5EF4-FFF2-40B4-BE49-F238E27FC236}">
              <a16:creationId xmlns:a16="http://schemas.microsoft.com/office/drawing/2014/main" id="{C503AF56-2D6C-04CE-89EB-9049899BC90E}"/>
            </a:ext>
          </a:extLst>
        </xdr:cNvPr>
        <xdr:cNvGrpSpPr/>
      </xdr:nvGrpSpPr>
      <xdr:grpSpPr>
        <a:xfrm>
          <a:off x="11258550" y="152400"/>
          <a:ext cx="1466851" cy="400050"/>
          <a:chOff x="6838950" y="123825"/>
          <a:chExt cx="1466851" cy="400050"/>
        </a:xfrm>
      </xdr:grpSpPr>
      <xdr:sp macro="" textlink="">
        <xdr:nvSpPr>
          <xdr:cNvPr id="26" name="Rectangle: Rounded Corners 25" descr="as">
            <a:extLst>
              <a:ext uri="{FF2B5EF4-FFF2-40B4-BE49-F238E27FC236}">
                <a16:creationId xmlns:a16="http://schemas.microsoft.com/office/drawing/2014/main" id="{130E984A-35EA-35DA-9F5A-875AD467D307}"/>
              </a:ext>
            </a:extLst>
          </xdr:cNvPr>
          <xdr:cNvSpPr/>
        </xdr:nvSpPr>
        <xdr:spPr>
          <a:xfrm>
            <a:off x="6838950" y="123825"/>
            <a:ext cx="1314450" cy="40005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hlinkClick xmlns:r="http://schemas.openxmlformats.org/officeDocument/2006/relationships" r:id="rId5"/>
            <a:extLst>
              <a:ext uri="{FF2B5EF4-FFF2-40B4-BE49-F238E27FC236}">
                <a16:creationId xmlns:a16="http://schemas.microsoft.com/office/drawing/2014/main" id="{787A1C1E-95BE-F8E3-5FA8-97913B0CB7CF}"/>
              </a:ext>
            </a:extLst>
          </xdr:cNvPr>
          <xdr:cNvSpPr txBox="1"/>
        </xdr:nvSpPr>
        <xdr:spPr>
          <a:xfrm>
            <a:off x="6858001" y="171450"/>
            <a:ext cx="14478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  TEURE</a:t>
            </a:r>
            <a:r>
              <a:rPr lang="en-IN" sz="1400" b="1" baseline="0">
                <a:solidFill>
                  <a:schemeClr val="tx2">
                    <a:lumMod val="20000"/>
                    <a:lumOff val="80000"/>
                  </a:schemeClr>
                </a:solidFill>
              </a:rPr>
              <a:t> </a:t>
            </a:r>
            <a:endParaRPr lang="en-IN" sz="1400" b="1">
              <a:solidFill>
                <a:schemeClr val="tx2">
                  <a:lumMod val="20000"/>
                  <a:lumOff val="80000"/>
                </a:schemeClr>
              </a:solidFill>
            </a:endParaRPr>
          </a:p>
        </xdr:txBody>
      </xdr:sp>
    </xdr:grpSp>
    <xdr:clientData/>
  </xdr:twoCellAnchor>
  <xdr:twoCellAnchor>
    <xdr:from>
      <xdr:col>19</xdr:col>
      <xdr:colOff>495301</xdr:colOff>
      <xdr:row>0</xdr:row>
      <xdr:rowOff>171451</xdr:rowOff>
    </xdr:from>
    <xdr:to>
      <xdr:col>20</xdr:col>
      <xdr:colOff>314325</xdr:colOff>
      <xdr:row>2</xdr:row>
      <xdr:rowOff>168221</xdr:rowOff>
    </xdr:to>
    <xdr:pic>
      <xdr:nvPicPr>
        <xdr:cNvPr id="29" name="Graphic 28" descr="Stopwatch with solid fill">
          <a:extLst>
            <a:ext uri="{FF2B5EF4-FFF2-40B4-BE49-F238E27FC236}">
              <a16:creationId xmlns:a16="http://schemas.microsoft.com/office/drawing/2014/main" id="{5AE219FE-5AAF-699D-F264-FE3355E9180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077701" y="171451"/>
          <a:ext cx="428624" cy="377770"/>
        </a:xfrm>
        <a:prstGeom prst="rect">
          <a:avLst/>
        </a:prstGeom>
      </xdr:spPr>
    </xdr:pic>
    <xdr:clientData/>
  </xdr:twoCellAnchor>
  <xdr:twoCellAnchor>
    <xdr:from>
      <xdr:col>17</xdr:col>
      <xdr:colOff>285751</xdr:colOff>
      <xdr:row>0</xdr:row>
      <xdr:rowOff>171451</xdr:rowOff>
    </xdr:from>
    <xdr:to>
      <xdr:col>18</xdr:col>
      <xdr:colOff>38100</xdr:colOff>
      <xdr:row>2</xdr:row>
      <xdr:rowOff>152400</xdr:rowOff>
    </xdr:to>
    <xdr:pic>
      <xdr:nvPicPr>
        <xdr:cNvPr id="31" name="Graphic 30" descr="Podium with solid fill">
          <a:extLst>
            <a:ext uri="{FF2B5EF4-FFF2-40B4-BE49-F238E27FC236}">
              <a16:creationId xmlns:a16="http://schemas.microsoft.com/office/drawing/2014/main" id="{A8BA3217-51E8-733F-F866-7B75E68D6EE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648951" y="171451"/>
          <a:ext cx="361949" cy="361949"/>
        </a:xfrm>
        <a:prstGeom prst="rect">
          <a:avLst/>
        </a:prstGeom>
      </xdr:spPr>
    </xdr:pic>
    <xdr:clientData/>
  </xdr:twoCellAnchor>
  <xdr:twoCellAnchor>
    <xdr:from>
      <xdr:col>14</xdr:col>
      <xdr:colOff>581025</xdr:colOff>
      <xdr:row>0</xdr:row>
      <xdr:rowOff>133350</xdr:rowOff>
    </xdr:from>
    <xdr:to>
      <xdr:col>15</xdr:col>
      <xdr:colOff>381000</xdr:colOff>
      <xdr:row>2</xdr:row>
      <xdr:rowOff>161925</xdr:rowOff>
    </xdr:to>
    <xdr:pic>
      <xdr:nvPicPr>
        <xdr:cNvPr id="33" name="Graphic 32" descr="User with solid fill">
          <a:extLst>
            <a:ext uri="{FF2B5EF4-FFF2-40B4-BE49-F238E27FC236}">
              <a16:creationId xmlns:a16="http://schemas.microsoft.com/office/drawing/2014/main" id="{7B82A82B-D5AB-2657-EAE5-7E17238B228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15425" y="133350"/>
          <a:ext cx="409575" cy="409575"/>
        </a:xfrm>
        <a:prstGeom prst="rect">
          <a:avLst/>
        </a:prstGeom>
      </xdr:spPr>
    </xdr:pic>
    <xdr:clientData/>
  </xdr:twoCellAnchor>
  <xdr:twoCellAnchor>
    <xdr:from>
      <xdr:col>4</xdr:col>
      <xdr:colOff>447675</xdr:colOff>
      <xdr:row>4</xdr:row>
      <xdr:rowOff>66675</xdr:rowOff>
    </xdr:from>
    <xdr:to>
      <xdr:col>8</xdr:col>
      <xdr:colOff>295276</xdr:colOff>
      <xdr:row>8</xdr:row>
      <xdr:rowOff>114301</xdr:rowOff>
    </xdr:to>
    <xdr:sp macro="" textlink="">
      <xdr:nvSpPr>
        <xdr:cNvPr id="46" name="Rectangle: Rounded Corners 45" descr="as">
          <a:extLst>
            <a:ext uri="{FF2B5EF4-FFF2-40B4-BE49-F238E27FC236}">
              <a16:creationId xmlns:a16="http://schemas.microsoft.com/office/drawing/2014/main" id="{8AEEEA15-D264-4651-ADBE-5651035F1615}"/>
            </a:ext>
          </a:extLst>
        </xdr:cNvPr>
        <xdr:cNvSpPr/>
      </xdr:nvSpPr>
      <xdr:spPr>
        <a:xfrm>
          <a:off x="2886075" y="828675"/>
          <a:ext cx="2286001"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523875</xdr:colOff>
      <xdr:row>4</xdr:row>
      <xdr:rowOff>66675</xdr:rowOff>
    </xdr:from>
    <xdr:to>
      <xdr:col>12</xdr:col>
      <xdr:colOff>371476</xdr:colOff>
      <xdr:row>8</xdr:row>
      <xdr:rowOff>114301</xdr:rowOff>
    </xdr:to>
    <xdr:sp macro="" textlink="">
      <xdr:nvSpPr>
        <xdr:cNvPr id="47" name="Rectangle: Rounded Corners 46" descr="as">
          <a:extLst>
            <a:ext uri="{FF2B5EF4-FFF2-40B4-BE49-F238E27FC236}">
              <a16:creationId xmlns:a16="http://schemas.microsoft.com/office/drawing/2014/main" id="{768C812B-E10F-437C-B7BB-C3B21E345D0C}"/>
            </a:ext>
          </a:extLst>
        </xdr:cNvPr>
        <xdr:cNvSpPr/>
      </xdr:nvSpPr>
      <xdr:spPr>
        <a:xfrm>
          <a:off x="5400675" y="828675"/>
          <a:ext cx="2286001"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590550</xdr:colOff>
      <xdr:row>4</xdr:row>
      <xdr:rowOff>57150</xdr:rowOff>
    </xdr:from>
    <xdr:to>
      <xdr:col>16</xdr:col>
      <xdr:colOff>438151</xdr:colOff>
      <xdr:row>8</xdr:row>
      <xdr:rowOff>104776</xdr:rowOff>
    </xdr:to>
    <xdr:sp macro="" textlink="">
      <xdr:nvSpPr>
        <xdr:cNvPr id="48" name="Rectangle: Rounded Corners 47" descr="as">
          <a:extLst>
            <a:ext uri="{FF2B5EF4-FFF2-40B4-BE49-F238E27FC236}">
              <a16:creationId xmlns:a16="http://schemas.microsoft.com/office/drawing/2014/main" id="{6299EE05-DAAC-4DED-A143-27BA2D055ED0}"/>
            </a:ext>
          </a:extLst>
        </xdr:cNvPr>
        <xdr:cNvSpPr/>
      </xdr:nvSpPr>
      <xdr:spPr>
        <a:xfrm>
          <a:off x="7905750" y="819150"/>
          <a:ext cx="2286001"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38101</xdr:colOff>
      <xdr:row>4</xdr:row>
      <xdr:rowOff>57150</xdr:rowOff>
    </xdr:from>
    <xdr:to>
      <xdr:col>20</xdr:col>
      <xdr:colOff>400051</xdr:colOff>
      <xdr:row>8</xdr:row>
      <xdr:rowOff>104776</xdr:rowOff>
    </xdr:to>
    <xdr:sp macro="" textlink="">
      <xdr:nvSpPr>
        <xdr:cNvPr id="49" name="Rectangle: Rounded Corners 48" descr="as">
          <a:extLst>
            <a:ext uri="{FF2B5EF4-FFF2-40B4-BE49-F238E27FC236}">
              <a16:creationId xmlns:a16="http://schemas.microsoft.com/office/drawing/2014/main" id="{560F058F-85A0-4792-9E5F-7A45C2B70E52}"/>
            </a:ext>
          </a:extLst>
        </xdr:cNvPr>
        <xdr:cNvSpPr/>
      </xdr:nvSpPr>
      <xdr:spPr>
        <a:xfrm>
          <a:off x="10401301" y="819150"/>
          <a:ext cx="2190750"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314326</xdr:colOff>
      <xdr:row>4</xdr:row>
      <xdr:rowOff>47625</xdr:rowOff>
    </xdr:from>
    <xdr:to>
      <xdr:col>8</xdr:col>
      <xdr:colOff>66676</xdr:colOff>
      <xdr:row>6</xdr:row>
      <xdr:rowOff>28575</xdr:rowOff>
    </xdr:to>
    <xdr:sp macro="" textlink="">
      <xdr:nvSpPr>
        <xdr:cNvPr id="50" name="TextBox 49">
          <a:extLst>
            <a:ext uri="{FF2B5EF4-FFF2-40B4-BE49-F238E27FC236}">
              <a16:creationId xmlns:a16="http://schemas.microsoft.com/office/drawing/2014/main" id="{0E9B3F2B-B944-4D6E-B033-F8F0CCF82985}"/>
            </a:ext>
          </a:extLst>
        </xdr:cNvPr>
        <xdr:cNvSpPr txBox="1"/>
      </xdr:nvSpPr>
      <xdr:spPr>
        <a:xfrm>
          <a:off x="3362326" y="809625"/>
          <a:ext cx="15811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u="none">
              <a:solidFill>
                <a:schemeClr val="tx2">
                  <a:lumMod val="20000"/>
                  <a:lumOff val="80000"/>
                </a:schemeClr>
              </a:solidFill>
              <a:latin typeface="+mn-lt"/>
              <a:ea typeface="+mn-ea"/>
              <a:cs typeface="+mn-cs"/>
            </a:rPr>
            <a:t>Average Age:-</a:t>
          </a:r>
        </a:p>
      </xdr:txBody>
    </xdr:sp>
    <xdr:clientData/>
  </xdr:twoCellAnchor>
  <xdr:twoCellAnchor>
    <xdr:from>
      <xdr:col>9</xdr:col>
      <xdr:colOff>19050</xdr:colOff>
      <xdr:row>4</xdr:row>
      <xdr:rowOff>38100</xdr:rowOff>
    </xdr:from>
    <xdr:to>
      <xdr:col>12</xdr:col>
      <xdr:colOff>447675</xdr:colOff>
      <xdr:row>6</xdr:row>
      <xdr:rowOff>19050</xdr:rowOff>
    </xdr:to>
    <xdr:sp macro="" textlink="">
      <xdr:nvSpPr>
        <xdr:cNvPr id="51" name="TextBox 50">
          <a:extLst>
            <a:ext uri="{FF2B5EF4-FFF2-40B4-BE49-F238E27FC236}">
              <a16:creationId xmlns:a16="http://schemas.microsoft.com/office/drawing/2014/main" id="{BB2BE241-22E4-495F-8632-E0B0DE3BD9F8}"/>
            </a:ext>
          </a:extLst>
        </xdr:cNvPr>
        <xdr:cNvSpPr txBox="1"/>
      </xdr:nvSpPr>
      <xdr:spPr>
        <a:xfrm>
          <a:off x="5505450" y="800100"/>
          <a:ext cx="2257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u="none">
              <a:solidFill>
                <a:schemeClr val="tx2">
                  <a:lumMod val="20000"/>
                  <a:lumOff val="80000"/>
                </a:schemeClr>
              </a:solidFill>
              <a:latin typeface="+mn-lt"/>
              <a:ea typeface="+mn-ea"/>
              <a:cs typeface="+mn-cs"/>
            </a:rPr>
            <a:t>Average Monthly Income:-</a:t>
          </a:r>
        </a:p>
      </xdr:txBody>
    </xdr:sp>
    <xdr:clientData/>
  </xdr:twoCellAnchor>
  <xdr:twoCellAnchor>
    <xdr:from>
      <xdr:col>14</xdr:col>
      <xdr:colOff>28575</xdr:colOff>
      <xdr:row>4</xdr:row>
      <xdr:rowOff>28575</xdr:rowOff>
    </xdr:from>
    <xdr:to>
      <xdr:col>15</xdr:col>
      <xdr:colOff>476250</xdr:colOff>
      <xdr:row>6</xdr:row>
      <xdr:rowOff>9525</xdr:rowOff>
    </xdr:to>
    <xdr:sp macro="" textlink="">
      <xdr:nvSpPr>
        <xdr:cNvPr id="52" name="TextBox 51">
          <a:extLst>
            <a:ext uri="{FF2B5EF4-FFF2-40B4-BE49-F238E27FC236}">
              <a16:creationId xmlns:a16="http://schemas.microsoft.com/office/drawing/2014/main" id="{C6F52432-BB26-4196-8D91-0DD68721EC37}"/>
            </a:ext>
          </a:extLst>
        </xdr:cNvPr>
        <xdr:cNvSpPr txBox="1"/>
      </xdr:nvSpPr>
      <xdr:spPr>
        <a:xfrm>
          <a:off x="8562975" y="790575"/>
          <a:ext cx="10572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u="none">
              <a:solidFill>
                <a:schemeClr val="tx2">
                  <a:lumMod val="20000"/>
                  <a:lumOff val="80000"/>
                </a:schemeClr>
              </a:solidFill>
              <a:latin typeface="+mn-lt"/>
              <a:ea typeface="+mn-ea"/>
              <a:cs typeface="+mn-cs"/>
            </a:rPr>
            <a:t>Male %:-</a:t>
          </a:r>
        </a:p>
      </xdr:txBody>
    </xdr:sp>
    <xdr:clientData/>
  </xdr:twoCellAnchor>
  <xdr:twoCellAnchor>
    <xdr:from>
      <xdr:col>18</xdr:col>
      <xdr:colOff>47626</xdr:colOff>
      <xdr:row>4</xdr:row>
      <xdr:rowOff>28575</xdr:rowOff>
    </xdr:from>
    <xdr:to>
      <xdr:col>19</xdr:col>
      <xdr:colOff>581026</xdr:colOff>
      <xdr:row>6</xdr:row>
      <xdr:rowOff>9525</xdr:rowOff>
    </xdr:to>
    <xdr:sp macro="" textlink="">
      <xdr:nvSpPr>
        <xdr:cNvPr id="54" name="TextBox 53">
          <a:extLst>
            <a:ext uri="{FF2B5EF4-FFF2-40B4-BE49-F238E27FC236}">
              <a16:creationId xmlns:a16="http://schemas.microsoft.com/office/drawing/2014/main" id="{3DD07007-E104-427E-B8D4-17E215B500FD}"/>
            </a:ext>
          </a:extLst>
        </xdr:cNvPr>
        <xdr:cNvSpPr txBox="1"/>
      </xdr:nvSpPr>
      <xdr:spPr>
        <a:xfrm>
          <a:off x="11020426" y="790575"/>
          <a:ext cx="1143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u="none">
              <a:solidFill>
                <a:schemeClr val="tx2">
                  <a:lumMod val="20000"/>
                  <a:lumOff val="80000"/>
                </a:schemeClr>
              </a:solidFill>
              <a:latin typeface="+mn-lt"/>
              <a:ea typeface="+mn-ea"/>
              <a:cs typeface="+mn-cs"/>
            </a:rPr>
            <a:t>Female %:-</a:t>
          </a:r>
        </a:p>
      </xdr:txBody>
    </xdr:sp>
    <xdr:clientData/>
  </xdr:twoCellAnchor>
  <xdr:twoCellAnchor>
    <xdr:from>
      <xdr:col>5</xdr:col>
      <xdr:colOff>342900</xdr:colOff>
      <xdr:row>5</xdr:row>
      <xdr:rowOff>57150</xdr:rowOff>
    </xdr:from>
    <xdr:to>
      <xdr:col>7</xdr:col>
      <xdr:colOff>400050</xdr:colOff>
      <xdr:row>8</xdr:row>
      <xdr:rowOff>85725</xdr:rowOff>
    </xdr:to>
    <xdr:sp macro="" textlink="'page 1'!M12">
      <xdr:nvSpPr>
        <xdr:cNvPr id="55" name="TextBox 54">
          <a:extLst>
            <a:ext uri="{FF2B5EF4-FFF2-40B4-BE49-F238E27FC236}">
              <a16:creationId xmlns:a16="http://schemas.microsoft.com/office/drawing/2014/main" id="{64DD2E99-AAAB-40C4-967D-848D29E81409}"/>
            </a:ext>
          </a:extLst>
        </xdr:cNvPr>
        <xdr:cNvSpPr txBox="1"/>
      </xdr:nvSpPr>
      <xdr:spPr>
        <a:xfrm>
          <a:off x="3390900" y="1009650"/>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C31313-BEA6-4127-9B60-AE68CA367FC2}" type="TxLink">
            <a:rPr lang="en-US" sz="32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3200" b="0" i="0" u="none" strike="noStrike">
            <a:solidFill>
              <a:schemeClr val="tx2">
                <a:lumMod val="20000"/>
                <a:lumOff val="80000"/>
              </a:schemeClr>
            </a:solidFill>
            <a:latin typeface="Arial Black" panose="020B0A04020102020204" pitchFamily="34" charset="0"/>
            <a:ea typeface="Calibri"/>
            <a:cs typeface="Calibri"/>
          </a:endParaRPr>
        </a:p>
      </xdr:txBody>
    </xdr:sp>
    <xdr:clientData/>
  </xdr:twoCellAnchor>
  <xdr:twoCellAnchor>
    <xdr:from>
      <xdr:col>9</xdr:col>
      <xdr:colOff>428625</xdr:colOff>
      <xdr:row>5</xdr:row>
      <xdr:rowOff>152401</xdr:rowOff>
    </xdr:from>
    <xdr:to>
      <xdr:col>12</xdr:col>
      <xdr:colOff>114301</xdr:colOff>
      <xdr:row>8</xdr:row>
      <xdr:rowOff>57150</xdr:rowOff>
    </xdr:to>
    <xdr:sp macro="" textlink="'page 1'!M15">
      <xdr:nvSpPr>
        <xdr:cNvPr id="56" name="TextBox 55">
          <a:extLst>
            <a:ext uri="{FF2B5EF4-FFF2-40B4-BE49-F238E27FC236}">
              <a16:creationId xmlns:a16="http://schemas.microsoft.com/office/drawing/2014/main" id="{26D53A43-180E-4177-8698-AAD25F8DB04F}"/>
            </a:ext>
          </a:extLst>
        </xdr:cNvPr>
        <xdr:cNvSpPr txBox="1"/>
      </xdr:nvSpPr>
      <xdr:spPr>
        <a:xfrm>
          <a:off x="5915025" y="1104901"/>
          <a:ext cx="1514476"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DDE870-A7ED-4D6B-A1B1-8C67C1378521}" type="TxLink">
            <a:rPr lang="en-US" sz="20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2000" b="0" i="0" u="none" strike="noStrike">
            <a:solidFill>
              <a:schemeClr val="tx2">
                <a:lumMod val="20000"/>
                <a:lumOff val="80000"/>
              </a:schemeClr>
            </a:solidFill>
            <a:latin typeface="Arial Black" panose="020B0A04020102020204" pitchFamily="34" charset="0"/>
            <a:ea typeface="Calibri"/>
            <a:cs typeface="Calibri"/>
          </a:endParaRPr>
        </a:p>
      </xdr:txBody>
    </xdr:sp>
    <xdr:clientData/>
  </xdr:twoCellAnchor>
  <xdr:twoCellAnchor>
    <xdr:from>
      <xdr:col>13</xdr:col>
      <xdr:colOff>561975</xdr:colOff>
      <xdr:row>5</xdr:row>
      <xdr:rowOff>47625</xdr:rowOff>
    </xdr:from>
    <xdr:to>
      <xdr:col>16</xdr:col>
      <xdr:colOff>9525</xdr:colOff>
      <xdr:row>8</xdr:row>
      <xdr:rowOff>76200</xdr:rowOff>
    </xdr:to>
    <xdr:sp macro="" textlink="'page 1'!M21">
      <xdr:nvSpPr>
        <xdr:cNvPr id="57" name="TextBox 56">
          <a:extLst>
            <a:ext uri="{FF2B5EF4-FFF2-40B4-BE49-F238E27FC236}">
              <a16:creationId xmlns:a16="http://schemas.microsoft.com/office/drawing/2014/main" id="{F3DEB00B-7078-4C7A-BF35-C9EE2DCDA8C1}"/>
            </a:ext>
          </a:extLst>
        </xdr:cNvPr>
        <xdr:cNvSpPr txBox="1"/>
      </xdr:nvSpPr>
      <xdr:spPr>
        <a:xfrm>
          <a:off x="8486775" y="1000125"/>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271394-3ED9-4CCA-97F5-97B185B8E753}" type="TxLink">
            <a:rPr lang="en-US" sz="32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3200" b="0" i="0" u="none" strike="noStrike">
            <a:solidFill>
              <a:schemeClr val="tx2">
                <a:lumMod val="20000"/>
                <a:lumOff val="80000"/>
              </a:schemeClr>
            </a:solidFill>
            <a:latin typeface="Arial Black" panose="020B0A04020102020204" pitchFamily="34" charset="0"/>
            <a:ea typeface="Calibri"/>
            <a:cs typeface="Calibri"/>
          </a:endParaRPr>
        </a:p>
      </xdr:txBody>
    </xdr:sp>
    <xdr:clientData/>
  </xdr:twoCellAnchor>
  <xdr:twoCellAnchor>
    <xdr:from>
      <xdr:col>17</xdr:col>
      <xdr:colOff>581025</xdr:colOff>
      <xdr:row>5</xdr:row>
      <xdr:rowOff>57150</xdr:rowOff>
    </xdr:from>
    <xdr:to>
      <xdr:col>20</xdr:col>
      <xdr:colOff>28575</xdr:colOff>
      <xdr:row>8</xdr:row>
      <xdr:rowOff>85725</xdr:rowOff>
    </xdr:to>
    <xdr:sp macro="" textlink="'page 1'!M22">
      <xdr:nvSpPr>
        <xdr:cNvPr id="58" name="TextBox 57">
          <a:extLst>
            <a:ext uri="{FF2B5EF4-FFF2-40B4-BE49-F238E27FC236}">
              <a16:creationId xmlns:a16="http://schemas.microsoft.com/office/drawing/2014/main" id="{28C070BC-E915-4594-A31D-CFB31A29FA5C}"/>
            </a:ext>
          </a:extLst>
        </xdr:cNvPr>
        <xdr:cNvSpPr txBox="1"/>
      </xdr:nvSpPr>
      <xdr:spPr>
        <a:xfrm>
          <a:off x="10944225" y="1009650"/>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E3DFD8-E1BC-4AF2-BDCA-B967F60B4374}" type="TxLink">
            <a:rPr lang="en-US" sz="32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3200" b="0" i="0" u="none" strike="noStrike">
            <a:solidFill>
              <a:schemeClr val="tx2">
                <a:lumMod val="20000"/>
                <a:lumOff val="80000"/>
              </a:schemeClr>
            </a:solidFill>
            <a:latin typeface="Arial Black" panose="020B0A04020102020204" pitchFamily="34" charset="0"/>
            <a:ea typeface="Calibri"/>
            <a:cs typeface="Calibri"/>
          </a:endParaRPr>
        </a:p>
      </xdr:txBody>
    </xdr:sp>
    <xdr:clientData/>
  </xdr:twoCellAnchor>
  <xdr:twoCellAnchor>
    <xdr:from>
      <xdr:col>9</xdr:col>
      <xdr:colOff>247650</xdr:colOff>
      <xdr:row>22</xdr:row>
      <xdr:rowOff>66675</xdr:rowOff>
    </xdr:from>
    <xdr:to>
      <xdr:col>17</xdr:col>
      <xdr:colOff>38100</xdr:colOff>
      <xdr:row>34</xdr:row>
      <xdr:rowOff>57150</xdr:rowOff>
    </xdr:to>
    <xdr:sp macro="" textlink="">
      <xdr:nvSpPr>
        <xdr:cNvPr id="6" name="Rectangle: Rounded Corners 5">
          <a:extLst>
            <a:ext uri="{FF2B5EF4-FFF2-40B4-BE49-F238E27FC236}">
              <a16:creationId xmlns:a16="http://schemas.microsoft.com/office/drawing/2014/main" id="{97B91F49-F8E6-472B-BFD1-E38527CD4F88}"/>
            </a:ext>
          </a:extLst>
        </xdr:cNvPr>
        <xdr:cNvSpPr/>
      </xdr:nvSpPr>
      <xdr:spPr>
        <a:xfrm>
          <a:off x="5734050" y="4257675"/>
          <a:ext cx="4667250" cy="227647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314325</xdr:colOff>
      <xdr:row>22</xdr:row>
      <xdr:rowOff>47625</xdr:rowOff>
    </xdr:from>
    <xdr:to>
      <xdr:col>9</xdr:col>
      <xdr:colOff>66675</xdr:colOff>
      <xdr:row>34</xdr:row>
      <xdr:rowOff>57150</xdr:rowOff>
    </xdr:to>
    <xdr:sp macro="" textlink="">
      <xdr:nvSpPr>
        <xdr:cNvPr id="7" name="Rectangle: Rounded Corners 6">
          <a:extLst>
            <a:ext uri="{FF2B5EF4-FFF2-40B4-BE49-F238E27FC236}">
              <a16:creationId xmlns:a16="http://schemas.microsoft.com/office/drawing/2014/main" id="{6A2DCF1A-4828-469C-A1B5-5CCBF9394489}"/>
            </a:ext>
          </a:extLst>
        </xdr:cNvPr>
        <xdr:cNvSpPr/>
      </xdr:nvSpPr>
      <xdr:spPr>
        <a:xfrm>
          <a:off x="314325" y="4238625"/>
          <a:ext cx="5238750" cy="229552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247650</xdr:colOff>
      <xdr:row>9</xdr:row>
      <xdr:rowOff>47625</xdr:rowOff>
    </xdr:from>
    <xdr:to>
      <xdr:col>17</xdr:col>
      <xdr:colOff>47625</xdr:colOff>
      <xdr:row>21</xdr:row>
      <xdr:rowOff>95250</xdr:rowOff>
    </xdr:to>
    <xdr:sp macro="" textlink="">
      <xdr:nvSpPr>
        <xdr:cNvPr id="10" name="Rectangle: Rounded Corners 9">
          <a:extLst>
            <a:ext uri="{FF2B5EF4-FFF2-40B4-BE49-F238E27FC236}">
              <a16:creationId xmlns:a16="http://schemas.microsoft.com/office/drawing/2014/main" id="{7EF94AEB-A348-424D-8B2A-FE22E17B5418}"/>
            </a:ext>
          </a:extLst>
        </xdr:cNvPr>
        <xdr:cNvSpPr/>
      </xdr:nvSpPr>
      <xdr:spPr>
        <a:xfrm>
          <a:off x="5734050" y="1762125"/>
          <a:ext cx="4676775" cy="233362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104774</xdr:colOff>
      <xdr:row>5</xdr:row>
      <xdr:rowOff>0</xdr:rowOff>
    </xdr:from>
    <xdr:to>
      <xdr:col>9</xdr:col>
      <xdr:colOff>552449</xdr:colOff>
      <xdr:row>8</xdr:row>
      <xdr:rowOff>38100</xdr:rowOff>
    </xdr:to>
    <xdr:sp macro="" textlink="">
      <xdr:nvSpPr>
        <xdr:cNvPr id="59" name="TextBox 58">
          <a:extLst>
            <a:ext uri="{FF2B5EF4-FFF2-40B4-BE49-F238E27FC236}">
              <a16:creationId xmlns:a16="http://schemas.microsoft.com/office/drawing/2014/main" id="{E5DE6143-C955-45BF-3FB3-CD1D2ABD31C5}"/>
            </a:ext>
          </a:extLst>
        </xdr:cNvPr>
        <xdr:cNvSpPr txBox="1"/>
      </xdr:nvSpPr>
      <xdr:spPr>
        <a:xfrm>
          <a:off x="5591174" y="952500"/>
          <a:ext cx="447675"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200" b="0" i="0" u="none" strike="noStrike">
              <a:solidFill>
                <a:schemeClr val="tx2">
                  <a:lumMod val="20000"/>
                  <a:lumOff val="80000"/>
                </a:schemeClr>
              </a:solidFill>
              <a:latin typeface="Arial Black" panose="020B0A04020102020204" pitchFamily="34" charset="0"/>
              <a:ea typeface="Calibri"/>
              <a:cs typeface="Calibri"/>
            </a:rPr>
            <a:t>₹</a:t>
          </a:r>
        </a:p>
      </xdr:txBody>
    </xdr:sp>
    <xdr:clientData/>
  </xdr:twoCellAnchor>
  <xdr:twoCellAnchor>
    <xdr:from>
      <xdr:col>9</xdr:col>
      <xdr:colOff>352425</xdr:colOff>
      <xdr:row>9</xdr:row>
      <xdr:rowOff>76199</xdr:rowOff>
    </xdr:from>
    <xdr:to>
      <xdr:col>16</xdr:col>
      <xdr:colOff>561975</xdr:colOff>
      <xdr:row>21</xdr:row>
      <xdr:rowOff>28575</xdr:rowOff>
    </xdr:to>
    <xdr:graphicFrame macro="">
      <xdr:nvGraphicFramePr>
        <xdr:cNvPr id="64" name="Chart 63">
          <a:extLst>
            <a:ext uri="{FF2B5EF4-FFF2-40B4-BE49-F238E27FC236}">
              <a16:creationId xmlns:a16="http://schemas.microsoft.com/office/drawing/2014/main" id="{B4720A16-22DF-4AFE-9999-CB6DB228D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342900</xdr:colOff>
      <xdr:row>22</xdr:row>
      <xdr:rowOff>9525</xdr:rowOff>
    </xdr:from>
    <xdr:to>
      <xdr:col>16</xdr:col>
      <xdr:colOff>180975</xdr:colOff>
      <xdr:row>33</xdr:row>
      <xdr:rowOff>161926</xdr:rowOff>
    </xdr:to>
    <xdr:graphicFrame macro="">
      <xdr:nvGraphicFramePr>
        <xdr:cNvPr id="65" name="Chart 64">
          <a:extLst>
            <a:ext uri="{FF2B5EF4-FFF2-40B4-BE49-F238E27FC236}">
              <a16:creationId xmlns:a16="http://schemas.microsoft.com/office/drawing/2014/main" id="{B827D503-71C4-4734-A54D-698A6C980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295275</xdr:colOff>
      <xdr:row>9</xdr:row>
      <xdr:rowOff>38100</xdr:rowOff>
    </xdr:from>
    <xdr:to>
      <xdr:col>9</xdr:col>
      <xdr:colOff>85725</xdr:colOff>
      <xdr:row>21</xdr:row>
      <xdr:rowOff>104775</xdr:rowOff>
    </xdr:to>
    <xdr:sp macro="" textlink="">
      <xdr:nvSpPr>
        <xdr:cNvPr id="3" name="Rectangle: Rounded Corners 2">
          <a:extLst>
            <a:ext uri="{FF2B5EF4-FFF2-40B4-BE49-F238E27FC236}">
              <a16:creationId xmlns:a16="http://schemas.microsoft.com/office/drawing/2014/main" id="{174254B1-68E8-AFD8-0685-5F9D3A72E459}"/>
            </a:ext>
          </a:extLst>
        </xdr:cNvPr>
        <xdr:cNvSpPr/>
      </xdr:nvSpPr>
      <xdr:spPr>
        <a:xfrm>
          <a:off x="295275" y="1752600"/>
          <a:ext cx="5276850" cy="235267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257176</xdr:colOff>
      <xdr:row>9</xdr:row>
      <xdr:rowOff>19050</xdr:rowOff>
    </xdr:from>
    <xdr:to>
      <xdr:col>9</xdr:col>
      <xdr:colOff>123825</xdr:colOff>
      <xdr:row>21</xdr:row>
      <xdr:rowOff>66674</xdr:rowOff>
    </xdr:to>
    <xdr:graphicFrame macro="">
      <xdr:nvGraphicFramePr>
        <xdr:cNvPr id="66" name="Chart 65">
          <a:extLst>
            <a:ext uri="{FF2B5EF4-FFF2-40B4-BE49-F238E27FC236}">
              <a16:creationId xmlns:a16="http://schemas.microsoft.com/office/drawing/2014/main" id="{00DC7B0D-1BD1-4476-8372-AB85C1C63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371475</xdr:colOff>
      <xdr:row>22</xdr:row>
      <xdr:rowOff>0</xdr:rowOff>
    </xdr:from>
    <xdr:to>
      <xdr:col>9</xdr:col>
      <xdr:colOff>19050</xdr:colOff>
      <xdr:row>34</xdr:row>
      <xdr:rowOff>57150</xdr:rowOff>
    </xdr:to>
    <xdr:graphicFrame macro="">
      <xdr:nvGraphicFramePr>
        <xdr:cNvPr id="67" name="Chart 66">
          <a:extLst>
            <a:ext uri="{FF2B5EF4-FFF2-40B4-BE49-F238E27FC236}">
              <a16:creationId xmlns:a16="http://schemas.microsoft.com/office/drawing/2014/main" id="{3C65E288-2268-4EA9-B071-B0BCD62FB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266700</xdr:colOff>
      <xdr:row>9</xdr:row>
      <xdr:rowOff>47625</xdr:rowOff>
    </xdr:from>
    <xdr:to>
      <xdr:col>20</xdr:col>
      <xdr:colOff>266700</xdr:colOff>
      <xdr:row>14</xdr:row>
      <xdr:rowOff>9525</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BDBD4CE5-0D4C-47FF-AE67-778DD1DAB38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629900" y="1762125"/>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295275</xdr:colOff>
      <xdr:row>14</xdr:row>
      <xdr:rowOff>104775</xdr:rowOff>
    </xdr:from>
    <xdr:to>
      <xdr:col>20</xdr:col>
      <xdr:colOff>295275</xdr:colOff>
      <xdr:row>25</xdr:row>
      <xdr:rowOff>28576</xdr:rowOff>
    </xdr:to>
    <mc:AlternateContent xmlns:mc="http://schemas.openxmlformats.org/markup-compatibility/2006" xmlns:a14="http://schemas.microsoft.com/office/drawing/2010/main">
      <mc:Choice Requires="a14">
        <xdr:graphicFrame macro="">
          <xdr:nvGraphicFramePr>
            <xdr:cNvPr id="25" name="Department 1">
              <a:extLst>
                <a:ext uri="{FF2B5EF4-FFF2-40B4-BE49-F238E27FC236}">
                  <a16:creationId xmlns:a16="http://schemas.microsoft.com/office/drawing/2014/main" id="{080EE7FD-5070-4F43-9183-740411C161B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658475" y="2771775"/>
              <a:ext cx="1828800"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295275</xdr:colOff>
      <xdr:row>25</xdr:row>
      <xdr:rowOff>142875</xdr:rowOff>
    </xdr:from>
    <xdr:to>
      <xdr:col>20</xdr:col>
      <xdr:colOff>295275</xdr:colOff>
      <xdr:row>33</xdr:row>
      <xdr:rowOff>157443</xdr:rowOff>
    </xdr:to>
    <mc:AlternateContent xmlns:mc="http://schemas.openxmlformats.org/markup-compatibility/2006" xmlns:a14="http://schemas.microsoft.com/office/drawing/2010/main">
      <mc:Choice Requires="a14">
        <xdr:graphicFrame macro="">
          <xdr:nvGraphicFramePr>
            <xdr:cNvPr id="28" name="JobRole 1">
              <a:extLst>
                <a:ext uri="{FF2B5EF4-FFF2-40B4-BE49-F238E27FC236}">
                  <a16:creationId xmlns:a16="http://schemas.microsoft.com/office/drawing/2014/main" id="{F66A1E27-B3C3-41B0-A346-DD2CCEE2E392}"/>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0658475" y="4905375"/>
              <a:ext cx="1828800" cy="1538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314325</xdr:colOff>
      <xdr:row>3</xdr:row>
      <xdr:rowOff>114300</xdr:rowOff>
    </xdr:from>
    <xdr:to>
      <xdr:col>20</xdr:col>
      <xdr:colOff>381000</xdr:colOff>
      <xdr:row>3</xdr:row>
      <xdr:rowOff>133350</xdr:rowOff>
    </xdr:to>
    <xdr:cxnSp macro="">
      <xdr:nvCxnSpPr>
        <xdr:cNvPr id="13" name="Straight Connector 12">
          <a:extLst>
            <a:ext uri="{FF2B5EF4-FFF2-40B4-BE49-F238E27FC236}">
              <a16:creationId xmlns:a16="http://schemas.microsoft.com/office/drawing/2014/main" id="{0F1B6537-083E-4916-A6E0-EA7DA6DA3118}"/>
            </a:ext>
          </a:extLst>
        </xdr:cNvPr>
        <xdr:cNvCxnSpPr/>
      </xdr:nvCxnSpPr>
      <xdr:spPr>
        <a:xfrm flipV="1">
          <a:off x="314325" y="685800"/>
          <a:ext cx="12258675" cy="19050"/>
        </a:xfrm>
        <a:prstGeom prst="line">
          <a:avLst/>
        </a:prstGeom>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20</xdr:col>
      <xdr:colOff>600075</xdr:colOff>
      <xdr:row>0</xdr:row>
      <xdr:rowOff>0</xdr:rowOff>
    </xdr:to>
    <xdr:cxnSp macro="">
      <xdr:nvCxnSpPr>
        <xdr:cNvPr id="15" name="Straight Connector 14">
          <a:extLst>
            <a:ext uri="{FF2B5EF4-FFF2-40B4-BE49-F238E27FC236}">
              <a16:creationId xmlns:a16="http://schemas.microsoft.com/office/drawing/2014/main" id="{4B227E17-F094-47AA-AB30-BC2B7F4229C8}"/>
            </a:ext>
          </a:extLst>
        </xdr:cNvPr>
        <xdr:cNvCxnSpPr/>
      </xdr:nvCxnSpPr>
      <xdr:spPr>
        <a:xfrm>
          <a:off x="0" y="0"/>
          <a:ext cx="12792075" cy="0"/>
        </a:xfrm>
        <a:prstGeom prst="line">
          <a:avLst/>
        </a:prstGeom>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238125</xdr:colOff>
      <xdr:row>5</xdr:row>
      <xdr:rowOff>95250</xdr:rowOff>
    </xdr:from>
    <xdr:to>
      <xdr:col>3</xdr:col>
      <xdr:colOff>9526</xdr:colOff>
      <xdr:row>8</xdr:row>
      <xdr:rowOff>133350</xdr:rowOff>
    </xdr:to>
    <xdr:sp macro="" textlink="$A$47">
      <xdr:nvSpPr>
        <xdr:cNvPr id="20" name="TextBox 19">
          <a:extLst>
            <a:ext uri="{FF2B5EF4-FFF2-40B4-BE49-F238E27FC236}">
              <a16:creationId xmlns:a16="http://schemas.microsoft.com/office/drawing/2014/main" id="{505D4D3B-BE9E-4400-823B-672FA6629D2E}"/>
            </a:ext>
          </a:extLst>
        </xdr:cNvPr>
        <xdr:cNvSpPr txBox="1"/>
      </xdr:nvSpPr>
      <xdr:spPr>
        <a:xfrm>
          <a:off x="847725" y="1047750"/>
          <a:ext cx="99060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212F24-3B47-4C40-9F51-F046FFADB578}" type="TxLink">
            <a:rPr lang="en-US" sz="2800" b="1" i="0" u="none" strike="noStrike">
              <a:solidFill>
                <a:schemeClr val="tx2">
                  <a:lumMod val="20000"/>
                  <a:lumOff val="80000"/>
                </a:schemeClr>
              </a:solidFill>
              <a:latin typeface="Calibri"/>
              <a:ea typeface="Calibri"/>
              <a:cs typeface="Calibri"/>
            </a:rPr>
            <a:pPr marL="0" indent="0"/>
            <a:t>2000</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18</xdr:col>
      <xdr:colOff>114300</xdr:colOff>
      <xdr:row>5</xdr:row>
      <xdr:rowOff>47625</xdr:rowOff>
    </xdr:from>
    <xdr:to>
      <xdr:col>19</xdr:col>
      <xdr:colOff>495301</xdr:colOff>
      <xdr:row>8</xdr:row>
      <xdr:rowOff>85725</xdr:rowOff>
    </xdr:to>
    <xdr:sp macro="" textlink="$B$55">
      <xdr:nvSpPr>
        <xdr:cNvPr id="32" name="TextBox 31">
          <a:extLst>
            <a:ext uri="{FF2B5EF4-FFF2-40B4-BE49-F238E27FC236}">
              <a16:creationId xmlns:a16="http://schemas.microsoft.com/office/drawing/2014/main" id="{AAC3C3F1-22B5-41DC-9845-1204D810B020}"/>
            </a:ext>
          </a:extLst>
        </xdr:cNvPr>
        <xdr:cNvSpPr txBox="1"/>
      </xdr:nvSpPr>
      <xdr:spPr>
        <a:xfrm>
          <a:off x="11087100" y="1000125"/>
          <a:ext cx="99060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B869BF-9DB1-4020-999F-20F6633823D7}" type="TxLink">
            <a:rPr lang="en-US" sz="2800" b="1" i="0" u="none" strike="noStrike">
              <a:solidFill>
                <a:schemeClr val="tx2">
                  <a:lumMod val="20000"/>
                  <a:lumOff val="80000"/>
                </a:schemeClr>
              </a:solidFill>
              <a:latin typeface="Calibri"/>
              <a:ea typeface="Calibri"/>
              <a:cs typeface="Calibri"/>
            </a:rPr>
            <a:pPr marL="0" indent="0"/>
            <a:t>33.2</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5</xdr:col>
      <xdr:colOff>514350</xdr:colOff>
      <xdr:row>5</xdr:row>
      <xdr:rowOff>104775</xdr:rowOff>
    </xdr:from>
    <xdr:to>
      <xdr:col>7</xdr:col>
      <xdr:colOff>285751</xdr:colOff>
      <xdr:row>8</xdr:row>
      <xdr:rowOff>142875</xdr:rowOff>
    </xdr:to>
    <xdr:sp macro="" textlink="$A$51">
      <xdr:nvSpPr>
        <xdr:cNvPr id="35" name="TextBox 34">
          <a:extLst>
            <a:ext uri="{FF2B5EF4-FFF2-40B4-BE49-F238E27FC236}">
              <a16:creationId xmlns:a16="http://schemas.microsoft.com/office/drawing/2014/main" id="{097CD893-A200-420D-8522-E49D953CCA0B}"/>
            </a:ext>
          </a:extLst>
        </xdr:cNvPr>
        <xdr:cNvSpPr txBox="1"/>
      </xdr:nvSpPr>
      <xdr:spPr>
        <a:xfrm>
          <a:off x="3562350" y="1057275"/>
          <a:ext cx="99060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BDEC990-9928-4790-B42C-89E41D83D9F4}" type="TxLink">
            <a:rPr lang="en-US" sz="2800" b="1" i="0" u="none" strike="noStrike">
              <a:solidFill>
                <a:schemeClr val="tx2">
                  <a:lumMod val="20000"/>
                  <a:lumOff val="80000"/>
                </a:schemeClr>
              </a:solidFill>
              <a:latin typeface="Calibri"/>
              <a:ea typeface="Calibri"/>
              <a:cs typeface="Calibri"/>
            </a:rPr>
            <a:pPr marL="0" indent="0"/>
            <a:t>39.1865</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14</xdr:col>
      <xdr:colOff>38100</xdr:colOff>
      <xdr:row>5</xdr:row>
      <xdr:rowOff>76200</xdr:rowOff>
    </xdr:from>
    <xdr:to>
      <xdr:col>15</xdr:col>
      <xdr:colOff>419101</xdr:colOff>
      <xdr:row>8</xdr:row>
      <xdr:rowOff>114300</xdr:rowOff>
    </xdr:to>
    <xdr:sp macro="" textlink="$B$53">
      <xdr:nvSpPr>
        <xdr:cNvPr id="38" name="TextBox 37">
          <a:extLst>
            <a:ext uri="{FF2B5EF4-FFF2-40B4-BE49-F238E27FC236}">
              <a16:creationId xmlns:a16="http://schemas.microsoft.com/office/drawing/2014/main" id="{66056B6E-417D-4DFE-9440-B4ACDD8F6292}"/>
            </a:ext>
          </a:extLst>
        </xdr:cNvPr>
        <xdr:cNvSpPr txBox="1"/>
      </xdr:nvSpPr>
      <xdr:spPr>
        <a:xfrm>
          <a:off x="8572500" y="1028700"/>
          <a:ext cx="99060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788122-5B23-4AF2-BF4A-1F439264A543}" type="TxLink">
            <a:rPr lang="en-US" sz="2800" b="1" i="0" u="none" strike="noStrike">
              <a:solidFill>
                <a:schemeClr val="tx2">
                  <a:lumMod val="20000"/>
                  <a:lumOff val="80000"/>
                </a:schemeClr>
              </a:solidFill>
              <a:latin typeface="Calibri"/>
              <a:ea typeface="Calibri"/>
              <a:cs typeface="Calibri"/>
            </a:rPr>
            <a:pPr marL="0" indent="0"/>
            <a:t>66.8</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9</xdr:col>
      <xdr:colOff>419101</xdr:colOff>
      <xdr:row>5</xdr:row>
      <xdr:rowOff>76200</xdr:rowOff>
    </xdr:from>
    <xdr:to>
      <xdr:col>12</xdr:col>
      <xdr:colOff>180975</xdr:colOff>
      <xdr:row>8</xdr:row>
      <xdr:rowOff>114300</xdr:rowOff>
    </xdr:to>
    <xdr:sp macro="" textlink="$A$53">
      <xdr:nvSpPr>
        <xdr:cNvPr id="40" name="TextBox 39">
          <a:extLst>
            <a:ext uri="{FF2B5EF4-FFF2-40B4-BE49-F238E27FC236}">
              <a16:creationId xmlns:a16="http://schemas.microsoft.com/office/drawing/2014/main" id="{6E908BFB-E205-4983-A408-D34B4B973A5D}"/>
            </a:ext>
          </a:extLst>
        </xdr:cNvPr>
        <xdr:cNvSpPr txBox="1"/>
      </xdr:nvSpPr>
      <xdr:spPr>
        <a:xfrm>
          <a:off x="5905501" y="1028700"/>
          <a:ext cx="1590674"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193E85-693F-4FFD-9AB4-A02099000CD5}" type="TxLink">
            <a:rPr lang="en-US" sz="2800" b="1" i="0" u="none" strike="noStrike">
              <a:solidFill>
                <a:schemeClr val="tx2">
                  <a:lumMod val="20000"/>
                  <a:lumOff val="80000"/>
                </a:schemeClr>
              </a:solidFill>
              <a:latin typeface="Calibri"/>
              <a:ea typeface="Calibri"/>
              <a:cs typeface="Calibri"/>
            </a:rPr>
            <a:pPr marL="0" indent="0"/>
            <a:t>61581.8725</a:t>
          </a:fld>
          <a:endParaRPr lang="en-IN" sz="2800" b="1" i="0" u="none" strike="noStrike">
            <a:solidFill>
              <a:schemeClr val="tx2">
                <a:lumMod val="20000"/>
                <a:lumOff val="80000"/>
              </a:schemeClr>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180975</xdr:colOff>
      <xdr:row>35</xdr:row>
      <xdr:rowOff>47625</xdr:rowOff>
    </xdr:to>
    <xdr:grpSp>
      <xdr:nvGrpSpPr>
        <xdr:cNvPr id="67" name="Group 66">
          <a:extLst>
            <a:ext uri="{FF2B5EF4-FFF2-40B4-BE49-F238E27FC236}">
              <a16:creationId xmlns:a16="http://schemas.microsoft.com/office/drawing/2014/main" id="{98BC3000-FE39-807E-2F31-733A112E8DCA}"/>
            </a:ext>
          </a:extLst>
        </xdr:cNvPr>
        <xdr:cNvGrpSpPr/>
      </xdr:nvGrpSpPr>
      <xdr:grpSpPr>
        <a:xfrm>
          <a:off x="0" y="0"/>
          <a:ext cx="12982575" cy="6715125"/>
          <a:chOff x="0" y="0"/>
          <a:chExt cx="12982575" cy="6715125"/>
        </a:xfrm>
      </xdr:grpSpPr>
      <xdr:grpSp>
        <xdr:nvGrpSpPr>
          <xdr:cNvPr id="3" name="Group 2">
            <a:extLst>
              <a:ext uri="{FF2B5EF4-FFF2-40B4-BE49-F238E27FC236}">
                <a16:creationId xmlns:a16="http://schemas.microsoft.com/office/drawing/2014/main" id="{AB7BD785-FA2F-74C7-742E-C1C060215120}"/>
              </a:ext>
            </a:extLst>
          </xdr:cNvPr>
          <xdr:cNvGrpSpPr/>
        </xdr:nvGrpSpPr>
        <xdr:grpSpPr>
          <a:xfrm>
            <a:off x="0" y="0"/>
            <a:ext cx="12782550" cy="6715125"/>
            <a:chOff x="0" y="0"/>
            <a:chExt cx="12782550" cy="6715125"/>
          </a:xfrm>
        </xdr:grpSpPr>
        <xdr:sp macro="" textlink="">
          <xdr:nvSpPr>
            <xdr:cNvPr id="63" name="Rectangle 62">
              <a:extLst>
                <a:ext uri="{FF2B5EF4-FFF2-40B4-BE49-F238E27FC236}">
                  <a16:creationId xmlns:a16="http://schemas.microsoft.com/office/drawing/2014/main" id="{E748A3F2-3B30-A8FC-58E2-BAAF467F53DC}"/>
                </a:ext>
              </a:extLst>
            </xdr:cNvPr>
            <xdr:cNvSpPr/>
          </xdr:nvSpPr>
          <xdr:spPr>
            <a:xfrm>
              <a:off x="0" y="0"/>
              <a:ext cx="12782550" cy="6715125"/>
            </a:xfrm>
            <a:prstGeom prst="rect">
              <a:avLst/>
            </a:prstGeom>
            <a:solidFill>
              <a:schemeClr val="tx2">
                <a:lumMod val="50000"/>
              </a:schemeClr>
            </a:solidFill>
            <a:ln>
              <a:noFill/>
            </a:ln>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64" name="Rectangle: Rounded Corners 63" descr="as">
              <a:extLst>
                <a:ext uri="{FF2B5EF4-FFF2-40B4-BE49-F238E27FC236}">
                  <a16:creationId xmlns:a16="http://schemas.microsoft.com/office/drawing/2014/main" id="{F541F867-19D9-338A-385A-F420B7713AD7}"/>
                </a:ext>
              </a:extLst>
            </xdr:cNvPr>
            <xdr:cNvSpPr/>
          </xdr:nvSpPr>
          <xdr:spPr>
            <a:xfrm>
              <a:off x="276226" y="819150"/>
              <a:ext cx="2343150"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age 1'!M9">
          <xdr:nvSpPr>
            <xdr:cNvPr id="65" name="TextBox 64">
              <a:extLst>
                <a:ext uri="{FF2B5EF4-FFF2-40B4-BE49-F238E27FC236}">
                  <a16:creationId xmlns:a16="http://schemas.microsoft.com/office/drawing/2014/main" id="{2B6C0D45-174B-90CD-1412-1F6164F4BD86}"/>
                </a:ext>
              </a:extLst>
            </xdr:cNvPr>
            <xdr:cNvSpPr txBox="1"/>
          </xdr:nvSpPr>
          <xdr:spPr>
            <a:xfrm>
              <a:off x="771525" y="1019174"/>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7CC206-4A57-40C4-AD25-1F9F1799D1C8}" type="TxLink">
                <a:rPr lang="en-US" sz="3200" b="0" i="0" u="none" strike="noStrike">
                  <a:solidFill>
                    <a:schemeClr val="tx2">
                      <a:lumMod val="20000"/>
                      <a:lumOff val="80000"/>
                    </a:schemeClr>
                  </a:solidFill>
                  <a:latin typeface="Arial Black" panose="020B0A04020102020204" pitchFamily="34" charset="0"/>
                  <a:ea typeface="Calibri"/>
                  <a:cs typeface="Calibri"/>
                </a:rPr>
                <a:pPr/>
                <a:t> </a:t>
              </a:fld>
              <a:endParaRPr lang="en-IN" sz="3200" b="0" u="none">
                <a:solidFill>
                  <a:schemeClr val="tx2">
                    <a:lumMod val="20000"/>
                    <a:lumOff val="80000"/>
                  </a:schemeClr>
                </a:solidFill>
                <a:latin typeface="Arial Black" panose="020B0A04020102020204" pitchFamily="34" charset="0"/>
              </a:endParaRPr>
            </a:p>
          </xdr:txBody>
        </xdr:sp>
        <xdr:sp macro="" textlink="">
          <xdr:nvSpPr>
            <xdr:cNvPr id="66" name="TextBox 65">
              <a:extLst>
                <a:ext uri="{FF2B5EF4-FFF2-40B4-BE49-F238E27FC236}">
                  <a16:creationId xmlns:a16="http://schemas.microsoft.com/office/drawing/2014/main" id="{E0EE8C6E-6864-BEF3-138E-DC3C247C12F2}"/>
                </a:ext>
              </a:extLst>
            </xdr:cNvPr>
            <xdr:cNvSpPr txBox="1"/>
          </xdr:nvSpPr>
          <xdr:spPr>
            <a:xfrm>
              <a:off x="609600" y="809625"/>
              <a:ext cx="2257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Total Attrition Count:-</a:t>
              </a:r>
              <a:endParaRPr lang="en-IN" sz="1400" b="1" u="none">
                <a:solidFill>
                  <a:schemeClr val="tx2">
                    <a:lumMod val="20000"/>
                    <a:lumOff val="80000"/>
                  </a:schemeClr>
                </a:solidFill>
              </a:endParaRPr>
            </a:p>
          </xdr:txBody>
        </xdr:sp>
      </xdr:grpSp>
      <xdr:sp macro="" textlink="">
        <xdr:nvSpPr>
          <xdr:cNvPr id="4" name="TextBox 3">
            <a:extLst>
              <a:ext uri="{FF2B5EF4-FFF2-40B4-BE49-F238E27FC236}">
                <a16:creationId xmlns:a16="http://schemas.microsoft.com/office/drawing/2014/main" id="{231E9F9E-2649-8905-6D7C-DE4B226ADE67}"/>
              </a:ext>
            </a:extLst>
          </xdr:cNvPr>
          <xdr:cNvSpPr txBox="1"/>
        </xdr:nvSpPr>
        <xdr:spPr>
          <a:xfrm>
            <a:off x="57150" y="0"/>
            <a:ext cx="62484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b="1">
                <a:solidFill>
                  <a:schemeClr val="tx2">
                    <a:lumMod val="20000"/>
                    <a:lumOff val="80000"/>
                  </a:schemeClr>
                </a:solidFill>
              </a:rPr>
              <a:t>HR ATTRITION DASHOARD</a:t>
            </a:r>
          </a:p>
        </xdr:txBody>
      </xdr:sp>
      <xdr:grpSp>
        <xdr:nvGrpSpPr>
          <xdr:cNvPr id="5" name="Group 4">
            <a:extLst>
              <a:ext uri="{FF2B5EF4-FFF2-40B4-BE49-F238E27FC236}">
                <a16:creationId xmlns:a16="http://schemas.microsoft.com/office/drawing/2014/main" id="{161B5532-FEEA-FC6F-11DB-8B501169B7D3}"/>
              </a:ext>
            </a:extLst>
          </xdr:cNvPr>
          <xdr:cNvGrpSpPr/>
        </xdr:nvGrpSpPr>
        <xdr:grpSpPr>
          <a:xfrm>
            <a:off x="6657975" y="161925"/>
            <a:ext cx="1504950" cy="400050"/>
            <a:chOff x="6810375" y="123825"/>
            <a:chExt cx="1504950" cy="400050"/>
          </a:xfrm>
        </xdr:grpSpPr>
        <xdr:grpSp>
          <xdr:nvGrpSpPr>
            <xdr:cNvPr id="42" name="Group 41">
              <a:extLst>
                <a:ext uri="{FF2B5EF4-FFF2-40B4-BE49-F238E27FC236}">
                  <a16:creationId xmlns:a16="http://schemas.microsoft.com/office/drawing/2014/main" id="{B55353E6-DE48-76C9-8D51-FEBE9E1863DD}"/>
                </a:ext>
              </a:extLst>
            </xdr:cNvPr>
            <xdr:cNvGrpSpPr/>
          </xdr:nvGrpSpPr>
          <xdr:grpSpPr>
            <a:xfrm>
              <a:off x="6810375" y="123825"/>
              <a:ext cx="1504950" cy="400050"/>
              <a:chOff x="6810375" y="123825"/>
              <a:chExt cx="1504950" cy="400050"/>
            </a:xfrm>
          </xdr:grpSpPr>
          <xdr:sp macro="" textlink="">
            <xdr:nvSpPr>
              <xdr:cNvPr id="59" name="Rectangle: Rounded Corners 58" descr="as">
                <a:extLst>
                  <a:ext uri="{FF2B5EF4-FFF2-40B4-BE49-F238E27FC236}">
                    <a16:creationId xmlns:a16="http://schemas.microsoft.com/office/drawing/2014/main" id="{B26E0B7C-31D7-013A-331F-B6E3771DDAAD}"/>
                  </a:ext>
                </a:extLst>
              </xdr:cNvPr>
              <xdr:cNvSpPr/>
            </xdr:nvSpPr>
            <xdr:spPr>
              <a:xfrm>
                <a:off x="6838950" y="123825"/>
                <a:ext cx="1314450" cy="400050"/>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TextBox 59">
                <a:hlinkClick xmlns:r="http://schemas.openxmlformats.org/officeDocument/2006/relationships" r:id="rId1"/>
                <a:extLst>
                  <a:ext uri="{FF2B5EF4-FFF2-40B4-BE49-F238E27FC236}">
                    <a16:creationId xmlns:a16="http://schemas.microsoft.com/office/drawing/2014/main" id="{2373FB33-BF76-5307-170B-D12BEBA0AC31}"/>
                  </a:ext>
                </a:extLst>
              </xdr:cNvPr>
              <xdr:cNvSpPr txBox="1"/>
            </xdr:nvSpPr>
            <xdr:spPr>
              <a:xfrm>
                <a:off x="6810375" y="1714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OVERVIEW</a:t>
                </a:r>
              </a:p>
            </xdr:txBody>
          </xdr:sp>
        </xdr:grpSp>
        <xdr:pic>
          <xdr:nvPicPr>
            <xdr:cNvPr id="43" name="Graphic 42" descr="Monitor with solid fill">
              <a:extLst>
                <a:ext uri="{FF2B5EF4-FFF2-40B4-BE49-F238E27FC236}">
                  <a16:creationId xmlns:a16="http://schemas.microsoft.com/office/drawing/2014/main" id="{FC03565D-A024-F3D7-90AA-E638C308C77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762875" y="180975"/>
              <a:ext cx="333375" cy="333375"/>
            </a:xfrm>
            <a:prstGeom prst="rect">
              <a:avLst/>
            </a:prstGeom>
          </xdr:spPr>
        </xdr:pic>
      </xdr:grpSp>
      <xdr:grpSp>
        <xdr:nvGrpSpPr>
          <xdr:cNvPr id="6" name="Group 5">
            <a:extLst>
              <a:ext uri="{FF2B5EF4-FFF2-40B4-BE49-F238E27FC236}">
                <a16:creationId xmlns:a16="http://schemas.microsoft.com/office/drawing/2014/main" id="{CD11CD0D-90D4-E9CF-1DDB-8D272DACFAF7}"/>
              </a:ext>
            </a:extLst>
          </xdr:cNvPr>
          <xdr:cNvGrpSpPr/>
        </xdr:nvGrpSpPr>
        <xdr:grpSpPr>
          <a:xfrm>
            <a:off x="8191500" y="152400"/>
            <a:ext cx="1504950" cy="400050"/>
            <a:chOff x="6810375" y="123825"/>
            <a:chExt cx="1504950" cy="400050"/>
          </a:xfrm>
        </xdr:grpSpPr>
        <xdr:sp macro="" textlink="">
          <xdr:nvSpPr>
            <xdr:cNvPr id="40" name="Rectangle: Rounded Corners 39" descr="as">
              <a:extLst>
                <a:ext uri="{FF2B5EF4-FFF2-40B4-BE49-F238E27FC236}">
                  <a16:creationId xmlns:a16="http://schemas.microsoft.com/office/drawing/2014/main" id="{4C86A30F-C1C4-02FD-92C5-7D8464BF8E92}"/>
                </a:ext>
              </a:extLst>
            </xdr:cNvPr>
            <xdr:cNvSpPr/>
          </xdr:nvSpPr>
          <xdr:spPr>
            <a:xfrm>
              <a:off x="6838950" y="123825"/>
              <a:ext cx="1314450" cy="400050"/>
            </a:xfrm>
            <a:prstGeom prst="roundRect">
              <a:avLst/>
            </a:prstGeom>
            <a:solidFill>
              <a:schemeClr val="tx2"/>
            </a:solidFill>
            <a:ln>
              <a:solidFill>
                <a:schemeClr val="tx2">
                  <a:lumMod val="60000"/>
                  <a:lumOff val="40000"/>
                </a:schemeClr>
              </a:solidFill>
            </a:ln>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TextBox 40">
              <a:extLst>
                <a:ext uri="{FF2B5EF4-FFF2-40B4-BE49-F238E27FC236}">
                  <a16:creationId xmlns:a16="http://schemas.microsoft.com/office/drawing/2014/main" id="{AC047BF9-509D-9D54-EBEE-8F4021404632}"/>
                </a:ext>
              </a:extLst>
            </xdr:cNvPr>
            <xdr:cNvSpPr txBox="1"/>
          </xdr:nvSpPr>
          <xdr:spPr>
            <a:xfrm>
              <a:off x="6810375" y="1714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ATTRITION</a:t>
              </a:r>
            </a:p>
          </xdr:txBody>
        </xdr:sp>
      </xdr:grpSp>
      <xdr:grpSp>
        <xdr:nvGrpSpPr>
          <xdr:cNvPr id="7" name="Group 6">
            <a:extLst>
              <a:ext uri="{FF2B5EF4-FFF2-40B4-BE49-F238E27FC236}">
                <a16:creationId xmlns:a16="http://schemas.microsoft.com/office/drawing/2014/main" id="{520B1F8A-BDFC-69E7-1821-85AAC766017E}"/>
              </a:ext>
            </a:extLst>
          </xdr:cNvPr>
          <xdr:cNvGrpSpPr/>
        </xdr:nvGrpSpPr>
        <xdr:grpSpPr>
          <a:xfrm>
            <a:off x="9715500" y="152400"/>
            <a:ext cx="1504950" cy="400050"/>
            <a:chOff x="6810375" y="123825"/>
            <a:chExt cx="1504950" cy="400050"/>
          </a:xfrm>
        </xdr:grpSpPr>
        <xdr:sp macro="" textlink="">
          <xdr:nvSpPr>
            <xdr:cNvPr id="38" name="Rectangle: Rounded Corners 37" descr="as">
              <a:extLst>
                <a:ext uri="{FF2B5EF4-FFF2-40B4-BE49-F238E27FC236}">
                  <a16:creationId xmlns:a16="http://schemas.microsoft.com/office/drawing/2014/main" id="{F6C7B060-40FB-ADA8-249A-9CF14A87BD2D}"/>
                </a:ext>
              </a:extLst>
            </xdr:cNvPr>
            <xdr:cNvSpPr/>
          </xdr:nvSpPr>
          <xdr:spPr>
            <a:xfrm>
              <a:off x="6838950" y="123825"/>
              <a:ext cx="1314450" cy="40005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hlinkClick xmlns:r="http://schemas.openxmlformats.org/officeDocument/2006/relationships" r:id="rId4"/>
              <a:extLst>
                <a:ext uri="{FF2B5EF4-FFF2-40B4-BE49-F238E27FC236}">
                  <a16:creationId xmlns:a16="http://schemas.microsoft.com/office/drawing/2014/main" id="{821B9F7F-9477-A017-FB89-1944607D3B83}"/>
                </a:ext>
              </a:extLst>
            </xdr:cNvPr>
            <xdr:cNvSpPr txBox="1"/>
          </xdr:nvSpPr>
          <xdr:spPr>
            <a:xfrm>
              <a:off x="6810375" y="19050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lumMod val="20000"/>
                      <a:lumOff val="80000"/>
                    </a:schemeClr>
                  </a:solidFill>
                </a:rPr>
                <a:t>PERFORMANE</a:t>
              </a:r>
            </a:p>
          </xdr:txBody>
        </xdr:sp>
      </xdr:grpSp>
      <xdr:grpSp>
        <xdr:nvGrpSpPr>
          <xdr:cNvPr id="8" name="Group 7">
            <a:extLst>
              <a:ext uri="{FF2B5EF4-FFF2-40B4-BE49-F238E27FC236}">
                <a16:creationId xmlns:a16="http://schemas.microsoft.com/office/drawing/2014/main" id="{6E422362-996D-0051-3185-A14BF43D0C15}"/>
              </a:ext>
            </a:extLst>
          </xdr:cNvPr>
          <xdr:cNvGrpSpPr/>
        </xdr:nvGrpSpPr>
        <xdr:grpSpPr>
          <a:xfrm>
            <a:off x="11258550" y="152400"/>
            <a:ext cx="1724025" cy="400050"/>
            <a:chOff x="6838950" y="123825"/>
            <a:chExt cx="1724025" cy="400050"/>
          </a:xfrm>
        </xdr:grpSpPr>
        <xdr:sp macro="" textlink="">
          <xdr:nvSpPr>
            <xdr:cNvPr id="36" name="Rectangle: Rounded Corners 35" descr="as">
              <a:extLst>
                <a:ext uri="{FF2B5EF4-FFF2-40B4-BE49-F238E27FC236}">
                  <a16:creationId xmlns:a16="http://schemas.microsoft.com/office/drawing/2014/main" id="{CE29C2F0-B09B-E5D3-04F4-4285D0AEF7EC}"/>
                </a:ext>
              </a:extLst>
            </xdr:cNvPr>
            <xdr:cNvSpPr/>
          </xdr:nvSpPr>
          <xdr:spPr>
            <a:xfrm>
              <a:off x="6838950" y="123825"/>
              <a:ext cx="1314450" cy="40005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hlinkClick xmlns:r="http://schemas.openxmlformats.org/officeDocument/2006/relationships" r:id="rId5"/>
              <a:extLst>
                <a:ext uri="{FF2B5EF4-FFF2-40B4-BE49-F238E27FC236}">
                  <a16:creationId xmlns:a16="http://schemas.microsoft.com/office/drawing/2014/main" id="{01AC1E0C-76A8-B0B6-9240-AA0455292667}"/>
                </a:ext>
              </a:extLst>
            </xdr:cNvPr>
            <xdr:cNvSpPr txBox="1"/>
          </xdr:nvSpPr>
          <xdr:spPr>
            <a:xfrm>
              <a:off x="7058025" y="1714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TEURE</a:t>
              </a:r>
              <a:r>
                <a:rPr lang="en-IN" sz="1400" b="1" baseline="0">
                  <a:solidFill>
                    <a:schemeClr val="tx2">
                      <a:lumMod val="20000"/>
                      <a:lumOff val="80000"/>
                    </a:schemeClr>
                  </a:solidFill>
                </a:rPr>
                <a:t> </a:t>
              </a:r>
              <a:endParaRPr lang="en-IN" sz="1400" b="1">
                <a:solidFill>
                  <a:schemeClr val="tx2">
                    <a:lumMod val="20000"/>
                    <a:lumOff val="80000"/>
                  </a:schemeClr>
                </a:solidFill>
              </a:endParaRPr>
            </a:p>
          </xdr:txBody>
        </xdr:sp>
      </xdr:grpSp>
      <xdr:pic>
        <xdr:nvPicPr>
          <xdr:cNvPr id="9" name="Graphic 8" descr="Stopwatch with solid fill">
            <a:extLst>
              <a:ext uri="{FF2B5EF4-FFF2-40B4-BE49-F238E27FC236}">
                <a16:creationId xmlns:a16="http://schemas.microsoft.com/office/drawing/2014/main" id="{85778788-E605-2EF3-6169-58AC2D11B1F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077701" y="171451"/>
            <a:ext cx="428624" cy="377770"/>
          </a:xfrm>
          <a:prstGeom prst="rect">
            <a:avLst/>
          </a:prstGeom>
        </xdr:spPr>
      </xdr:pic>
      <xdr:pic>
        <xdr:nvPicPr>
          <xdr:cNvPr id="10" name="Graphic 9" descr="Podium with solid fill">
            <a:extLst>
              <a:ext uri="{FF2B5EF4-FFF2-40B4-BE49-F238E27FC236}">
                <a16:creationId xmlns:a16="http://schemas.microsoft.com/office/drawing/2014/main" id="{A894E11C-A9F3-3C7C-FE73-C295405B636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648951" y="171451"/>
            <a:ext cx="361949" cy="361949"/>
          </a:xfrm>
          <a:prstGeom prst="rect">
            <a:avLst/>
          </a:prstGeom>
        </xdr:spPr>
      </xdr:pic>
      <xdr:pic>
        <xdr:nvPicPr>
          <xdr:cNvPr id="11" name="Graphic 10" descr="User with solid fill">
            <a:extLst>
              <a:ext uri="{FF2B5EF4-FFF2-40B4-BE49-F238E27FC236}">
                <a16:creationId xmlns:a16="http://schemas.microsoft.com/office/drawing/2014/main" id="{AA9C0E48-2847-6DD3-BBAE-7C88BA4835C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15425" y="133350"/>
            <a:ext cx="409575" cy="409575"/>
          </a:xfrm>
          <a:prstGeom prst="rect">
            <a:avLst/>
          </a:prstGeom>
        </xdr:spPr>
      </xdr:pic>
      <xdr:sp macro="" textlink="">
        <xdr:nvSpPr>
          <xdr:cNvPr id="12" name="Rectangle: Rounded Corners 11" descr="as">
            <a:extLst>
              <a:ext uri="{FF2B5EF4-FFF2-40B4-BE49-F238E27FC236}">
                <a16:creationId xmlns:a16="http://schemas.microsoft.com/office/drawing/2014/main" id="{1058793D-8B17-BDC2-484B-7E4BD44E8781}"/>
              </a:ext>
            </a:extLst>
          </xdr:cNvPr>
          <xdr:cNvSpPr/>
        </xdr:nvSpPr>
        <xdr:spPr>
          <a:xfrm>
            <a:off x="2886075" y="828675"/>
            <a:ext cx="2286001"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descr="as">
            <a:extLst>
              <a:ext uri="{FF2B5EF4-FFF2-40B4-BE49-F238E27FC236}">
                <a16:creationId xmlns:a16="http://schemas.microsoft.com/office/drawing/2014/main" id="{C1EA2FC8-5ABA-4AE5-4D34-6947AA91D7C5}"/>
              </a:ext>
            </a:extLst>
          </xdr:cNvPr>
          <xdr:cNvSpPr/>
        </xdr:nvSpPr>
        <xdr:spPr>
          <a:xfrm>
            <a:off x="5400675" y="828675"/>
            <a:ext cx="2286001"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descr="as">
            <a:extLst>
              <a:ext uri="{FF2B5EF4-FFF2-40B4-BE49-F238E27FC236}">
                <a16:creationId xmlns:a16="http://schemas.microsoft.com/office/drawing/2014/main" id="{9EADF81F-91EA-8AA6-6C70-55753E3C1696}"/>
              </a:ext>
            </a:extLst>
          </xdr:cNvPr>
          <xdr:cNvSpPr/>
        </xdr:nvSpPr>
        <xdr:spPr>
          <a:xfrm>
            <a:off x="7905750" y="819150"/>
            <a:ext cx="2286001"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descr="as">
            <a:extLst>
              <a:ext uri="{FF2B5EF4-FFF2-40B4-BE49-F238E27FC236}">
                <a16:creationId xmlns:a16="http://schemas.microsoft.com/office/drawing/2014/main" id="{C14AFDDA-F421-64E6-0522-063632BF52F7}"/>
              </a:ext>
            </a:extLst>
          </xdr:cNvPr>
          <xdr:cNvSpPr/>
        </xdr:nvSpPr>
        <xdr:spPr>
          <a:xfrm>
            <a:off x="10401301" y="819150"/>
            <a:ext cx="2190750"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E4F51C26-FCC6-ABBA-19DA-AE2044F2F111}"/>
              </a:ext>
            </a:extLst>
          </xdr:cNvPr>
          <xdr:cNvSpPr txBox="1"/>
        </xdr:nvSpPr>
        <xdr:spPr>
          <a:xfrm>
            <a:off x="3362326" y="819150"/>
            <a:ext cx="15811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2">
                    <a:lumMod val="20000"/>
                    <a:lumOff val="80000"/>
                  </a:schemeClr>
                </a:solidFill>
                <a:latin typeface="+mn-lt"/>
                <a:ea typeface="+mn-ea"/>
                <a:cs typeface="+mn-cs"/>
              </a:rPr>
              <a:t>Attrition</a:t>
            </a:r>
            <a:r>
              <a:rPr lang="en-IN" sz="1400"/>
              <a:t> </a:t>
            </a:r>
            <a:r>
              <a:rPr lang="en-IN" sz="1400" b="1">
                <a:solidFill>
                  <a:schemeClr val="tx2">
                    <a:lumMod val="20000"/>
                    <a:lumOff val="80000"/>
                  </a:schemeClr>
                </a:solidFill>
                <a:latin typeface="+mn-lt"/>
                <a:ea typeface="+mn-ea"/>
                <a:cs typeface="+mn-cs"/>
              </a:rPr>
              <a:t>Rate</a:t>
            </a:r>
          </a:p>
        </xdr:txBody>
      </xdr:sp>
      <xdr:sp macro="" textlink="">
        <xdr:nvSpPr>
          <xdr:cNvPr id="17" name="TextBox 16">
            <a:extLst>
              <a:ext uri="{FF2B5EF4-FFF2-40B4-BE49-F238E27FC236}">
                <a16:creationId xmlns:a16="http://schemas.microsoft.com/office/drawing/2014/main" id="{EF45DD05-4495-70C1-3AB6-62D385DB0BBA}"/>
              </a:ext>
            </a:extLst>
          </xdr:cNvPr>
          <xdr:cNvSpPr txBox="1"/>
        </xdr:nvSpPr>
        <xdr:spPr>
          <a:xfrm>
            <a:off x="6086476" y="828675"/>
            <a:ext cx="9525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2">
                    <a:lumMod val="20000"/>
                    <a:lumOff val="80000"/>
                  </a:schemeClr>
                </a:solidFill>
                <a:latin typeface="+mn-lt"/>
                <a:ea typeface="+mn-ea"/>
                <a:cs typeface="+mn-cs"/>
              </a:rPr>
              <a:t>Tenure:-</a:t>
            </a:r>
          </a:p>
        </xdr:txBody>
      </xdr:sp>
      <xdr:sp macro="" textlink="">
        <xdr:nvSpPr>
          <xdr:cNvPr id="18" name="TextBox 17">
            <a:extLst>
              <a:ext uri="{FF2B5EF4-FFF2-40B4-BE49-F238E27FC236}">
                <a16:creationId xmlns:a16="http://schemas.microsoft.com/office/drawing/2014/main" id="{AB2AF28C-91BE-6431-F71B-DA4EEE4A5A86}"/>
              </a:ext>
            </a:extLst>
          </xdr:cNvPr>
          <xdr:cNvSpPr txBox="1"/>
        </xdr:nvSpPr>
        <xdr:spPr>
          <a:xfrm>
            <a:off x="8239125" y="790575"/>
            <a:ext cx="16764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2">
                    <a:lumMod val="20000"/>
                    <a:lumOff val="80000"/>
                  </a:schemeClr>
                </a:solidFill>
                <a:latin typeface="+mn-lt"/>
                <a:ea typeface="+mn-ea"/>
                <a:cs typeface="+mn-cs"/>
              </a:rPr>
              <a:t>Avg</a:t>
            </a:r>
            <a:r>
              <a:rPr lang="en-IN" sz="1400"/>
              <a:t> </a:t>
            </a:r>
            <a:r>
              <a:rPr lang="en-IN" sz="1400" b="1">
                <a:solidFill>
                  <a:schemeClr val="tx2">
                    <a:lumMod val="20000"/>
                    <a:lumOff val="80000"/>
                  </a:schemeClr>
                </a:solidFill>
                <a:latin typeface="+mn-lt"/>
                <a:ea typeface="+mn-ea"/>
                <a:cs typeface="+mn-cs"/>
              </a:rPr>
              <a:t>Monthly</a:t>
            </a:r>
            <a:r>
              <a:rPr lang="en-IN" sz="1400"/>
              <a:t> </a:t>
            </a:r>
            <a:r>
              <a:rPr lang="en-IN" sz="1400" b="1">
                <a:solidFill>
                  <a:schemeClr val="tx2">
                    <a:lumMod val="20000"/>
                    <a:lumOff val="80000"/>
                  </a:schemeClr>
                </a:solidFill>
                <a:latin typeface="+mn-lt"/>
                <a:ea typeface="+mn-ea"/>
                <a:cs typeface="+mn-cs"/>
              </a:rPr>
              <a:t>Salary</a:t>
            </a:r>
          </a:p>
        </xdr:txBody>
      </xdr:sp>
      <xdr:sp macro="" textlink="">
        <xdr:nvSpPr>
          <xdr:cNvPr id="19" name="TextBox 18">
            <a:extLst>
              <a:ext uri="{FF2B5EF4-FFF2-40B4-BE49-F238E27FC236}">
                <a16:creationId xmlns:a16="http://schemas.microsoft.com/office/drawing/2014/main" id="{A6139858-333A-955E-DC38-40C6C4393473}"/>
              </a:ext>
            </a:extLst>
          </xdr:cNvPr>
          <xdr:cNvSpPr txBox="1"/>
        </xdr:nvSpPr>
        <xdr:spPr>
          <a:xfrm>
            <a:off x="11020426" y="790575"/>
            <a:ext cx="1143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2">
                    <a:lumMod val="20000"/>
                    <a:lumOff val="80000"/>
                  </a:schemeClr>
                </a:solidFill>
                <a:latin typeface="+mn-lt"/>
                <a:ea typeface="+mn-ea"/>
                <a:cs typeface="+mn-cs"/>
              </a:rPr>
              <a:t>Overtime</a:t>
            </a:r>
            <a:r>
              <a:rPr lang="en-IN" sz="1400"/>
              <a:t> </a:t>
            </a:r>
            <a:r>
              <a:rPr lang="en-IN" sz="1400" b="1">
                <a:solidFill>
                  <a:schemeClr val="tx2">
                    <a:lumMod val="20000"/>
                    <a:lumOff val="80000"/>
                  </a:schemeClr>
                </a:solidFill>
                <a:latin typeface="+mn-lt"/>
                <a:ea typeface="+mn-ea"/>
                <a:cs typeface="+mn-cs"/>
              </a:rPr>
              <a:t>%</a:t>
            </a:r>
          </a:p>
        </xdr:txBody>
      </xdr:sp>
      <xdr:sp macro="" textlink="'page 1'!M12">
        <xdr:nvSpPr>
          <xdr:cNvPr id="20" name="TextBox 19">
            <a:extLst>
              <a:ext uri="{FF2B5EF4-FFF2-40B4-BE49-F238E27FC236}">
                <a16:creationId xmlns:a16="http://schemas.microsoft.com/office/drawing/2014/main" id="{4ECF8806-734D-B937-6AB5-D419C88EADE6}"/>
              </a:ext>
            </a:extLst>
          </xdr:cNvPr>
          <xdr:cNvSpPr txBox="1"/>
        </xdr:nvSpPr>
        <xdr:spPr>
          <a:xfrm>
            <a:off x="3390900" y="1009650"/>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C31313-BEA6-4127-9B60-AE68CA367FC2}" type="TxLink">
              <a:rPr lang="en-US" sz="32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3200" b="0" i="0" u="none" strike="noStrike">
              <a:solidFill>
                <a:schemeClr val="tx2">
                  <a:lumMod val="20000"/>
                  <a:lumOff val="80000"/>
                </a:schemeClr>
              </a:solidFill>
              <a:latin typeface="Arial Black" panose="020B0A04020102020204" pitchFamily="34" charset="0"/>
              <a:ea typeface="Calibri"/>
              <a:cs typeface="Calibri"/>
            </a:endParaRPr>
          </a:p>
        </xdr:txBody>
      </xdr:sp>
      <xdr:sp macro="" textlink="'page 1'!M15">
        <xdr:nvSpPr>
          <xdr:cNvPr id="21" name="TextBox 20">
            <a:extLst>
              <a:ext uri="{FF2B5EF4-FFF2-40B4-BE49-F238E27FC236}">
                <a16:creationId xmlns:a16="http://schemas.microsoft.com/office/drawing/2014/main" id="{71EB8082-6438-EC9A-6839-62930FB98BDB}"/>
              </a:ext>
            </a:extLst>
          </xdr:cNvPr>
          <xdr:cNvSpPr txBox="1"/>
        </xdr:nvSpPr>
        <xdr:spPr>
          <a:xfrm>
            <a:off x="5915025" y="1104901"/>
            <a:ext cx="1514476"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DDE870-A7ED-4D6B-A1B1-8C67C1378521}" type="TxLink">
              <a:rPr lang="en-US" sz="20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2000" b="0" i="0" u="none" strike="noStrike">
              <a:solidFill>
                <a:schemeClr val="tx2">
                  <a:lumMod val="20000"/>
                  <a:lumOff val="80000"/>
                </a:schemeClr>
              </a:solidFill>
              <a:latin typeface="Arial Black" panose="020B0A04020102020204" pitchFamily="34" charset="0"/>
              <a:ea typeface="Calibri"/>
              <a:cs typeface="Calibri"/>
            </a:endParaRPr>
          </a:p>
        </xdr:txBody>
      </xdr:sp>
      <xdr:sp macro="" textlink="'page 1'!M21">
        <xdr:nvSpPr>
          <xdr:cNvPr id="22" name="TextBox 21">
            <a:extLst>
              <a:ext uri="{FF2B5EF4-FFF2-40B4-BE49-F238E27FC236}">
                <a16:creationId xmlns:a16="http://schemas.microsoft.com/office/drawing/2014/main" id="{51D082AB-0267-5E8C-C0B5-54D7576EA808}"/>
              </a:ext>
            </a:extLst>
          </xdr:cNvPr>
          <xdr:cNvSpPr txBox="1"/>
        </xdr:nvSpPr>
        <xdr:spPr>
          <a:xfrm>
            <a:off x="8486775" y="1000125"/>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271394-3ED9-4CCA-97F5-97B185B8E753}" type="TxLink">
              <a:rPr lang="en-US" sz="32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3200" b="0" i="0" u="none" strike="noStrike">
              <a:solidFill>
                <a:schemeClr val="tx2">
                  <a:lumMod val="20000"/>
                  <a:lumOff val="80000"/>
                </a:schemeClr>
              </a:solidFill>
              <a:latin typeface="Arial Black" panose="020B0A04020102020204" pitchFamily="34" charset="0"/>
              <a:ea typeface="Calibri"/>
              <a:cs typeface="Calibri"/>
            </a:endParaRPr>
          </a:p>
        </xdr:txBody>
      </xdr:sp>
      <xdr:sp macro="" textlink="'page 1'!M22">
        <xdr:nvSpPr>
          <xdr:cNvPr id="23" name="TextBox 22">
            <a:extLst>
              <a:ext uri="{FF2B5EF4-FFF2-40B4-BE49-F238E27FC236}">
                <a16:creationId xmlns:a16="http://schemas.microsoft.com/office/drawing/2014/main" id="{554D9ECC-4E58-BC77-90F4-27EE41EE443A}"/>
              </a:ext>
            </a:extLst>
          </xdr:cNvPr>
          <xdr:cNvSpPr txBox="1"/>
        </xdr:nvSpPr>
        <xdr:spPr>
          <a:xfrm>
            <a:off x="10944225" y="1009650"/>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E3DFD8-E1BC-4AF2-BDCA-B967F60B4374}" type="TxLink">
              <a:rPr lang="en-US" sz="32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3200" b="0" i="0" u="none" strike="noStrike">
              <a:solidFill>
                <a:schemeClr val="tx2">
                  <a:lumMod val="20000"/>
                  <a:lumOff val="80000"/>
                </a:schemeClr>
              </a:solidFill>
              <a:latin typeface="Arial Black" panose="020B0A04020102020204" pitchFamily="34" charset="0"/>
              <a:ea typeface="Calibri"/>
              <a:cs typeface="Calibri"/>
            </a:endParaRPr>
          </a:p>
        </xdr:txBody>
      </xdr:sp>
      <xdr:sp macro="" textlink="">
        <xdr:nvSpPr>
          <xdr:cNvPr id="24" name="Rectangle: Rounded Corners 23">
            <a:extLst>
              <a:ext uri="{FF2B5EF4-FFF2-40B4-BE49-F238E27FC236}">
                <a16:creationId xmlns:a16="http://schemas.microsoft.com/office/drawing/2014/main" id="{64EAEC0F-C537-DD35-35BA-A3C1ABBD0597}"/>
              </a:ext>
            </a:extLst>
          </xdr:cNvPr>
          <xdr:cNvSpPr/>
        </xdr:nvSpPr>
        <xdr:spPr>
          <a:xfrm>
            <a:off x="5734050" y="4257675"/>
            <a:ext cx="4667250" cy="227647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BC3BA004-C282-B260-ABAA-2573F5E64913}"/>
              </a:ext>
            </a:extLst>
          </xdr:cNvPr>
          <xdr:cNvSpPr/>
        </xdr:nvSpPr>
        <xdr:spPr>
          <a:xfrm>
            <a:off x="5734050" y="1762125"/>
            <a:ext cx="4676775" cy="233362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age 2'!P3">
        <xdr:nvSpPr>
          <xdr:cNvPr id="27" name="TextBox 26">
            <a:extLst>
              <a:ext uri="{FF2B5EF4-FFF2-40B4-BE49-F238E27FC236}">
                <a16:creationId xmlns:a16="http://schemas.microsoft.com/office/drawing/2014/main" id="{81EEF814-D89A-F318-0723-66B1A0C47D52}"/>
              </a:ext>
            </a:extLst>
          </xdr:cNvPr>
          <xdr:cNvSpPr txBox="1"/>
        </xdr:nvSpPr>
        <xdr:spPr>
          <a:xfrm>
            <a:off x="1028699" y="1000125"/>
            <a:ext cx="99060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E79CB5-FCD6-4BBF-B7D8-7D6AB0924DB8}" type="TxLink">
              <a:rPr lang="en-US" sz="2800" b="1" i="0" u="none" strike="noStrike">
                <a:solidFill>
                  <a:schemeClr val="tx2">
                    <a:lumMod val="20000"/>
                    <a:lumOff val="80000"/>
                  </a:schemeClr>
                </a:solidFill>
                <a:latin typeface="Calibri"/>
                <a:ea typeface="Calibri"/>
                <a:cs typeface="Calibri"/>
              </a:rPr>
              <a:pPr marL="0" indent="0"/>
              <a:t>276</a:t>
            </a:fld>
            <a:endParaRPr lang="en-IN" sz="2800" b="1" i="0" u="none" strike="noStrike">
              <a:solidFill>
                <a:schemeClr val="tx2">
                  <a:lumMod val="20000"/>
                  <a:lumOff val="80000"/>
                </a:schemeClr>
              </a:solidFill>
              <a:latin typeface="Calibri"/>
              <a:ea typeface="Calibri"/>
              <a:cs typeface="Calibri"/>
            </a:endParaRPr>
          </a:p>
        </xdr:txBody>
      </xdr:sp>
      <xdr:sp macro="" textlink="">
        <xdr:nvSpPr>
          <xdr:cNvPr id="30" name="Rectangle: Rounded Corners 29">
            <a:extLst>
              <a:ext uri="{FF2B5EF4-FFF2-40B4-BE49-F238E27FC236}">
                <a16:creationId xmlns:a16="http://schemas.microsoft.com/office/drawing/2014/main" id="{A8347A8A-CD9B-90EB-7E3A-1717529DAA4C}"/>
              </a:ext>
            </a:extLst>
          </xdr:cNvPr>
          <xdr:cNvSpPr/>
        </xdr:nvSpPr>
        <xdr:spPr>
          <a:xfrm>
            <a:off x="295275" y="1752600"/>
            <a:ext cx="5276850" cy="475297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4" name="Department 2">
                <a:extLst>
                  <a:ext uri="{FF2B5EF4-FFF2-40B4-BE49-F238E27FC236}">
                    <a16:creationId xmlns:a16="http://schemas.microsoft.com/office/drawing/2014/main" id="{03FB62E3-72C0-F224-64FB-34C3E5A7228E}"/>
                  </a:ext>
                </a:extLst>
              </xdr:cNvPr>
              <xdr:cNvGraphicFramePr/>
            </xdr:nvGraphicFramePr>
            <xdr:xfrm>
              <a:off x="10658475" y="2771775"/>
              <a:ext cx="1828800" cy="2019301"/>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658475" y="2771775"/>
                <a:ext cx="1828800"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JobRole 2">
                <a:extLst>
                  <a:ext uri="{FF2B5EF4-FFF2-40B4-BE49-F238E27FC236}">
                    <a16:creationId xmlns:a16="http://schemas.microsoft.com/office/drawing/2014/main" id="{E928CA9D-AA4B-7237-2E80-C0462310A8DA}"/>
                  </a:ext>
                </a:extLst>
              </xdr:cNvPr>
              <xdr:cNvGraphicFramePr/>
            </xdr:nvGraphicFramePr>
            <xdr:xfrm>
              <a:off x="10658475" y="4905375"/>
              <a:ext cx="1828800" cy="1538568"/>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10658475" y="4905375"/>
                <a:ext cx="1828800" cy="1538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266700</xdr:colOff>
      <xdr:row>3</xdr:row>
      <xdr:rowOff>123825</xdr:rowOff>
    </xdr:from>
    <xdr:to>
      <xdr:col>20</xdr:col>
      <xdr:colOff>333375</xdr:colOff>
      <xdr:row>3</xdr:row>
      <xdr:rowOff>142875</xdr:rowOff>
    </xdr:to>
    <xdr:cxnSp macro="">
      <xdr:nvCxnSpPr>
        <xdr:cNvPr id="68" name="Straight Connector 67">
          <a:extLst>
            <a:ext uri="{FF2B5EF4-FFF2-40B4-BE49-F238E27FC236}">
              <a16:creationId xmlns:a16="http://schemas.microsoft.com/office/drawing/2014/main" id="{7EF0819C-AE0B-4390-99FD-53B9CD401C54}"/>
            </a:ext>
          </a:extLst>
        </xdr:cNvPr>
        <xdr:cNvCxnSpPr/>
      </xdr:nvCxnSpPr>
      <xdr:spPr>
        <a:xfrm flipV="1">
          <a:off x="266700" y="695325"/>
          <a:ext cx="12258675" cy="19050"/>
        </a:xfrm>
        <a:prstGeom prst="line">
          <a:avLst/>
        </a:prstGeom>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342900</xdr:colOff>
      <xdr:row>5</xdr:row>
      <xdr:rowOff>123825</xdr:rowOff>
    </xdr:from>
    <xdr:to>
      <xdr:col>16</xdr:col>
      <xdr:colOff>381001</xdr:colOff>
      <xdr:row>8</xdr:row>
      <xdr:rowOff>161925</xdr:rowOff>
    </xdr:to>
    <xdr:sp macro="" textlink="'page 2'!P9">
      <xdr:nvSpPr>
        <xdr:cNvPr id="2" name="TextBox 1">
          <a:extLst>
            <a:ext uri="{FF2B5EF4-FFF2-40B4-BE49-F238E27FC236}">
              <a16:creationId xmlns:a16="http://schemas.microsoft.com/office/drawing/2014/main" id="{92CB04EE-B66E-415E-AECE-A602ABC61AC6}"/>
            </a:ext>
          </a:extLst>
        </xdr:cNvPr>
        <xdr:cNvSpPr txBox="1"/>
      </xdr:nvSpPr>
      <xdr:spPr>
        <a:xfrm>
          <a:off x="8267700" y="1076325"/>
          <a:ext cx="186690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14E72E-EC44-4122-93E7-7BB5B1834A4B}" type="TxLink">
            <a:rPr lang="en-US" sz="2800" b="1" i="0" u="none" strike="noStrike">
              <a:solidFill>
                <a:schemeClr val="tx2">
                  <a:lumMod val="20000"/>
                  <a:lumOff val="80000"/>
                </a:schemeClr>
              </a:solidFill>
              <a:latin typeface="Calibri"/>
              <a:ea typeface="Calibri"/>
              <a:cs typeface="Calibri"/>
            </a:rPr>
            <a:pPr marL="0" indent="0"/>
            <a:t>58789.55072</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9</xdr:col>
      <xdr:colOff>457200</xdr:colOff>
      <xdr:row>5</xdr:row>
      <xdr:rowOff>85725</xdr:rowOff>
    </xdr:from>
    <xdr:to>
      <xdr:col>12</xdr:col>
      <xdr:colOff>495301</xdr:colOff>
      <xdr:row>8</xdr:row>
      <xdr:rowOff>123825</xdr:rowOff>
    </xdr:to>
    <xdr:sp macro="" textlink="'page 2'!P7">
      <xdr:nvSpPr>
        <xdr:cNvPr id="44" name="TextBox 43">
          <a:extLst>
            <a:ext uri="{FF2B5EF4-FFF2-40B4-BE49-F238E27FC236}">
              <a16:creationId xmlns:a16="http://schemas.microsoft.com/office/drawing/2014/main" id="{D3609F92-E03A-433F-9FE2-CD10CE603AC8}"/>
            </a:ext>
          </a:extLst>
        </xdr:cNvPr>
        <xdr:cNvSpPr txBox="1"/>
      </xdr:nvSpPr>
      <xdr:spPr>
        <a:xfrm>
          <a:off x="5943600" y="1038225"/>
          <a:ext cx="186690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FDFA55-CC60-446D-A6E1-3A60C2B45B21}" type="TxLink">
            <a:rPr lang="en-US" sz="2800" b="1" i="0" u="none" strike="noStrike">
              <a:solidFill>
                <a:schemeClr val="tx2">
                  <a:lumMod val="20000"/>
                  <a:lumOff val="80000"/>
                </a:schemeClr>
              </a:solidFill>
              <a:latin typeface="Calibri"/>
              <a:ea typeface="Calibri"/>
              <a:cs typeface="Calibri"/>
            </a:rPr>
            <a:pPr marL="0" indent="0"/>
            <a:t>11.68</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5</xdr:col>
      <xdr:colOff>514350</xdr:colOff>
      <xdr:row>5</xdr:row>
      <xdr:rowOff>85725</xdr:rowOff>
    </xdr:from>
    <xdr:to>
      <xdr:col>7</xdr:col>
      <xdr:colOff>238125</xdr:colOff>
      <xdr:row>8</xdr:row>
      <xdr:rowOff>114300</xdr:rowOff>
    </xdr:to>
    <xdr:sp macro="" textlink="'page 2'!P5">
      <xdr:nvSpPr>
        <xdr:cNvPr id="45" name="TextBox 44">
          <a:extLst>
            <a:ext uri="{FF2B5EF4-FFF2-40B4-BE49-F238E27FC236}">
              <a16:creationId xmlns:a16="http://schemas.microsoft.com/office/drawing/2014/main" id="{9E2562D7-F46B-490D-869C-1A7EAD11F495}"/>
            </a:ext>
          </a:extLst>
        </xdr:cNvPr>
        <xdr:cNvSpPr txBox="1"/>
      </xdr:nvSpPr>
      <xdr:spPr>
        <a:xfrm>
          <a:off x="3562350" y="1038225"/>
          <a:ext cx="942975"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8243E5-C7C8-4CFB-9E94-94E15F2705F3}" type="TxLink">
            <a:rPr lang="en-US" sz="2800" b="1" i="0" u="none" strike="noStrike">
              <a:solidFill>
                <a:schemeClr val="tx2">
                  <a:lumMod val="20000"/>
                  <a:lumOff val="80000"/>
                </a:schemeClr>
              </a:solidFill>
              <a:latin typeface="Calibri"/>
              <a:ea typeface="Calibri"/>
              <a:cs typeface="Calibri"/>
            </a:rPr>
            <a:pPr marL="0" indent="0"/>
            <a:t>13.8</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18</xdr:col>
      <xdr:colOff>47625</xdr:colOff>
      <xdr:row>5</xdr:row>
      <xdr:rowOff>133350</xdr:rowOff>
    </xdr:from>
    <xdr:to>
      <xdr:col>21</xdr:col>
      <xdr:colOff>85726</xdr:colOff>
      <xdr:row>8</xdr:row>
      <xdr:rowOff>171450</xdr:rowOff>
    </xdr:to>
    <xdr:sp macro="" textlink="'page 2'!P11">
      <xdr:nvSpPr>
        <xdr:cNvPr id="46" name="TextBox 45">
          <a:extLst>
            <a:ext uri="{FF2B5EF4-FFF2-40B4-BE49-F238E27FC236}">
              <a16:creationId xmlns:a16="http://schemas.microsoft.com/office/drawing/2014/main" id="{F7893E2E-3397-4092-B4E7-E12D1596CBB5}"/>
            </a:ext>
          </a:extLst>
        </xdr:cNvPr>
        <xdr:cNvSpPr txBox="1"/>
      </xdr:nvSpPr>
      <xdr:spPr>
        <a:xfrm>
          <a:off x="11020425" y="1085850"/>
          <a:ext cx="186690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FC090D-8139-4F80-817A-02DF2EEA32F5}" type="TxLink">
            <a:rPr lang="en-US" sz="2800" b="1" i="0" u="none" strike="noStrike">
              <a:solidFill>
                <a:schemeClr val="tx2">
                  <a:lumMod val="20000"/>
                  <a:lumOff val="80000"/>
                </a:schemeClr>
              </a:solidFill>
              <a:latin typeface="Calibri"/>
              <a:ea typeface="Calibri"/>
              <a:cs typeface="Calibri"/>
            </a:rPr>
            <a:pPr marL="0" indent="0"/>
            <a:t>0.25</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13</xdr:col>
      <xdr:colOff>38100</xdr:colOff>
      <xdr:row>5</xdr:row>
      <xdr:rowOff>19050</xdr:rowOff>
    </xdr:from>
    <xdr:to>
      <xdr:col>13</xdr:col>
      <xdr:colOff>485775</xdr:colOff>
      <xdr:row>8</xdr:row>
      <xdr:rowOff>57150</xdr:rowOff>
    </xdr:to>
    <xdr:sp macro="" textlink="">
      <xdr:nvSpPr>
        <xdr:cNvPr id="48" name="TextBox 47">
          <a:extLst>
            <a:ext uri="{FF2B5EF4-FFF2-40B4-BE49-F238E27FC236}">
              <a16:creationId xmlns:a16="http://schemas.microsoft.com/office/drawing/2014/main" id="{7CF51DA0-F5A0-4B54-85BE-3A16B2EF4904}"/>
            </a:ext>
          </a:extLst>
        </xdr:cNvPr>
        <xdr:cNvSpPr txBox="1"/>
      </xdr:nvSpPr>
      <xdr:spPr>
        <a:xfrm>
          <a:off x="7962900" y="971550"/>
          <a:ext cx="447675"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200" b="0" i="0" u="none" strike="noStrike">
              <a:solidFill>
                <a:schemeClr val="tx2">
                  <a:lumMod val="20000"/>
                  <a:lumOff val="80000"/>
                </a:schemeClr>
              </a:solidFill>
              <a:latin typeface="Arial Black" panose="020B0A04020102020204" pitchFamily="34" charset="0"/>
              <a:ea typeface="Calibri"/>
              <a:cs typeface="Calibri"/>
            </a:rPr>
            <a:t>₹</a:t>
          </a:r>
        </a:p>
      </xdr:txBody>
    </xdr:sp>
    <xdr:clientData/>
  </xdr:twoCellAnchor>
  <xdr:twoCellAnchor>
    <xdr:from>
      <xdr:col>0</xdr:col>
      <xdr:colOff>390524</xdr:colOff>
      <xdr:row>8</xdr:row>
      <xdr:rowOff>190499</xdr:rowOff>
    </xdr:from>
    <xdr:to>
      <xdr:col>8</xdr:col>
      <xdr:colOff>609599</xdr:colOff>
      <xdr:row>34</xdr:row>
      <xdr:rowOff>104774</xdr:rowOff>
    </xdr:to>
    <xdr:graphicFrame macro="">
      <xdr:nvGraphicFramePr>
        <xdr:cNvPr id="49" name="Chart 48">
          <a:extLst>
            <a:ext uri="{FF2B5EF4-FFF2-40B4-BE49-F238E27FC236}">
              <a16:creationId xmlns:a16="http://schemas.microsoft.com/office/drawing/2014/main" id="{D0ABAB40-FDC4-4EC2-A10C-986B615AE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381000</xdr:colOff>
      <xdr:row>9</xdr:row>
      <xdr:rowOff>76200</xdr:rowOff>
    </xdr:from>
    <xdr:to>
      <xdr:col>17</xdr:col>
      <xdr:colOff>66675</xdr:colOff>
      <xdr:row>21</xdr:row>
      <xdr:rowOff>0</xdr:rowOff>
    </xdr:to>
    <xdr:graphicFrame macro="">
      <xdr:nvGraphicFramePr>
        <xdr:cNvPr id="50" name="Chart 49">
          <a:extLst>
            <a:ext uri="{FF2B5EF4-FFF2-40B4-BE49-F238E27FC236}">
              <a16:creationId xmlns:a16="http://schemas.microsoft.com/office/drawing/2014/main" id="{52456EFA-E175-498D-8D04-51839FE08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304800</xdr:colOff>
      <xdr:row>22</xdr:row>
      <xdr:rowOff>57150</xdr:rowOff>
    </xdr:from>
    <xdr:to>
      <xdr:col>17</xdr:col>
      <xdr:colOff>0</xdr:colOff>
      <xdr:row>33</xdr:row>
      <xdr:rowOff>152400</xdr:rowOff>
    </xdr:to>
    <xdr:graphicFrame macro="">
      <xdr:nvGraphicFramePr>
        <xdr:cNvPr id="51" name="Chart 50">
          <a:extLst>
            <a:ext uri="{FF2B5EF4-FFF2-40B4-BE49-F238E27FC236}">
              <a16:creationId xmlns:a16="http://schemas.microsoft.com/office/drawing/2014/main" id="{F53013F1-D9EF-469C-9DED-15E8C8238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17</xdr:col>
      <xdr:colOff>285750</xdr:colOff>
      <xdr:row>9</xdr:row>
      <xdr:rowOff>57150</xdr:rowOff>
    </xdr:from>
    <xdr:to>
      <xdr:col>20</xdr:col>
      <xdr:colOff>285750</xdr:colOff>
      <xdr:row>14</xdr:row>
      <xdr:rowOff>9525</xdr:rowOff>
    </xdr:to>
    <mc:AlternateContent xmlns:mc="http://schemas.openxmlformats.org/markup-compatibility/2006" xmlns:a14="http://schemas.microsoft.com/office/drawing/2010/main">
      <mc:Choice Requires="a14">
        <xdr:graphicFrame macro="">
          <xdr:nvGraphicFramePr>
            <xdr:cNvPr id="52" name="Attrition 1">
              <a:extLst>
                <a:ext uri="{FF2B5EF4-FFF2-40B4-BE49-F238E27FC236}">
                  <a16:creationId xmlns:a16="http://schemas.microsoft.com/office/drawing/2014/main" id="{A4A503D5-06B7-400C-AAC0-1987C68BA780}"/>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0648950" y="1771650"/>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590550</xdr:colOff>
      <xdr:row>35</xdr:row>
      <xdr:rowOff>47625</xdr:rowOff>
    </xdr:to>
    <xdr:grpSp>
      <xdr:nvGrpSpPr>
        <xdr:cNvPr id="69" name="Group 68">
          <a:extLst>
            <a:ext uri="{FF2B5EF4-FFF2-40B4-BE49-F238E27FC236}">
              <a16:creationId xmlns:a16="http://schemas.microsoft.com/office/drawing/2014/main" id="{D57444DE-168F-5861-F055-495B9D2AE6BC}"/>
            </a:ext>
          </a:extLst>
        </xdr:cNvPr>
        <xdr:cNvGrpSpPr/>
      </xdr:nvGrpSpPr>
      <xdr:grpSpPr>
        <a:xfrm>
          <a:off x="0" y="0"/>
          <a:ext cx="12782550" cy="6715125"/>
          <a:chOff x="0" y="0"/>
          <a:chExt cx="12782550" cy="6715125"/>
        </a:xfrm>
      </xdr:grpSpPr>
      <xdr:sp macro="" textlink="">
        <xdr:nvSpPr>
          <xdr:cNvPr id="112" name="Rectangle 111">
            <a:extLst>
              <a:ext uri="{FF2B5EF4-FFF2-40B4-BE49-F238E27FC236}">
                <a16:creationId xmlns:a16="http://schemas.microsoft.com/office/drawing/2014/main" id="{44AA709B-AB04-9CB0-2FB4-C591D4519FE3}"/>
              </a:ext>
            </a:extLst>
          </xdr:cNvPr>
          <xdr:cNvSpPr/>
        </xdr:nvSpPr>
        <xdr:spPr>
          <a:xfrm>
            <a:off x="0" y="0"/>
            <a:ext cx="12782550" cy="6715125"/>
          </a:xfrm>
          <a:prstGeom prst="rect">
            <a:avLst/>
          </a:prstGeom>
          <a:solidFill>
            <a:schemeClr val="tx2">
              <a:lumMod val="50000"/>
            </a:schemeClr>
          </a:solidFill>
          <a:ln>
            <a:noFill/>
          </a:ln>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113" name="Rectangle: Rounded Corners 112" descr="as">
            <a:extLst>
              <a:ext uri="{FF2B5EF4-FFF2-40B4-BE49-F238E27FC236}">
                <a16:creationId xmlns:a16="http://schemas.microsoft.com/office/drawing/2014/main" id="{7EA73115-A967-522D-544F-CFB30BC6FFEC}"/>
              </a:ext>
            </a:extLst>
          </xdr:cNvPr>
          <xdr:cNvSpPr/>
        </xdr:nvSpPr>
        <xdr:spPr>
          <a:xfrm>
            <a:off x="276226" y="819150"/>
            <a:ext cx="2343150"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age 1'!M9">
        <xdr:nvSpPr>
          <xdr:cNvPr id="114" name="TextBox 113">
            <a:extLst>
              <a:ext uri="{FF2B5EF4-FFF2-40B4-BE49-F238E27FC236}">
                <a16:creationId xmlns:a16="http://schemas.microsoft.com/office/drawing/2014/main" id="{1CA8E5E0-DDAF-27CF-7578-7FA9123BC8F2}"/>
              </a:ext>
            </a:extLst>
          </xdr:cNvPr>
          <xdr:cNvSpPr txBox="1"/>
        </xdr:nvSpPr>
        <xdr:spPr>
          <a:xfrm>
            <a:off x="771525" y="1019174"/>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7CC206-4A57-40C4-AD25-1F9F1799D1C8}" type="TxLink">
              <a:rPr lang="en-US" sz="3200" b="0" i="0" u="none" strike="noStrike">
                <a:solidFill>
                  <a:schemeClr val="tx2">
                    <a:lumMod val="20000"/>
                    <a:lumOff val="80000"/>
                  </a:schemeClr>
                </a:solidFill>
                <a:latin typeface="Arial Black" panose="020B0A04020102020204" pitchFamily="34" charset="0"/>
                <a:ea typeface="Calibri"/>
                <a:cs typeface="Calibri"/>
              </a:rPr>
              <a:pPr/>
              <a:t> </a:t>
            </a:fld>
            <a:endParaRPr lang="en-IN" sz="3200" b="0" u="none">
              <a:solidFill>
                <a:schemeClr val="tx2">
                  <a:lumMod val="20000"/>
                  <a:lumOff val="80000"/>
                </a:schemeClr>
              </a:solidFill>
              <a:latin typeface="Arial Black" panose="020B0A04020102020204" pitchFamily="34" charset="0"/>
            </a:endParaRPr>
          </a:p>
        </xdr:txBody>
      </xdr:sp>
      <xdr:sp macro="" textlink="">
        <xdr:nvSpPr>
          <xdr:cNvPr id="115" name="TextBox 114">
            <a:extLst>
              <a:ext uri="{FF2B5EF4-FFF2-40B4-BE49-F238E27FC236}">
                <a16:creationId xmlns:a16="http://schemas.microsoft.com/office/drawing/2014/main" id="{2FBACA89-44F9-1A96-F664-00BBB3453E85}"/>
              </a:ext>
            </a:extLst>
          </xdr:cNvPr>
          <xdr:cNvSpPr txBox="1"/>
        </xdr:nvSpPr>
        <xdr:spPr>
          <a:xfrm>
            <a:off x="314325" y="781050"/>
            <a:ext cx="23907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2">
                    <a:lumMod val="20000"/>
                    <a:lumOff val="80000"/>
                  </a:schemeClr>
                </a:solidFill>
                <a:latin typeface="+mn-lt"/>
                <a:ea typeface="+mn-ea"/>
                <a:cs typeface="+mn-cs"/>
              </a:rPr>
              <a:t>Average Performance Rating</a:t>
            </a:r>
          </a:p>
        </xdr:txBody>
      </xdr:sp>
    </xdr:grpSp>
    <xdr:clientData/>
  </xdr:twoCellAnchor>
  <xdr:twoCellAnchor>
    <xdr:from>
      <xdr:col>0</xdr:col>
      <xdr:colOff>57150</xdr:colOff>
      <xdr:row>0</xdr:row>
      <xdr:rowOff>0</xdr:rowOff>
    </xdr:from>
    <xdr:to>
      <xdr:col>10</xdr:col>
      <xdr:colOff>209550</xdr:colOff>
      <xdr:row>3</xdr:row>
      <xdr:rowOff>0</xdr:rowOff>
    </xdr:to>
    <xdr:sp macro="" textlink="">
      <xdr:nvSpPr>
        <xdr:cNvPr id="70" name="TextBox 69">
          <a:extLst>
            <a:ext uri="{FF2B5EF4-FFF2-40B4-BE49-F238E27FC236}">
              <a16:creationId xmlns:a16="http://schemas.microsoft.com/office/drawing/2014/main" id="{19665D01-F74E-19A1-1EA3-13EBCDA07E91}"/>
            </a:ext>
          </a:extLst>
        </xdr:cNvPr>
        <xdr:cNvSpPr txBox="1"/>
      </xdr:nvSpPr>
      <xdr:spPr>
        <a:xfrm>
          <a:off x="57150" y="0"/>
          <a:ext cx="62484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b="1">
              <a:solidFill>
                <a:schemeClr val="tx2">
                  <a:lumMod val="20000"/>
                  <a:lumOff val="80000"/>
                </a:schemeClr>
              </a:solidFill>
            </a:rPr>
            <a:t>HR ATTRITION DASHOARD</a:t>
          </a:r>
        </a:p>
      </xdr:txBody>
    </xdr:sp>
    <xdr:clientData/>
  </xdr:twoCellAnchor>
  <xdr:twoCellAnchor>
    <xdr:from>
      <xdr:col>10</xdr:col>
      <xdr:colOff>561975</xdr:colOff>
      <xdr:row>0</xdr:row>
      <xdr:rowOff>161925</xdr:rowOff>
    </xdr:from>
    <xdr:to>
      <xdr:col>13</xdr:col>
      <xdr:colOff>238125</xdr:colOff>
      <xdr:row>2</xdr:row>
      <xdr:rowOff>180975</xdr:rowOff>
    </xdr:to>
    <xdr:grpSp>
      <xdr:nvGrpSpPr>
        <xdr:cNvPr id="71" name="Group 70">
          <a:extLst>
            <a:ext uri="{FF2B5EF4-FFF2-40B4-BE49-F238E27FC236}">
              <a16:creationId xmlns:a16="http://schemas.microsoft.com/office/drawing/2014/main" id="{048973B3-B81C-2D82-BAB9-37DBB09F055B}"/>
            </a:ext>
          </a:extLst>
        </xdr:cNvPr>
        <xdr:cNvGrpSpPr/>
      </xdr:nvGrpSpPr>
      <xdr:grpSpPr>
        <a:xfrm>
          <a:off x="6657975" y="161925"/>
          <a:ext cx="1504950" cy="400050"/>
          <a:chOff x="6810375" y="123825"/>
          <a:chExt cx="1504950" cy="400050"/>
        </a:xfrm>
      </xdr:grpSpPr>
      <xdr:grpSp>
        <xdr:nvGrpSpPr>
          <xdr:cNvPr id="108" name="Group 107">
            <a:extLst>
              <a:ext uri="{FF2B5EF4-FFF2-40B4-BE49-F238E27FC236}">
                <a16:creationId xmlns:a16="http://schemas.microsoft.com/office/drawing/2014/main" id="{4C3F3F70-4508-E72E-43E2-85B1902CD5B3}"/>
              </a:ext>
            </a:extLst>
          </xdr:cNvPr>
          <xdr:cNvGrpSpPr/>
        </xdr:nvGrpSpPr>
        <xdr:grpSpPr>
          <a:xfrm>
            <a:off x="6810375" y="123825"/>
            <a:ext cx="1504950" cy="400050"/>
            <a:chOff x="6810375" y="123825"/>
            <a:chExt cx="1504950" cy="400050"/>
          </a:xfrm>
        </xdr:grpSpPr>
        <xdr:sp macro="" textlink="">
          <xdr:nvSpPr>
            <xdr:cNvPr id="110" name="Rectangle: Rounded Corners 109" descr="as">
              <a:extLst>
                <a:ext uri="{FF2B5EF4-FFF2-40B4-BE49-F238E27FC236}">
                  <a16:creationId xmlns:a16="http://schemas.microsoft.com/office/drawing/2014/main" id="{0ECBD738-F12A-B30A-360A-F98273B96D73}"/>
                </a:ext>
              </a:extLst>
            </xdr:cNvPr>
            <xdr:cNvSpPr/>
          </xdr:nvSpPr>
          <xdr:spPr>
            <a:xfrm>
              <a:off x="6838950" y="123825"/>
              <a:ext cx="1314450" cy="400050"/>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1" name="TextBox 110">
              <a:hlinkClick xmlns:r="http://schemas.openxmlformats.org/officeDocument/2006/relationships" r:id="rId1"/>
              <a:extLst>
                <a:ext uri="{FF2B5EF4-FFF2-40B4-BE49-F238E27FC236}">
                  <a16:creationId xmlns:a16="http://schemas.microsoft.com/office/drawing/2014/main" id="{2CB30360-23D3-4A53-FF1E-5D8479745BE3}"/>
                </a:ext>
              </a:extLst>
            </xdr:cNvPr>
            <xdr:cNvSpPr txBox="1"/>
          </xdr:nvSpPr>
          <xdr:spPr>
            <a:xfrm>
              <a:off x="6810375" y="1714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OVERVIEW</a:t>
              </a:r>
            </a:p>
          </xdr:txBody>
        </xdr:sp>
      </xdr:grpSp>
      <xdr:pic>
        <xdr:nvPicPr>
          <xdr:cNvPr id="109" name="Graphic 108" descr="Monitor with solid fill">
            <a:extLst>
              <a:ext uri="{FF2B5EF4-FFF2-40B4-BE49-F238E27FC236}">
                <a16:creationId xmlns:a16="http://schemas.microsoft.com/office/drawing/2014/main" id="{57DDF0D5-9D58-9605-8718-7C078E85EC0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762875" y="180975"/>
            <a:ext cx="333375" cy="333375"/>
          </a:xfrm>
          <a:prstGeom prst="rect">
            <a:avLst/>
          </a:prstGeom>
        </xdr:spPr>
      </xdr:pic>
    </xdr:grpSp>
    <xdr:clientData/>
  </xdr:twoCellAnchor>
  <xdr:twoCellAnchor>
    <xdr:from>
      <xdr:col>13</xdr:col>
      <xdr:colOff>266700</xdr:colOff>
      <xdr:row>0</xdr:row>
      <xdr:rowOff>152400</xdr:rowOff>
    </xdr:from>
    <xdr:to>
      <xdr:col>15</xdr:col>
      <xdr:colOff>552450</xdr:colOff>
      <xdr:row>2</xdr:row>
      <xdr:rowOff>171450</xdr:rowOff>
    </xdr:to>
    <xdr:grpSp>
      <xdr:nvGrpSpPr>
        <xdr:cNvPr id="72" name="Group 71">
          <a:extLst>
            <a:ext uri="{FF2B5EF4-FFF2-40B4-BE49-F238E27FC236}">
              <a16:creationId xmlns:a16="http://schemas.microsoft.com/office/drawing/2014/main" id="{DB56290B-49FD-5B4F-7C06-70619A3F3057}"/>
            </a:ext>
          </a:extLst>
        </xdr:cNvPr>
        <xdr:cNvGrpSpPr/>
      </xdr:nvGrpSpPr>
      <xdr:grpSpPr>
        <a:xfrm>
          <a:off x="8191500" y="152400"/>
          <a:ext cx="1504950" cy="400050"/>
          <a:chOff x="6810375" y="123825"/>
          <a:chExt cx="1504950" cy="400050"/>
        </a:xfrm>
      </xdr:grpSpPr>
      <xdr:sp macro="" textlink="">
        <xdr:nvSpPr>
          <xdr:cNvPr id="106" name="Rectangle: Rounded Corners 105" descr="as">
            <a:extLst>
              <a:ext uri="{FF2B5EF4-FFF2-40B4-BE49-F238E27FC236}">
                <a16:creationId xmlns:a16="http://schemas.microsoft.com/office/drawing/2014/main" id="{3F5DEB9E-312F-FEE3-8C64-16A79E61BEC4}"/>
              </a:ext>
            </a:extLst>
          </xdr:cNvPr>
          <xdr:cNvSpPr/>
        </xdr:nvSpPr>
        <xdr:spPr>
          <a:xfrm>
            <a:off x="6838950" y="123825"/>
            <a:ext cx="1314450" cy="40005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7" name="TextBox 106">
            <a:hlinkClick xmlns:r="http://schemas.openxmlformats.org/officeDocument/2006/relationships" r:id="rId4"/>
            <a:extLst>
              <a:ext uri="{FF2B5EF4-FFF2-40B4-BE49-F238E27FC236}">
                <a16:creationId xmlns:a16="http://schemas.microsoft.com/office/drawing/2014/main" id="{570443AD-5CBB-315B-DC0F-479E6F1808DE}"/>
              </a:ext>
            </a:extLst>
          </xdr:cNvPr>
          <xdr:cNvSpPr txBox="1"/>
        </xdr:nvSpPr>
        <xdr:spPr>
          <a:xfrm>
            <a:off x="6810375" y="1714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ATTRITION</a:t>
            </a:r>
          </a:p>
        </xdr:txBody>
      </xdr:sp>
    </xdr:grpSp>
    <xdr:clientData/>
  </xdr:twoCellAnchor>
  <xdr:twoCellAnchor>
    <xdr:from>
      <xdr:col>15</xdr:col>
      <xdr:colOff>571500</xdr:colOff>
      <xdr:row>0</xdr:row>
      <xdr:rowOff>152400</xdr:rowOff>
    </xdr:from>
    <xdr:to>
      <xdr:col>18</xdr:col>
      <xdr:colOff>247650</xdr:colOff>
      <xdr:row>2</xdr:row>
      <xdr:rowOff>171450</xdr:rowOff>
    </xdr:to>
    <xdr:grpSp>
      <xdr:nvGrpSpPr>
        <xdr:cNvPr id="73" name="Group 72">
          <a:extLst>
            <a:ext uri="{FF2B5EF4-FFF2-40B4-BE49-F238E27FC236}">
              <a16:creationId xmlns:a16="http://schemas.microsoft.com/office/drawing/2014/main" id="{88FCB8F5-FFE6-3BF7-D7C8-FE10A6C4E319}"/>
            </a:ext>
          </a:extLst>
        </xdr:cNvPr>
        <xdr:cNvGrpSpPr/>
      </xdr:nvGrpSpPr>
      <xdr:grpSpPr>
        <a:xfrm>
          <a:off x="9715500" y="152400"/>
          <a:ext cx="1504950" cy="400050"/>
          <a:chOff x="6810375" y="123825"/>
          <a:chExt cx="1504950" cy="400050"/>
        </a:xfrm>
      </xdr:grpSpPr>
      <xdr:sp macro="" textlink="">
        <xdr:nvSpPr>
          <xdr:cNvPr id="104" name="Rectangle: Rounded Corners 103" descr="as">
            <a:extLst>
              <a:ext uri="{FF2B5EF4-FFF2-40B4-BE49-F238E27FC236}">
                <a16:creationId xmlns:a16="http://schemas.microsoft.com/office/drawing/2014/main" id="{2802E3C4-66FB-854F-082C-2B3BD79EB912}"/>
              </a:ext>
            </a:extLst>
          </xdr:cNvPr>
          <xdr:cNvSpPr/>
        </xdr:nvSpPr>
        <xdr:spPr>
          <a:xfrm>
            <a:off x="6838950" y="123825"/>
            <a:ext cx="1314450" cy="400050"/>
          </a:xfrm>
          <a:prstGeom prst="roundRect">
            <a:avLst/>
          </a:prstGeom>
          <a:solidFill>
            <a:schemeClr val="tx2"/>
          </a:solidFill>
          <a:ln>
            <a:solidFill>
              <a:schemeClr val="tx2">
                <a:lumMod val="60000"/>
                <a:lumOff val="40000"/>
              </a:schemeClr>
            </a:solidFill>
          </a:ln>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5" name="TextBox 104">
            <a:extLst>
              <a:ext uri="{FF2B5EF4-FFF2-40B4-BE49-F238E27FC236}">
                <a16:creationId xmlns:a16="http://schemas.microsoft.com/office/drawing/2014/main" id="{158D9A03-C65B-D46A-C77A-4254253C762E}"/>
              </a:ext>
            </a:extLst>
          </xdr:cNvPr>
          <xdr:cNvSpPr txBox="1"/>
        </xdr:nvSpPr>
        <xdr:spPr>
          <a:xfrm>
            <a:off x="6810375" y="19050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lumMod val="20000"/>
                    <a:lumOff val="80000"/>
                  </a:schemeClr>
                </a:solidFill>
              </a:rPr>
              <a:t>PERFORMANE</a:t>
            </a:r>
          </a:p>
        </xdr:txBody>
      </xdr:sp>
    </xdr:grpSp>
    <xdr:clientData/>
  </xdr:twoCellAnchor>
  <xdr:twoCellAnchor>
    <xdr:from>
      <xdr:col>18</xdr:col>
      <xdr:colOff>285750</xdr:colOff>
      <xdr:row>0</xdr:row>
      <xdr:rowOff>152400</xdr:rowOff>
    </xdr:from>
    <xdr:to>
      <xdr:col>21</xdr:col>
      <xdr:colOff>180975</xdr:colOff>
      <xdr:row>2</xdr:row>
      <xdr:rowOff>171450</xdr:rowOff>
    </xdr:to>
    <xdr:grpSp>
      <xdr:nvGrpSpPr>
        <xdr:cNvPr id="74" name="Group 73">
          <a:extLst>
            <a:ext uri="{FF2B5EF4-FFF2-40B4-BE49-F238E27FC236}">
              <a16:creationId xmlns:a16="http://schemas.microsoft.com/office/drawing/2014/main" id="{F7961760-2EE9-AB2A-2E22-F6E4A65B4FEE}"/>
            </a:ext>
          </a:extLst>
        </xdr:cNvPr>
        <xdr:cNvGrpSpPr/>
      </xdr:nvGrpSpPr>
      <xdr:grpSpPr>
        <a:xfrm>
          <a:off x="11258550" y="152400"/>
          <a:ext cx="1724025" cy="400050"/>
          <a:chOff x="6838950" y="123825"/>
          <a:chExt cx="1724025" cy="400050"/>
        </a:xfrm>
      </xdr:grpSpPr>
      <xdr:sp macro="" textlink="">
        <xdr:nvSpPr>
          <xdr:cNvPr id="102" name="Rectangle: Rounded Corners 101" descr="as">
            <a:extLst>
              <a:ext uri="{FF2B5EF4-FFF2-40B4-BE49-F238E27FC236}">
                <a16:creationId xmlns:a16="http://schemas.microsoft.com/office/drawing/2014/main" id="{B36960A5-CFFA-2052-9EFA-0C3421BF345B}"/>
              </a:ext>
            </a:extLst>
          </xdr:cNvPr>
          <xdr:cNvSpPr/>
        </xdr:nvSpPr>
        <xdr:spPr>
          <a:xfrm>
            <a:off x="6838950" y="123825"/>
            <a:ext cx="1314450" cy="40005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3" name="TextBox 102">
            <a:hlinkClick xmlns:r="http://schemas.openxmlformats.org/officeDocument/2006/relationships" r:id="rId5"/>
            <a:extLst>
              <a:ext uri="{FF2B5EF4-FFF2-40B4-BE49-F238E27FC236}">
                <a16:creationId xmlns:a16="http://schemas.microsoft.com/office/drawing/2014/main" id="{8151E597-7570-3EB2-2DCA-CD9A6E8441EC}"/>
              </a:ext>
            </a:extLst>
          </xdr:cNvPr>
          <xdr:cNvSpPr txBox="1"/>
        </xdr:nvSpPr>
        <xdr:spPr>
          <a:xfrm>
            <a:off x="7058025" y="1714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TEURE</a:t>
            </a:r>
            <a:r>
              <a:rPr lang="en-IN" sz="1400" b="1" baseline="0">
                <a:solidFill>
                  <a:schemeClr val="tx2">
                    <a:lumMod val="20000"/>
                    <a:lumOff val="80000"/>
                  </a:schemeClr>
                </a:solidFill>
              </a:rPr>
              <a:t> </a:t>
            </a:r>
            <a:endParaRPr lang="en-IN" sz="1400" b="1">
              <a:solidFill>
                <a:schemeClr val="tx2">
                  <a:lumMod val="20000"/>
                  <a:lumOff val="80000"/>
                </a:schemeClr>
              </a:solidFill>
            </a:endParaRPr>
          </a:p>
        </xdr:txBody>
      </xdr:sp>
    </xdr:grpSp>
    <xdr:clientData/>
  </xdr:twoCellAnchor>
  <xdr:twoCellAnchor>
    <xdr:from>
      <xdr:col>19</xdr:col>
      <xdr:colOff>495301</xdr:colOff>
      <xdr:row>0</xdr:row>
      <xdr:rowOff>171451</xdr:rowOff>
    </xdr:from>
    <xdr:to>
      <xdr:col>20</xdr:col>
      <xdr:colOff>314325</xdr:colOff>
      <xdr:row>2</xdr:row>
      <xdr:rowOff>168221</xdr:rowOff>
    </xdr:to>
    <xdr:pic>
      <xdr:nvPicPr>
        <xdr:cNvPr id="75" name="Graphic 74" descr="Stopwatch with solid fill">
          <a:extLst>
            <a:ext uri="{FF2B5EF4-FFF2-40B4-BE49-F238E27FC236}">
              <a16:creationId xmlns:a16="http://schemas.microsoft.com/office/drawing/2014/main" id="{279E3A50-8B1C-BD8D-019C-D5BDB74A791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077701" y="171451"/>
          <a:ext cx="428624" cy="377770"/>
        </a:xfrm>
        <a:prstGeom prst="rect">
          <a:avLst/>
        </a:prstGeom>
      </xdr:spPr>
    </xdr:pic>
    <xdr:clientData/>
  </xdr:twoCellAnchor>
  <xdr:twoCellAnchor>
    <xdr:from>
      <xdr:col>17</xdr:col>
      <xdr:colOff>285751</xdr:colOff>
      <xdr:row>0</xdr:row>
      <xdr:rowOff>171451</xdr:rowOff>
    </xdr:from>
    <xdr:to>
      <xdr:col>18</xdr:col>
      <xdr:colOff>38100</xdr:colOff>
      <xdr:row>2</xdr:row>
      <xdr:rowOff>152400</xdr:rowOff>
    </xdr:to>
    <xdr:pic>
      <xdr:nvPicPr>
        <xdr:cNvPr id="76" name="Graphic 75" descr="Podium with solid fill">
          <a:extLst>
            <a:ext uri="{FF2B5EF4-FFF2-40B4-BE49-F238E27FC236}">
              <a16:creationId xmlns:a16="http://schemas.microsoft.com/office/drawing/2014/main" id="{0CD0F6D2-C798-0CEC-3AFB-79782CF883D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648951" y="171451"/>
          <a:ext cx="361949" cy="361949"/>
        </a:xfrm>
        <a:prstGeom prst="rect">
          <a:avLst/>
        </a:prstGeom>
      </xdr:spPr>
    </xdr:pic>
    <xdr:clientData/>
  </xdr:twoCellAnchor>
  <xdr:twoCellAnchor>
    <xdr:from>
      <xdr:col>14</xdr:col>
      <xdr:colOff>581025</xdr:colOff>
      <xdr:row>0</xdr:row>
      <xdr:rowOff>133350</xdr:rowOff>
    </xdr:from>
    <xdr:to>
      <xdr:col>15</xdr:col>
      <xdr:colOff>381000</xdr:colOff>
      <xdr:row>2</xdr:row>
      <xdr:rowOff>161925</xdr:rowOff>
    </xdr:to>
    <xdr:pic>
      <xdr:nvPicPr>
        <xdr:cNvPr id="77" name="Graphic 76" descr="User with solid fill">
          <a:extLst>
            <a:ext uri="{FF2B5EF4-FFF2-40B4-BE49-F238E27FC236}">
              <a16:creationId xmlns:a16="http://schemas.microsoft.com/office/drawing/2014/main" id="{A1F96D3B-C57B-B826-86D8-8CDCE66AB8B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15425" y="133350"/>
          <a:ext cx="409575" cy="409575"/>
        </a:xfrm>
        <a:prstGeom prst="rect">
          <a:avLst/>
        </a:prstGeom>
      </xdr:spPr>
    </xdr:pic>
    <xdr:clientData/>
  </xdr:twoCellAnchor>
  <xdr:twoCellAnchor>
    <xdr:from>
      <xdr:col>4</xdr:col>
      <xdr:colOff>447675</xdr:colOff>
      <xdr:row>4</xdr:row>
      <xdr:rowOff>66675</xdr:rowOff>
    </xdr:from>
    <xdr:to>
      <xdr:col>8</xdr:col>
      <xdr:colOff>295276</xdr:colOff>
      <xdr:row>8</xdr:row>
      <xdr:rowOff>114301</xdr:rowOff>
    </xdr:to>
    <xdr:sp macro="" textlink="">
      <xdr:nvSpPr>
        <xdr:cNvPr id="78" name="Rectangle: Rounded Corners 77" descr="as">
          <a:extLst>
            <a:ext uri="{FF2B5EF4-FFF2-40B4-BE49-F238E27FC236}">
              <a16:creationId xmlns:a16="http://schemas.microsoft.com/office/drawing/2014/main" id="{C156CB01-4158-B111-7BFB-45D68F7E66E9}"/>
            </a:ext>
          </a:extLst>
        </xdr:cNvPr>
        <xdr:cNvSpPr/>
      </xdr:nvSpPr>
      <xdr:spPr>
        <a:xfrm>
          <a:off x="2886075" y="828675"/>
          <a:ext cx="2286001"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523875</xdr:colOff>
      <xdr:row>4</xdr:row>
      <xdr:rowOff>66675</xdr:rowOff>
    </xdr:from>
    <xdr:to>
      <xdr:col>12</xdr:col>
      <xdr:colOff>371476</xdr:colOff>
      <xdr:row>8</xdr:row>
      <xdr:rowOff>114301</xdr:rowOff>
    </xdr:to>
    <xdr:sp macro="" textlink="">
      <xdr:nvSpPr>
        <xdr:cNvPr id="79" name="Rectangle: Rounded Corners 78" descr="as">
          <a:extLst>
            <a:ext uri="{FF2B5EF4-FFF2-40B4-BE49-F238E27FC236}">
              <a16:creationId xmlns:a16="http://schemas.microsoft.com/office/drawing/2014/main" id="{AACA3460-C5C3-F183-C835-B313A13DFCB1}"/>
            </a:ext>
          </a:extLst>
        </xdr:cNvPr>
        <xdr:cNvSpPr/>
      </xdr:nvSpPr>
      <xdr:spPr>
        <a:xfrm>
          <a:off x="5400675" y="828675"/>
          <a:ext cx="2286001"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590550</xdr:colOff>
      <xdr:row>4</xdr:row>
      <xdr:rowOff>57150</xdr:rowOff>
    </xdr:from>
    <xdr:to>
      <xdr:col>16</xdr:col>
      <xdr:colOff>438151</xdr:colOff>
      <xdr:row>8</xdr:row>
      <xdr:rowOff>104776</xdr:rowOff>
    </xdr:to>
    <xdr:sp macro="" textlink="">
      <xdr:nvSpPr>
        <xdr:cNvPr id="80" name="Rectangle: Rounded Corners 79" descr="as">
          <a:extLst>
            <a:ext uri="{FF2B5EF4-FFF2-40B4-BE49-F238E27FC236}">
              <a16:creationId xmlns:a16="http://schemas.microsoft.com/office/drawing/2014/main" id="{E3211FF5-57D5-DFDD-FA91-7DB09351D378}"/>
            </a:ext>
          </a:extLst>
        </xdr:cNvPr>
        <xdr:cNvSpPr/>
      </xdr:nvSpPr>
      <xdr:spPr>
        <a:xfrm>
          <a:off x="7905750" y="819150"/>
          <a:ext cx="2286001"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38101</xdr:colOff>
      <xdr:row>4</xdr:row>
      <xdr:rowOff>57150</xdr:rowOff>
    </xdr:from>
    <xdr:to>
      <xdr:col>20</xdr:col>
      <xdr:colOff>400051</xdr:colOff>
      <xdr:row>8</xdr:row>
      <xdr:rowOff>104776</xdr:rowOff>
    </xdr:to>
    <xdr:sp macro="" textlink="">
      <xdr:nvSpPr>
        <xdr:cNvPr id="81" name="Rectangle: Rounded Corners 80" descr="as">
          <a:extLst>
            <a:ext uri="{FF2B5EF4-FFF2-40B4-BE49-F238E27FC236}">
              <a16:creationId xmlns:a16="http://schemas.microsoft.com/office/drawing/2014/main" id="{606E6716-4541-B53A-4C58-9B11152B107B}"/>
            </a:ext>
          </a:extLst>
        </xdr:cNvPr>
        <xdr:cNvSpPr/>
      </xdr:nvSpPr>
      <xdr:spPr>
        <a:xfrm>
          <a:off x="10401301" y="819150"/>
          <a:ext cx="2190750"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9525</xdr:colOff>
      <xdr:row>4</xdr:row>
      <xdr:rowOff>38100</xdr:rowOff>
    </xdr:from>
    <xdr:to>
      <xdr:col>8</xdr:col>
      <xdr:colOff>238125</xdr:colOff>
      <xdr:row>6</xdr:row>
      <xdr:rowOff>19050</xdr:rowOff>
    </xdr:to>
    <xdr:sp macro="" textlink="">
      <xdr:nvSpPr>
        <xdr:cNvPr id="82" name="TextBox 81">
          <a:extLst>
            <a:ext uri="{FF2B5EF4-FFF2-40B4-BE49-F238E27FC236}">
              <a16:creationId xmlns:a16="http://schemas.microsoft.com/office/drawing/2014/main" id="{82E58B4D-C70E-68CD-C671-05A8446E68D6}"/>
            </a:ext>
          </a:extLst>
        </xdr:cNvPr>
        <xdr:cNvSpPr txBox="1"/>
      </xdr:nvSpPr>
      <xdr:spPr>
        <a:xfrm>
          <a:off x="3057525" y="800100"/>
          <a:ext cx="20574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2">
                  <a:lumMod val="20000"/>
                  <a:lumOff val="80000"/>
                </a:schemeClr>
              </a:solidFill>
              <a:latin typeface="+mn-lt"/>
              <a:ea typeface="+mn-ea"/>
              <a:cs typeface="+mn-cs"/>
            </a:rPr>
            <a:t>Average Job Satisfaction</a:t>
          </a:r>
        </a:p>
      </xdr:txBody>
    </xdr:sp>
    <xdr:clientData/>
  </xdr:twoCellAnchor>
  <xdr:twoCellAnchor>
    <xdr:from>
      <xdr:col>9</xdr:col>
      <xdr:colOff>19050</xdr:colOff>
      <xdr:row>4</xdr:row>
      <xdr:rowOff>38100</xdr:rowOff>
    </xdr:from>
    <xdr:to>
      <xdr:col>12</xdr:col>
      <xdr:colOff>485775</xdr:colOff>
      <xdr:row>5</xdr:row>
      <xdr:rowOff>142875</xdr:rowOff>
    </xdr:to>
    <xdr:sp macro="" textlink="">
      <xdr:nvSpPr>
        <xdr:cNvPr id="83" name="TextBox 82">
          <a:extLst>
            <a:ext uri="{FF2B5EF4-FFF2-40B4-BE49-F238E27FC236}">
              <a16:creationId xmlns:a16="http://schemas.microsoft.com/office/drawing/2014/main" id="{D11FF23F-230D-8F51-0A8F-3EFA8BF91B12}"/>
            </a:ext>
          </a:extLst>
        </xdr:cNvPr>
        <xdr:cNvSpPr txBox="1"/>
      </xdr:nvSpPr>
      <xdr:spPr>
        <a:xfrm>
          <a:off x="5505450" y="800100"/>
          <a:ext cx="2295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2">
                  <a:lumMod val="20000"/>
                  <a:lumOff val="80000"/>
                </a:schemeClr>
              </a:solidFill>
              <a:latin typeface="+mn-lt"/>
              <a:ea typeface="+mn-ea"/>
              <a:cs typeface="+mn-cs"/>
            </a:rPr>
            <a:t>Average Work-Life Balance Score</a:t>
          </a:r>
        </a:p>
      </xdr:txBody>
    </xdr:sp>
    <xdr:clientData/>
  </xdr:twoCellAnchor>
  <xdr:twoCellAnchor>
    <xdr:from>
      <xdr:col>12</xdr:col>
      <xdr:colOff>485776</xdr:colOff>
      <xdr:row>3</xdr:row>
      <xdr:rowOff>190499</xdr:rowOff>
    </xdr:from>
    <xdr:to>
      <xdr:col>16</xdr:col>
      <xdr:colOff>581025</xdr:colOff>
      <xdr:row>6</xdr:row>
      <xdr:rowOff>180975</xdr:rowOff>
    </xdr:to>
    <xdr:sp macro="" textlink="">
      <xdr:nvSpPr>
        <xdr:cNvPr id="84" name="TextBox 83">
          <a:extLst>
            <a:ext uri="{FF2B5EF4-FFF2-40B4-BE49-F238E27FC236}">
              <a16:creationId xmlns:a16="http://schemas.microsoft.com/office/drawing/2014/main" id="{3215BA44-D099-627D-A920-DAA44759E485}"/>
            </a:ext>
          </a:extLst>
        </xdr:cNvPr>
        <xdr:cNvSpPr txBox="1"/>
      </xdr:nvSpPr>
      <xdr:spPr>
        <a:xfrm>
          <a:off x="7800976" y="761999"/>
          <a:ext cx="2533649" cy="56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lumMod val="20000"/>
                  <a:lumOff val="80000"/>
                </a:schemeClr>
              </a:solidFill>
              <a:latin typeface="+mn-lt"/>
              <a:ea typeface="+mn-ea"/>
              <a:cs typeface="+mn-cs"/>
            </a:rPr>
            <a:t>Average Environment Satisfaction</a:t>
          </a:r>
        </a:p>
      </xdr:txBody>
    </xdr:sp>
    <xdr:clientData/>
  </xdr:twoCellAnchor>
  <xdr:twoCellAnchor>
    <xdr:from>
      <xdr:col>17</xdr:col>
      <xdr:colOff>200025</xdr:colOff>
      <xdr:row>4</xdr:row>
      <xdr:rowOff>38100</xdr:rowOff>
    </xdr:from>
    <xdr:to>
      <xdr:col>20</xdr:col>
      <xdr:colOff>352425</xdr:colOff>
      <xdr:row>6</xdr:row>
      <xdr:rowOff>19050</xdr:rowOff>
    </xdr:to>
    <xdr:sp macro="" textlink="">
      <xdr:nvSpPr>
        <xdr:cNvPr id="85" name="TextBox 84">
          <a:extLst>
            <a:ext uri="{FF2B5EF4-FFF2-40B4-BE49-F238E27FC236}">
              <a16:creationId xmlns:a16="http://schemas.microsoft.com/office/drawing/2014/main" id="{A4D1C781-4EE3-9A13-9928-0602730C6FEE}"/>
            </a:ext>
          </a:extLst>
        </xdr:cNvPr>
        <xdr:cNvSpPr txBox="1"/>
      </xdr:nvSpPr>
      <xdr:spPr>
        <a:xfrm>
          <a:off x="10563225" y="800100"/>
          <a:ext cx="19812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2">
                  <a:lumMod val="20000"/>
                  <a:lumOff val="80000"/>
                </a:schemeClr>
              </a:solidFill>
              <a:latin typeface="+mn-lt"/>
              <a:ea typeface="+mn-ea"/>
              <a:cs typeface="+mn-cs"/>
            </a:rPr>
            <a:t>Average Training Hours</a:t>
          </a:r>
        </a:p>
      </xdr:txBody>
    </xdr:sp>
    <xdr:clientData/>
  </xdr:twoCellAnchor>
  <xdr:twoCellAnchor>
    <xdr:from>
      <xdr:col>1</xdr:col>
      <xdr:colOff>285750</xdr:colOff>
      <xdr:row>5</xdr:row>
      <xdr:rowOff>95250</xdr:rowOff>
    </xdr:from>
    <xdr:to>
      <xdr:col>3</xdr:col>
      <xdr:colOff>342900</xdr:colOff>
      <xdr:row>8</xdr:row>
      <xdr:rowOff>123825</xdr:rowOff>
    </xdr:to>
    <xdr:sp macro="" textlink="$A$46">
      <xdr:nvSpPr>
        <xdr:cNvPr id="86" name="TextBox 85">
          <a:extLst>
            <a:ext uri="{FF2B5EF4-FFF2-40B4-BE49-F238E27FC236}">
              <a16:creationId xmlns:a16="http://schemas.microsoft.com/office/drawing/2014/main" id="{D234B2EB-1090-3BD7-757D-6EFD12BE2E9C}"/>
            </a:ext>
          </a:extLst>
        </xdr:cNvPr>
        <xdr:cNvSpPr txBox="1"/>
      </xdr:nvSpPr>
      <xdr:spPr>
        <a:xfrm>
          <a:off x="895350" y="1047750"/>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EF97E3-4784-4E61-9A7D-861174327A0D}" type="TxLink">
            <a:rPr lang="en-US" sz="2800" b="1" i="0" u="none" strike="noStrike">
              <a:solidFill>
                <a:schemeClr val="tx2">
                  <a:lumMod val="20000"/>
                  <a:lumOff val="80000"/>
                </a:schemeClr>
              </a:solidFill>
              <a:latin typeface="Calibri"/>
              <a:ea typeface="Calibri"/>
              <a:cs typeface="Calibri"/>
            </a:rPr>
            <a:pPr marL="0" indent="0"/>
            <a:t>3.174</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9</xdr:col>
      <xdr:colOff>428625</xdr:colOff>
      <xdr:row>5</xdr:row>
      <xdr:rowOff>152401</xdr:rowOff>
    </xdr:from>
    <xdr:to>
      <xdr:col>12</xdr:col>
      <xdr:colOff>114301</xdr:colOff>
      <xdr:row>8</xdr:row>
      <xdr:rowOff>57150</xdr:rowOff>
    </xdr:to>
    <xdr:sp macro="" textlink="'page 1'!M15">
      <xdr:nvSpPr>
        <xdr:cNvPr id="87" name="TextBox 86">
          <a:extLst>
            <a:ext uri="{FF2B5EF4-FFF2-40B4-BE49-F238E27FC236}">
              <a16:creationId xmlns:a16="http://schemas.microsoft.com/office/drawing/2014/main" id="{2A75080C-E67C-2E17-D783-D59ABC137BD2}"/>
            </a:ext>
          </a:extLst>
        </xdr:cNvPr>
        <xdr:cNvSpPr txBox="1"/>
      </xdr:nvSpPr>
      <xdr:spPr>
        <a:xfrm>
          <a:off x="5915025" y="1104901"/>
          <a:ext cx="1514476"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DDE870-A7ED-4D6B-A1B1-8C67C1378521}" type="TxLink">
            <a:rPr lang="en-US" sz="20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2000" b="0" i="0" u="none" strike="noStrike">
            <a:solidFill>
              <a:schemeClr val="tx2">
                <a:lumMod val="20000"/>
                <a:lumOff val="80000"/>
              </a:schemeClr>
            </a:solidFill>
            <a:latin typeface="Arial Black" panose="020B0A04020102020204" pitchFamily="34" charset="0"/>
            <a:ea typeface="Calibri"/>
            <a:cs typeface="Calibri"/>
          </a:endParaRPr>
        </a:p>
      </xdr:txBody>
    </xdr:sp>
    <xdr:clientData/>
  </xdr:twoCellAnchor>
  <xdr:twoCellAnchor>
    <xdr:from>
      <xdr:col>13</xdr:col>
      <xdr:colOff>561975</xdr:colOff>
      <xdr:row>5</xdr:row>
      <xdr:rowOff>47625</xdr:rowOff>
    </xdr:from>
    <xdr:to>
      <xdr:col>16</xdr:col>
      <xdr:colOff>9525</xdr:colOff>
      <xdr:row>8</xdr:row>
      <xdr:rowOff>76200</xdr:rowOff>
    </xdr:to>
    <xdr:sp macro="" textlink="'page 1'!M21">
      <xdr:nvSpPr>
        <xdr:cNvPr id="88" name="TextBox 87">
          <a:extLst>
            <a:ext uri="{FF2B5EF4-FFF2-40B4-BE49-F238E27FC236}">
              <a16:creationId xmlns:a16="http://schemas.microsoft.com/office/drawing/2014/main" id="{F705DE9D-0D18-81EB-D0F4-979B7BF05FEB}"/>
            </a:ext>
          </a:extLst>
        </xdr:cNvPr>
        <xdr:cNvSpPr txBox="1"/>
      </xdr:nvSpPr>
      <xdr:spPr>
        <a:xfrm>
          <a:off x="8486775" y="1000125"/>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271394-3ED9-4CCA-97F5-97B185B8E753}" type="TxLink">
            <a:rPr lang="en-US" sz="32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3200" b="0" i="0" u="none" strike="noStrike">
            <a:solidFill>
              <a:schemeClr val="tx2">
                <a:lumMod val="20000"/>
                <a:lumOff val="80000"/>
              </a:schemeClr>
            </a:solidFill>
            <a:latin typeface="Arial Black" panose="020B0A04020102020204" pitchFamily="34" charset="0"/>
            <a:ea typeface="Calibri"/>
            <a:cs typeface="Calibri"/>
          </a:endParaRPr>
        </a:p>
      </xdr:txBody>
    </xdr:sp>
    <xdr:clientData/>
  </xdr:twoCellAnchor>
  <xdr:twoCellAnchor>
    <xdr:from>
      <xdr:col>17</xdr:col>
      <xdr:colOff>581025</xdr:colOff>
      <xdr:row>5</xdr:row>
      <xdr:rowOff>57150</xdr:rowOff>
    </xdr:from>
    <xdr:to>
      <xdr:col>20</xdr:col>
      <xdr:colOff>28575</xdr:colOff>
      <xdr:row>8</xdr:row>
      <xdr:rowOff>85725</xdr:rowOff>
    </xdr:to>
    <xdr:sp macro="" textlink="'page 1'!M22">
      <xdr:nvSpPr>
        <xdr:cNvPr id="89" name="TextBox 88">
          <a:extLst>
            <a:ext uri="{FF2B5EF4-FFF2-40B4-BE49-F238E27FC236}">
              <a16:creationId xmlns:a16="http://schemas.microsoft.com/office/drawing/2014/main" id="{83C22809-D6A0-6FDE-5547-B258484BB67F}"/>
            </a:ext>
          </a:extLst>
        </xdr:cNvPr>
        <xdr:cNvSpPr txBox="1"/>
      </xdr:nvSpPr>
      <xdr:spPr>
        <a:xfrm>
          <a:off x="10944225" y="1009650"/>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E3DFD8-E1BC-4AF2-BDCA-B967F60B4374}" type="TxLink">
            <a:rPr lang="en-US" sz="3200" b="0" i="0" u="none" strike="noStrike">
              <a:solidFill>
                <a:schemeClr val="tx2">
                  <a:lumMod val="20000"/>
                  <a:lumOff val="80000"/>
                </a:schemeClr>
              </a:solidFill>
              <a:latin typeface="Arial Black" panose="020B0A04020102020204" pitchFamily="34" charset="0"/>
              <a:ea typeface="Calibri"/>
              <a:cs typeface="Calibri"/>
            </a:rPr>
            <a:pPr marL="0" indent="0"/>
            <a:t> </a:t>
          </a:fld>
          <a:endParaRPr lang="en-IN" sz="3200" b="0" i="0" u="none" strike="noStrike">
            <a:solidFill>
              <a:schemeClr val="tx2">
                <a:lumMod val="20000"/>
                <a:lumOff val="80000"/>
              </a:schemeClr>
            </a:solidFill>
            <a:latin typeface="Arial Black" panose="020B0A04020102020204" pitchFamily="34" charset="0"/>
            <a:ea typeface="Calibri"/>
            <a:cs typeface="Calibri"/>
          </a:endParaRPr>
        </a:p>
      </xdr:txBody>
    </xdr:sp>
    <xdr:clientData/>
  </xdr:twoCellAnchor>
  <xdr:twoCellAnchor>
    <xdr:from>
      <xdr:col>0</xdr:col>
      <xdr:colOff>314325</xdr:colOff>
      <xdr:row>22</xdr:row>
      <xdr:rowOff>47625</xdr:rowOff>
    </xdr:from>
    <xdr:to>
      <xdr:col>9</xdr:col>
      <xdr:colOff>66675</xdr:colOff>
      <xdr:row>34</xdr:row>
      <xdr:rowOff>57150</xdr:rowOff>
    </xdr:to>
    <xdr:sp macro="" textlink="">
      <xdr:nvSpPr>
        <xdr:cNvPr id="91" name="Rectangle: Rounded Corners 90">
          <a:extLst>
            <a:ext uri="{FF2B5EF4-FFF2-40B4-BE49-F238E27FC236}">
              <a16:creationId xmlns:a16="http://schemas.microsoft.com/office/drawing/2014/main" id="{DCD8568C-AED2-7D21-C9A5-370AE4E50361}"/>
            </a:ext>
          </a:extLst>
        </xdr:cNvPr>
        <xdr:cNvSpPr/>
      </xdr:nvSpPr>
      <xdr:spPr>
        <a:xfrm>
          <a:off x="314325" y="4238625"/>
          <a:ext cx="5238750" cy="229552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247650</xdr:colOff>
      <xdr:row>9</xdr:row>
      <xdr:rowOff>47625</xdr:rowOff>
    </xdr:from>
    <xdr:to>
      <xdr:col>17</xdr:col>
      <xdr:colOff>47625</xdr:colOff>
      <xdr:row>34</xdr:row>
      <xdr:rowOff>47625</xdr:rowOff>
    </xdr:to>
    <xdr:sp macro="" textlink="">
      <xdr:nvSpPr>
        <xdr:cNvPr id="92" name="Rectangle: Rounded Corners 91">
          <a:extLst>
            <a:ext uri="{FF2B5EF4-FFF2-40B4-BE49-F238E27FC236}">
              <a16:creationId xmlns:a16="http://schemas.microsoft.com/office/drawing/2014/main" id="{18F0CFFF-CE61-22DE-4819-D40CD7CAA28B}"/>
            </a:ext>
          </a:extLst>
        </xdr:cNvPr>
        <xdr:cNvSpPr/>
      </xdr:nvSpPr>
      <xdr:spPr>
        <a:xfrm>
          <a:off x="5734050" y="1762125"/>
          <a:ext cx="4676775" cy="4762500"/>
        </a:xfrm>
        <a:prstGeom prst="roundRect">
          <a:avLst>
            <a:gd name="adj" fmla="val 436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295275</xdr:colOff>
      <xdr:row>9</xdr:row>
      <xdr:rowOff>38100</xdr:rowOff>
    </xdr:from>
    <xdr:to>
      <xdr:col>9</xdr:col>
      <xdr:colOff>85725</xdr:colOff>
      <xdr:row>21</xdr:row>
      <xdr:rowOff>104775</xdr:rowOff>
    </xdr:to>
    <xdr:sp macro="" textlink="">
      <xdr:nvSpPr>
        <xdr:cNvPr id="96" name="Rectangle: Rounded Corners 95">
          <a:extLst>
            <a:ext uri="{FF2B5EF4-FFF2-40B4-BE49-F238E27FC236}">
              <a16:creationId xmlns:a16="http://schemas.microsoft.com/office/drawing/2014/main" id="{CD8DE9C9-3C0A-8AC0-7976-CA5F5B39DD91}"/>
            </a:ext>
          </a:extLst>
        </xdr:cNvPr>
        <xdr:cNvSpPr/>
      </xdr:nvSpPr>
      <xdr:spPr>
        <a:xfrm>
          <a:off x="295275" y="1752600"/>
          <a:ext cx="5276850" cy="235267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266700</xdr:colOff>
      <xdr:row>9</xdr:row>
      <xdr:rowOff>47625</xdr:rowOff>
    </xdr:from>
    <xdr:to>
      <xdr:col>20</xdr:col>
      <xdr:colOff>266700</xdr:colOff>
      <xdr:row>14</xdr:row>
      <xdr:rowOff>9525</xdr:rowOff>
    </xdr:to>
    <mc:AlternateContent xmlns:mc="http://schemas.openxmlformats.org/markup-compatibility/2006" xmlns:a14="http://schemas.microsoft.com/office/drawing/2010/main">
      <mc:Choice Requires="a14">
        <xdr:graphicFrame macro="">
          <xdr:nvGraphicFramePr>
            <xdr:cNvPr id="99" name="Gender 3">
              <a:extLst>
                <a:ext uri="{FF2B5EF4-FFF2-40B4-BE49-F238E27FC236}">
                  <a16:creationId xmlns:a16="http://schemas.microsoft.com/office/drawing/2014/main" id="{7ED6D414-1800-A2D4-6092-73E3B114AD2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0629900" y="1762125"/>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295275</xdr:colOff>
      <xdr:row>14</xdr:row>
      <xdr:rowOff>104775</xdr:rowOff>
    </xdr:from>
    <xdr:to>
      <xdr:col>20</xdr:col>
      <xdr:colOff>295275</xdr:colOff>
      <xdr:row>25</xdr:row>
      <xdr:rowOff>28576</xdr:rowOff>
    </xdr:to>
    <mc:AlternateContent xmlns:mc="http://schemas.openxmlformats.org/markup-compatibility/2006" xmlns:a14="http://schemas.microsoft.com/office/drawing/2010/main">
      <mc:Choice Requires="a14">
        <xdr:graphicFrame macro="">
          <xdr:nvGraphicFramePr>
            <xdr:cNvPr id="100" name="Department 3">
              <a:extLst>
                <a:ext uri="{FF2B5EF4-FFF2-40B4-BE49-F238E27FC236}">
                  <a16:creationId xmlns:a16="http://schemas.microsoft.com/office/drawing/2014/main" id="{4A63CBE3-808E-AB86-EEE8-91198BD3CA95}"/>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0658475" y="2771775"/>
              <a:ext cx="1828800"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295275</xdr:colOff>
      <xdr:row>25</xdr:row>
      <xdr:rowOff>142875</xdr:rowOff>
    </xdr:from>
    <xdr:to>
      <xdr:col>20</xdr:col>
      <xdr:colOff>295275</xdr:colOff>
      <xdr:row>33</xdr:row>
      <xdr:rowOff>157443</xdr:rowOff>
    </xdr:to>
    <mc:AlternateContent xmlns:mc="http://schemas.openxmlformats.org/markup-compatibility/2006" xmlns:a14="http://schemas.microsoft.com/office/drawing/2010/main">
      <mc:Choice Requires="a14">
        <xdr:graphicFrame macro="">
          <xdr:nvGraphicFramePr>
            <xdr:cNvPr id="101" name="JobRole 3">
              <a:extLst>
                <a:ext uri="{FF2B5EF4-FFF2-40B4-BE49-F238E27FC236}">
                  <a16:creationId xmlns:a16="http://schemas.microsoft.com/office/drawing/2014/main" id="{FA6F1E79-CDF1-6F3F-ED40-697118D0C546}"/>
                </a:ext>
              </a:extLst>
            </xdr:cNvPr>
            <xdr:cNvGraphicFramePr/>
          </xdr:nvGraphicFramePr>
          <xdr:xfrm>
            <a:off x="0" y="0"/>
            <a:ext cx="0" cy="0"/>
          </xdr:xfrm>
          <a:graphic>
            <a:graphicData uri="http://schemas.microsoft.com/office/drawing/2010/slicer">
              <sle:slicer xmlns:sle="http://schemas.microsoft.com/office/drawing/2010/slicer" name="JobRole 3"/>
            </a:graphicData>
          </a:graphic>
        </xdr:graphicFrame>
      </mc:Choice>
      <mc:Fallback xmlns="">
        <xdr:sp macro="" textlink="">
          <xdr:nvSpPr>
            <xdr:cNvPr id="0" name=""/>
            <xdr:cNvSpPr>
              <a:spLocks noTextEdit="1"/>
            </xdr:cNvSpPr>
          </xdr:nvSpPr>
          <xdr:spPr>
            <a:xfrm>
              <a:off x="10658475" y="4905375"/>
              <a:ext cx="1828800" cy="1538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285750</xdr:colOff>
      <xdr:row>3</xdr:row>
      <xdr:rowOff>123825</xdr:rowOff>
    </xdr:from>
    <xdr:to>
      <xdr:col>20</xdr:col>
      <xdr:colOff>352425</xdr:colOff>
      <xdr:row>3</xdr:row>
      <xdr:rowOff>142875</xdr:rowOff>
    </xdr:to>
    <xdr:cxnSp macro="">
      <xdr:nvCxnSpPr>
        <xdr:cNvPr id="3" name="Straight Connector 2">
          <a:extLst>
            <a:ext uri="{FF2B5EF4-FFF2-40B4-BE49-F238E27FC236}">
              <a16:creationId xmlns:a16="http://schemas.microsoft.com/office/drawing/2014/main" id="{3BFE56F6-EFFB-4070-8BB1-E90B7EE67F87}"/>
            </a:ext>
          </a:extLst>
        </xdr:cNvPr>
        <xdr:cNvCxnSpPr/>
      </xdr:nvCxnSpPr>
      <xdr:spPr>
        <a:xfrm flipV="1">
          <a:off x="285750" y="695325"/>
          <a:ext cx="12258675" cy="19050"/>
        </a:xfrm>
        <a:prstGeom prst="line">
          <a:avLst/>
        </a:prstGeom>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590550</xdr:colOff>
      <xdr:row>5</xdr:row>
      <xdr:rowOff>85725</xdr:rowOff>
    </xdr:from>
    <xdr:to>
      <xdr:col>20</xdr:col>
      <xdr:colOff>38100</xdr:colOff>
      <xdr:row>8</xdr:row>
      <xdr:rowOff>114300</xdr:rowOff>
    </xdr:to>
    <xdr:sp macro="" textlink="$A$54">
      <xdr:nvSpPr>
        <xdr:cNvPr id="2" name="TextBox 1">
          <a:extLst>
            <a:ext uri="{FF2B5EF4-FFF2-40B4-BE49-F238E27FC236}">
              <a16:creationId xmlns:a16="http://schemas.microsoft.com/office/drawing/2014/main" id="{DF376E64-3E51-4896-BBFE-6F7729E5B258}"/>
            </a:ext>
          </a:extLst>
        </xdr:cNvPr>
        <xdr:cNvSpPr txBox="1"/>
      </xdr:nvSpPr>
      <xdr:spPr>
        <a:xfrm>
          <a:off x="10953750" y="1038225"/>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EB954E-D770-4B9E-B969-7935E67E87B2}" type="TxLink">
            <a:rPr lang="en-US" sz="2800" b="1" i="0" u="none" strike="noStrike">
              <a:solidFill>
                <a:schemeClr val="tx2">
                  <a:lumMod val="20000"/>
                  <a:lumOff val="80000"/>
                </a:schemeClr>
              </a:solidFill>
              <a:latin typeface="Calibri"/>
              <a:ea typeface="Calibri"/>
              <a:cs typeface="Calibri"/>
            </a:rPr>
            <a:pPr marL="0" indent="0"/>
            <a:t>32.032</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14</xdr:col>
      <xdr:colOff>76200</xdr:colOff>
      <xdr:row>6</xdr:row>
      <xdr:rowOff>9525</xdr:rowOff>
    </xdr:from>
    <xdr:to>
      <xdr:col>16</xdr:col>
      <xdr:colOff>133350</xdr:colOff>
      <xdr:row>9</xdr:row>
      <xdr:rowOff>38100</xdr:rowOff>
    </xdr:to>
    <xdr:sp macro="" textlink="$A$52">
      <xdr:nvSpPr>
        <xdr:cNvPr id="4" name="TextBox 3">
          <a:extLst>
            <a:ext uri="{FF2B5EF4-FFF2-40B4-BE49-F238E27FC236}">
              <a16:creationId xmlns:a16="http://schemas.microsoft.com/office/drawing/2014/main" id="{F0F899F5-1067-48D9-ADD8-CE78F1E64B40}"/>
            </a:ext>
          </a:extLst>
        </xdr:cNvPr>
        <xdr:cNvSpPr txBox="1"/>
      </xdr:nvSpPr>
      <xdr:spPr>
        <a:xfrm>
          <a:off x="8610600" y="1152525"/>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5E85C6-3094-496D-BA33-0FD4958DC0FF}" type="TxLink">
            <a:rPr lang="en-US" sz="2800" b="1" i="0" u="none" strike="noStrike">
              <a:solidFill>
                <a:schemeClr val="tx2">
                  <a:lumMod val="20000"/>
                  <a:lumOff val="80000"/>
                </a:schemeClr>
              </a:solidFill>
              <a:latin typeface="Calibri"/>
              <a:ea typeface="Calibri"/>
              <a:cs typeface="Calibri"/>
            </a:rPr>
            <a:pPr marL="0" indent="0"/>
            <a:t>2.64</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9</xdr:col>
      <xdr:colOff>552450</xdr:colOff>
      <xdr:row>5</xdr:row>
      <xdr:rowOff>123825</xdr:rowOff>
    </xdr:from>
    <xdr:to>
      <xdr:col>12</xdr:col>
      <xdr:colOff>0</xdr:colOff>
      <xdr:row>8</xdr:row>
      <xdr:rowOff>152400</xdr:rowOff>
    </xdr:to>
    <xdr:sp macro="" textlink="$A$50">
      <xdr:nvSpPr>
        <xdr:cNvPr id="5" name="TextBox 4">
          <a:extLst>
            <a:ext uri="{FF2B5EF4-FFF2-40B4-BE49-F238E27FC236}">
              <a16:creationId xmlns:a16="http://schemas.microsoft.com/office/drawing/2014/main" id="{32666AFE-95D5-49F3-864C-E74362D42F29}"/>
            </a:ext>
          </a:extLst>
        </xdr:cNvPr>
        <xdr:cNvSpPr txBox="1"/>
      </xdr:nvSpPr>
      <xdr:spPr>
        <a:xfrm>
          <a:off x="6038850" y="1076325"/>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BB0694-DB6E-4A25-8905-3819C66926EB}" type="TxLink">
            <a:rPr lang="en-US" sz="2800" b="1" i="0" u="none" strike="noStrike">
              <a:solidFill>
                <a:schemeClr val="tx2">
                  <a:lumMod val="20000"/>
                  <a:lumOff val="80000"/>
                </a:schemeClr>
              </a:solidFill>
              <a:latin typeface="Calibri"/>
              <a:ea typeface="Calibri"/>
              <a:cs typeface="Calibri"/>
            </a:rPr>
            <a:pPr marL="0" indent="0"/>
            <a:t>2.812</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5</xdr:col>
      <xdr:colOff>438150</xdr:colOff>
      <xdr:row>5</xdr:row>
      <xdr:rowOff>114300</xdr:rowOff>
    </xdr:from>
    <xdr:to>
      <xdr:col>7</xdr:col>
      <xdr:colOff>495300</xdr:colOff>
      <xdr:row>8</xdr:row>
      <xdr:rowOff>142875</xdr:rowOff>
    </xdr:to>
    <xdr:sp macro="" textlink="$A$48">
      <xdr:nvSpPr>
        <xdr:cNvPr id="6" name="TextBox 5">
          <a:extLst>
            <a:ext uri="{FF2B5EF4-FFF2-40B4-BE49-F238E27FC236}">
              <a16:creationId xmlns:a16="http://schemas.microsoft.com/office/drawing/2014/main" id="{B7F530CA-7CDA-4DF5-BFA3-A549CC255DFE}"/>
            </a:ext>
          </a:extLst>
        </xdr:cNvPr>
        <xdr:cNvSpPr txBox="1"/>
      </xdr:nvSpPr>
      <xdr:spPr>
        <a:xfrm>
          <a:off x="3486150" y="1066800"/>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B0360AD-FAFE-4CF1-A94E-BF7B74566467}" type="TxLink">
            <a:rPr lang="en-US" sz="2800" b="1" i="0" u="none" strike="noStrike">
              <a:solidFill>
                <a:schemeClr val="tx2">
                  <a:lumMod val="20000"/>
                  <a:lumOff val="80000"/>
                </a:schemeClr>
              </a:solidFill>
              <a:latin typeface="Calibri"/>
              <a:ea typeface="Calibri"/>
              <a:cs typeface="Calibri"/>
            </a:rPr>
            <a:pPr marL="0" indent="0"/>
            <a:t>2.803</a:t>
          </a:fld>
          <a:endParaRPr lang="en-IN" sz="2800" b="1" i="0" u="none" strike="noStrike">
            <a:solidFill>
              <a:schemeClr val="tx2">
                <a:lumMod val="20000"/>
                <a:lumOff val="80000"/>
              </a:schemeClr>
            </a:solidFill>
            <a:latin typeface="Calibri"/>
            <a:ea typeface="Calibri"/>
            <a:cs typeface="Calibri"/>
          </a:endParaRPr>
        </a:p>
      </xdr:txBody>
    </xdr:sp>
    <xdr:clientData/>
  </xdr:twoCellAnchor>
  <xdr:twoCellAnchor>
    <xdr:from>
      <xdr:col>9</xdr:col>
      <xdr:colOff>381001</xdr:colOff>
      <xdr:row>10</xdr:row>
      <xdr:rowOff>161925</xdr:rowOff>
    </xdr:from>
    <xdr:to>
      <xdr:col>16</xdr:col>
      <xdr:colOff>495301</xdr:colOff>
      <xdr:row>33</xdr:row>
      <xdr:rowOff>171449</xdr:rowOff>
    </xdr:to>
    <xdr:graphicFrame macro="">
      <xdr:nvGraphicFramePr>
        <xdr:cNvPr id="7" name="Chart 6">
          <a:extLst>
            <a:ext uri="{FF2B5EF4-FFF2-40B4-BE49-F238E27FC236}">
              <a16:creationId xmlns:a16="http://schemas.microsoft.com/office/drawing/2014/main" id="{983B0DC4-6F9D-422C-8875-6C7333E45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514350</xdr:colOff>
      <xdr:row>9</xdr:row>
      <xdr:rowOff>9525</xdr:rowOff>
    </xdr:from>
    <xdr:to>
      <xdr:col>8</xdr:col>
      <xdr:colOff>476250</xdr:colOff>
      <xdr:row>21</xdr:row>
      <xdr:rowOff>57150</xdr:rowOff>
    </xdr:to>
    <xdr:graphicFrame macro="">
      <xdr:nvGraphicFramePr>
        <xdr:cNvPr id="8" name="Chart 7">
          <a:extLst>
            <a:ext uri="{FF2B5EF4-FFF2-40B4-BE49-F238E27FC236}">
              <a16:creationId xmlns:a16="http://schemas.microsoft.com/office/drawing/2014/main" id="{519DA1DF-05D5-47B0-B8A9-FA3EFD44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314325</xdr:colOff>
      <xdr:row>22</xdr:row>
      <xdr:rowOff>47625</xdr:rowOff>
    </xdr:from>
    <xdr:to>
      <xdr:col>8</xdr:col>
      <xdr:colOff>581025</xdr:colOff>
      <xdr:row>34</xdr:row>
      <xdr:rowOff>9525</xdr:rowOff>
    </xdr:to>
    <xdr:graphicFrame macro="">
      <xdr:nvGraphicFramePr>
        <xdr:cNvPr id="9" name="Chart 8">
          <a:extLst>
            <a:ext uri="{FF2B5EF4-FFF2-40B4-BE49-F238E27FC236}">
              <a16:creationId xmlns:a16="http://schemas.microsoft.com/office/drawing/2014/main" id="{FECA3879-859B-44A6-923F-6798767BC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180975</xdr:colOff>
      <xdr:row>35</xdr:row>
      <xdr:rowOff>47625</xdr:rowOff>
    </xdr:to>
    <xdr:grpSp>
      <xdr:nvGrpSpPr>
        <xdr:cNvPr id="3" name="Group 2">
          <a:extLst>
            <a:ext uri="{FF2B5EF4-FFF2-40B4-BE49-F238E27FC236}">
              <a16:creationId xmlns:a16="http://schemas.microsoft.com/office/drawing/2014/main" id="{296B5517-5637-486A-8C48-2BBB0509D78F}"/>
            </a:ext>
          </a:extLst>
        </xdr:cNvPr>
        <xdr:cNvGrpSpPr/>
      </xdr:nvGrpSpPr>
      <xdr:grpSpPr>
        <a:xfrm>
          <a:off x="0" y="0"/>
          <a:ext cx="12982575" cy="6715125"/>
          <a:chOff x="0" y="0"/>
          <a:chExt cx="12982575" cy="6715125"/>
        </a:xfrm>
      </xdr:grpSpPr>
      <xdr:sp macro="" textlink="">
        <xdr:nvSpPr>
          <xdr:cNvPr id="66" name="Rectangle 65">
            <a:extLst>
              <a:ext uri="{FF2B5EF4-FFF2-40B4-BE49-F238E27FC236}">
                <a16:creationId xmlns:a16="http://schemas.microsoft.com/office/drawing/2014/main" id="{E0899854-E66B-5AD5-09ED-D27BDA283C1E}"/>
              </a:ext>
            </a:extLst>
          </xdr:cNvPr>
          <xdr:cNvSpPr/>
        </xdr:nvSpPr>
        <xdr:spPr>
          <a:xfrm>
            <a:off x="0" y="0"/>
            <a:ext cx="12782550" cy="6715125"/>
          </a:xfrm>
          <a:prstGeom prst="rect">
            <a:avLst/>
          </a:prstGeom>
          <a:solidFill>
            <a:schemeClr val="tx2">
              <a:lumMod val="50000"/>
            </a:schemeClr>
          </a:solidFill>
          <a:ln>
            <a:noFill/>
          </a:ln>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157FC270-7290-B5AD-720D-0094DED53F72}"/>
              </a:ext>
            </a:extLst>
          </xdr:cNvPr>
          <xdr:cNvSpPr txBox="1"/>
        </xdr:nvSpPr>
        <xdr:spPr>
          <a:xfrm>
            <a:off x="57150" y="0"/>
            <a:ext cx="6248400" cy="571500"/>
          </a:xfrm>
          <a:prstGeom prst="rect">
            <a:avLst/>
          </a:prstGeom>
          <a:noFill/>
          <a:ln w="9525" cmpd="sng">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b="1">
                <a:solidFill>
                  <a:schemeClr val="tx2">
                    <a:lumMod val="20000"/>
                    <a:lumOff val="80000"/>
                  </a:schemeClr>
                </a:solidFill>
                <a:effectLst>
                  <a:glow rad="63500">
                    <a:schemeClr val="accent1">
                      <a:satMod val="175000"/>
                      <a:alpha val="40000"/>
                    </a:schemeClr>
                  </a:glow>
                </a:effectLst>
              </a:rPr>
              <a:t>HR ATTRITION DASHOARD</a:t>
            </a:r>
          </a:p>
        </xdr:txBody>
      </xdr:sp>
      <xdr:grpSp>
        <xdr:nvGrpSpPr>
          <xdr:cNvPr id="6" name="Group 5">
            <a:extLst>
              <a:ext uri="{FF2B5EF4-FFF2-40B4-BE49-F238E27FC236}">
                <a16:creationId xmlns:a16="http://schemas.microsoft.com/office/drawing/2014/main" id="{B3525AC7-9572-729D-D2C8-B96103048DE3}"/>
              </a:ext>
            </a:extLst>
          </xdr:cNvPr>
          <xdr:cNvGrpSpPr/>
        </xdr:nvGrpSpPr>
        <xdr:grpSpPr>
          <a:xfrm>
            <a:off x="6657975" y="161925"/>
            <a:ext cx="1504950" cy="400050"/>
            <a:chOff x="6810375" y="123825"/>
            <a:chExt cx="1504950" cy="400050"/>
          </a:xfrm>
        </xdr:grpSpPr>
        <xdr:grpSp>
          <xdr:nvGrpSpPr>
            <xdr:cNvPr id="62" name="Group 61">
              <a:extLst>
                <a:ext uri="{FF2B5EF4-FFF2-40B4-BE49-F238E27FC236}">
                  <a16:creationId xmlns:a16="http://schemas.microsoft.com/office/drawing/2014/main" id="{6F285302-A80B-8917-78CC-8F1B9091CA1E}"/>
                </a:ext>
              </a:extLst>
            </xdr:cNvPr>
            <xdr:cNvGrpSpPr/>
          </xdr:nvGrpSpPr>
          <xdr:grpSpPr>
            <a:xfrm>
              <a:off x="6810375" y="123825"/>
              <a:ext cx="1504950" cy="400050"/>
              <a:chOff x="6810375" y="123825"/>
              <a:chExt cx="1504950" cy="400050"/>
            </a:xfrm>
          </xdr:grpSpPr>
          <xdr:sp macro="" textlink="">
            <xdr:nvSpPr>
              <xdr:cNvPr id="64" name="Rectangle: Rounded Corners 63" descr="as">
                <a:extLst>
                  <a:ext uri="{FF2B5EF4-FFF2-40B4-BE49-F238E27FC236}">
                    <a16:creationId xmlns:a16="http://schemas.microsoft.com/office/drawing/2014/main" id="{A2471EF7-21AD-36A5-A838-6E60C26931F7}"/>
                  </a:ext>
                </a:extLst>
              </xdr:cNvPr>
              <xdr:cNvSpPr/>
            </xdr:nvSpPr>
            <xdr:spPr>
              <a:xfrm>
                <a:off x="6838950" y="123825"/>
                <a:ext cx="1314450" cy="400050"/>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TextBox 64">
                <a:hlinkClick xmlns:r="http://schemas.openxmlformats.org/officeDocument/2006/relationships" r:id="rId1"/>
                <a:extLst>
                  <a:ext uri="{FF2B5EF4-FFF2-40B4-BE49-F238E27FC236}">
                    <a16:creationId xmlns:a16="http://schemas.microsoft.com/office/drawing/2014/main" id="{B0DFE62C-19F5-DE5E-4E89-5C5A6135BA02}"/>
                  </a:ext>
                </a:extLst>
              </xdr:cNvPr>
              <xdr:cNvSpPr txBox="1"/>
            </xdr:nvSpPr>
            <xdr:spPr>
              <a:xfrm>
                <a:off x="6810375" y="1714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OVERVIEW</a:t>
                </a:r>
              </a:p>
            </xdr:txBody>
          </xdr:sp>
        </xdr:grpSp>
        <xdr:pic>
          <xdr:nvPicPr>
            <xdr:cNvPr id="63" name="Graphic 62" descr="Monitor with solid fill">
              <a:extLst>
                <a:ext uri="{FF2B5EF4-FFF2-40B4-BE49-F238E27FC236}">
                  <a16:creationId xmlns:a16="http://schemas.microsoft.com/office/drawing/2014/main" id="{885E39A7-ECF7-C0A1-36A1-F2B5BC3CF48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762875" y="180975"/>
              <a:ext cx="333375" cy="333375"/>
            </a:xfrm>
            <a:prstGeom prst="rect">
              <a:avLst/>
            </a:prstGeom>
          </xdr:spPr>
        </xdr:pic>
      </xdr:grpSp>
      <xdr:grpSp>
        <xdr:nvGrpSpPr>
          <xdr:cNvPr id="7" name="Group 6">
            <a:extLst>
              <a:ext uri="{FF2B5EF4-FFF2-40B4-BE49-F238E27FC236}">
                <a16:creationId xmlns:a16="http://schemas.microsoft.com/office/drawing/2014/main" id="{2CA441AF-4388-A5CF-EF6C-83D62A078AA5}"/>
              </a:ext>
            </a:extLst>
          </xdr:cNvPr>
          <xdr:cNvGrpSpPr/>
        </xdr:nvGrpSpPr>
        <xdr:grpSpPr>
          <a:xfrm>
            <a:off x="8191500" y="152400"/>
            <a:ext cx="1504950" cy="400050"/>
            <a:chOff x="6810375" y="123825"/>
            <a:chExt cx="1504950" cy="400050"/>
          </a:xfrm>
        </xdr:grpSpPr>
        <xdr:sp macro="" textlink="">
          <xdr:nvSpPr>
            <xdr:cNvPr id="60" name="Rectangle: Rounded Corners 59" descr="as">
              <a:extLst>
                <a:ext uri="{FF2B5EF4-FFF2-40B4-BE49-F238E27FC236}">
                  <a16:creationId xmlns:a16="http://schemas.microsoft.com/office/drawing/2014/main" id="{D01FD9DF-3557-7711-871A-C7AAD9E748CA}"/>
                </a:ext>
              </a:extLst>
            </xdr:cNvPr>
            <xdr:cNvSpPr/>
          </xdr:nvSpPr>
          <xdr:spPr>
            <a:xfrm>
              <a:off x="6838950" y="123825"/>
              <a:ext cx="1314450" cy="40005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TextBox 60">
              <a:hlinkClick xmlns:r="http://schemas.openxmlformats.org/officeDocument/2006/relationships" r:id="rId4"/>
              <a:extLst>
                <a:ext uri="{FF2B5EF4-FFF2-40B4-BE49-F238E27FC236}">
                  <a16:creationId xmlns:a16="http://schemas.microsoft.com/office/drawing/2014/main" id="{459CC215-55A2-78C4-432A-13CA38B371DC}"/>
                </a:ext>
              </a:extLst>
            </xdr:cNvPr>
            <xdr:cNvSpPr txBox="1"/>
          </xdr:nvSpPr>
          <xdr:spPr>
            <a:xfrm>
              <a:off x="6810375" y="1714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ATTRITION</a:t>
              </a:r>
            </a:p>
          </xdr:txBody>
        </xdr:sp>
      </xdr:grpSp>
      <xdr:grpSp>
        <xdr:nvGrpSpPr>
          <xdr:cNvPr id="8" name="Group 7">
            <a:extLst>
              <a:ext uri="{FF2B5EF4-FFF2-40B4-BE49-F238E27FC236}">
                <a16:creationId xmlns:a16="http://schemas.microsoft.com/office/drawing/2014/main" id="{DBC409A6-1245-9E99-07E6-2105A25A7114}"/>
              </a:ext>
            </a:extLst>
          </xdr:cNvPr>
          <xdr:cNvGrpSpPr/>
        </xdr:nvGrpSpPr>
        <xdr:grpSpPr>
          <a:xfrm>
            <a:off x="9715500" y="152400"/>
            <a:ext cx="1504950" cy="400050"/>
            <a:chOff x="6810375" y="123825"/>
            <a:chExt cx="1504950" cy="400050"/>
          </a:xfrm>
        </xdr:grpSpPr>
        <xdr:sp macro="" textlink="">
          <xdr:nvSpPr>
            <xdr:cNvPr id="58" name="Rectangle: Rounded Corners 57" descr="as">
              <a:extLst>
                <a:ext uri="{FF2B5EF4-FFF2-40B4-BE49-F238E27FC236}">
                  <a16:creationId xmlns:a16="http://schemas.microsoft.com/office/drawing/2014/main" id="{30FF2471-5E28-0AD4-85CF-C3CE0F7D68DE}"/>
                </a:ext>
              </a:extLst>
            </xdr:cNvPr>
            <xdr:cNvSpPr/>
          </xdr:nvSpPr>
          <xdr:spPr>
            <a:xfrm>
              <a:off x="6838950" y="123825"/>
              <a:ext cx="1314450" cy="400050"/>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TextBox 58">
              <a:hlinkClick xmlns:r="http://schemas.openxmlformats.org/officeDocument/2006/relationships" r:id="rId5"/>
              <a:extLst>
                <a:ext uri="{FF2B5EF4-FFF2-40B4-BE49-F238E27FC236}">
                  <a16:creationId xmlns:a16="http://schemas.microsoft.com/office/drawing/2014/main" id="{99C1A3C9-34E5-C3DB-A999-B2672AE0D285}"/>
                </a:ext>
              </a:extLst>
            </xdr:cNvPr>
            <xdr:cNvSpPr txBox="1"/>
          </xdr:nvSpPr>
          <xdr:spPr>
            <a:xfrm>
              <a:off x="6810375" y="19050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lumMod val="20000"/>
                      <a:lumOff val="80000"/>
                    </a:schemeClr>
                  </a:solidFill>
                </a:rPr>
                <a:t>PERFORMANE</a:t>
              </a:r>
            </a:p>
          </xdr:txBody>
        </xdr:sp>
      </xdr:grpSp>
      <xdr:grpSp>
        <xdr:nvGrpSpPr>
          <xdr:cNvPr id="9" name="Group 8">
            <a:extLst>
              <a:ext uri="{FF2B5EF4-FFF2-40B4-BE49-F238E27FC236}">
                <a16:creationId xmlns:a16="http://schemas.microsoft.com/office/drawing/2014/main" id="{944DD3B0-FD2F-0F68-AD07-0B2D09A4E3F7}"/>
              </a:ext>
            </a:extLst>
          </xdr:cNvPr>
          <xdr:cNvGrpSpPr/>
        </xdr:nvGrpSpPr>
        <xdr:grpSpPr>
          <a:xfrm>
            <a:off x="11258550" y="152400"/>
            <a:ext cx="1724025" cy="400050"/>
            <a:chOff x="6838950" y="123825"/>
            <a:chExt cx="1724025" cy="400050"/>
          </a:xfrm>
        </xdr:grpSpPr>
        <xdr:sp macro="" textlink="">
          <xdr:nvSpPr>
            <xdr:cNvPr id="56" name="Rectangle: Rounded Corners 55" descr="as">
              <a:extLst>
                <a:ext uri="{FF2B5EF4-FFF2-40B4-BE49-F238E27FC236}">
                  <a16:creationId xmlns:a16="http://schemas.microsoft.com/office/drawing/2014/main" id="{32BF150D-71D5-9D8B-902A-B4A55140C4D3}"/>
                </a:ext>
              </a:extLst>
            </xdr:cNvPr>
            <xdr:cNvSpPr/>
          </xdr:nvSpPr>
          <xdr:spPr>
            <a:xfrm>
              <a:off x="6838950" y="123825"/>
              <a:ext cx="1314450" cy="400050"/>
            </a:xfrm>
            <a:prstGeom prst="roundRect">
              <a:avLst/>
            </a:prstGeom>
            <a:solidFill>
              <a:schemeClr val="tx2"/>
            </a:solidFill>
            <a:ln>
              <a:solidFill>
                <a:schemeClr val="tx2">
                  <a:lumMod val="60000"/>
                  <a:lumOff val="40000"/>
                </a:schemeClr>
              </a:solidFill>
            </a:ln>
            <a:effectLst>
              <a:glow rad="228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TextBox 56">
              <a:extLst>
                <a:ext uri="{FF2B5EF4-FFF2-40B4-BE49-F238E27FC236}">
                  <a16:creationId xmlns:a16="http://schemas.microsoft.com/office/drawing/2014/main" id="{3A85B94F-518F-8CB7-1120-2765F73A580B}"/>
                </a:ext>
              </a:extLst>
            </xdr:cNvPr>
            <xdr:cNvSpPr txBox="1"/>
          </xdr:nvSpPr>
          <xdr:spPr>
            <a:xfrm>
              <a:off x="7058025" y="171450"/>
              <a:ext cx="1504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0000"/>
                      <a:lumOff val="80000"/>
                    </a:schemeClr>
                  </a:solidFill>
                </a:rPr>
                <a:t>TEURE</a:t>
              </a:r>
              <a:r>
                <a:rPr lang="en-IN" sz="1400" b="1" baseline="0">
                  <a:solidFill>
                    <a:schemeClr val="tx2">
                      <a:lumMod val="20000"/>
                      <a:lumOff val="80000"/>
                    </a:schemeClr>
                  </a:solidFill>
                </a:rPr>
                <a:t> </a:t>
              </a:r>
              <a:endParaRPr lang="en-IN" sz="1400" b="1">
                <a:solidFill>
                  <a:schemeClr val="tx2">
                    <a:lumMod val="20000"/>
                    <a:lumOff val="80000"/>
                  </a:schemeClr>
                </a:solidFill>
              </a:endParaRPr>
            </a:p>
          </xdr:txBody>
        </xdr:sp>
      </xdr:grpSp>
      <xdr:pic>
        <xdr:nvPicPr>
          <xdr:cNvPr id="10" name="Graphic 9" descr="Stopwatch with solid fill">
            <a:extLst>
              <a:ext uri="{FF2B5EF4-FFF2-40B4-BE49-F238E27FC236}">
                <a16:creationId xmlns:a16="http://schemas.microsoft.com/office/drawing/2014/main" id="{7FB650CD-3330-818C-A583-C72DA285473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077701" y="171451"/>
            <a:ext cx="428624" cy="377770"/>
          </a:xfrm>
          <a:prstGeom prst="rect">
            <a:avLst/>
          </a:prstGeom>
        </xdr:spPr>
      </xdr:pic>
      <xdr:pic>
        <xdr:nvPicPr>
          <xdr:cNvPr id="11" name="Graphic 10" descr="Podium with solid fill">
            <a:extLst>
              <a:ext uri="{FF2B5EF4-FFF2-40B4-BE49-F238E27FC236}">
                <a16:creationId xmlns:a16="http://schemas.microsoft.com/office/drawing/2014/main" id="{4D04A8DC-5F58-2D20-7C57-0CD7D4ED14D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648951" y="171451"/>
            <a:ext cx="361949" cy="361949"/>
          </a:xfrm>
          <a:prstGeom prst="rect">
            <a:avLst/>
          </a:prstGeom>
        </xdr:spPr>
      </xdr:pic>
      <xdr:pic>
        <xdr:nvPicPr>
          <xdr:cNvPr id="12" name="Graphic 11" descr="User with solid fill">
            <a:extLst>
              <a:ext uri="{FF2B5EF4-FFF2-40B4-BE49-F238E27FC236}">
                <a16:creationId xmlns:a16="http://schemas.microsoft.com/office/drawing/2014/main" id="{DE7C09AC-8D60-4344-A881-D014B3DD2EB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15425" y="133350"/>
            <a:ext cx="409575" cy="409575"/>
          </a:xfrm>
          <a:prstGeom prst="rect">
            <a:avLst/>
          </a:prstGeom>
        </xdr:spPr>
      </xdr:pic>
      <xdr:sp macro="" textlink="">
        <xdr:nvSpPr>
          <xdr:cNvPr id="14" name="Rectangle: Rounded Corners 13" descr="as">
            <a:extLst>
              <a:ext uri="{FF2B5EF4-FFF2-40B4-BE49-F238E27FC236}">
                <a16:creationId xmlns:a16="http://schemas.microsoft.com/office/drawing/2014/main" id="{BC4AC2EB-C78B-6E03-E514-9816197DE47A}"/>
              </a:ext>
            </a:extLst>
          </xdr:cNvPr>
          <xdr:cNvSpPr/>
        </xdr:nvSpPr>
        <xdr:spPr>
          <a:xfrm>
            <a:off x="5800725" y="828675"/>
            <a:ext cx="2295525"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descr="as">
            <a:extLst>
              <a:ext uri="{FF2B5EF4-FFF2-40B4-BE49-F238E27FC236}">
                <a16:creationId xmlns:a16="http://schemas.microsoft.com/office/drawing/2014/main" id="{CD151449-6D44-DA36-EDC4-4FA2A801CD38}"/>
              </a:ext>
            </a:extLst>
          </xdr:cNvPr>
          <xdr:cNvSpPr/>
        </xdr:nvSpPr>
        <xdr:spPr>
          <a:xfrm>
            <a:off x="8267700" y="819150"/>
            <a:ext cx="2143125"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descr="as">
            <a:extLst>
              <a:ext uri="{FF2B5EF4-FFF2-40B4-BE49-F238E27FC236}">
                <a16:creationId xmlns:a16="http://schemas.microsoft.com/office/drawing/2014/main" id="{F28FAAF1-CD88-A3B8-2F5D-8AAACE437475}"/>
              </a:ext>
            </a:extLst>
          </xdr:cNvPr>
          <xdr:cNvSpPr/>
        </xdr:nvSpPr>
        <xdr:spPr>
          <a:xfrm>
            <a:off x="10591799" y="819150"/>
            <a:ext cx="2000251" cy="809626"/>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23784774-1737-EEC7-0B91-6FE67A8C0821}"/>
              </a:ext>
            </a:extLst>
          </xdr:cNvPr>
          <xdr:cNvSpPr txBox="1"/>
        </xdr:nvSpPr>
        <xdr:spPr>
          <a:xfrm>
            <a:off x="6343650" y="809625"/>
            <a:ext cx="2257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2">
                    <a:lumMod val="20000"/>
                    <a:lumOff val="80000"/>
                  </a:schemeClr>
                </a:solidFill>
                <a:latin typeface="+mn-lt"/>
                <a:ea typeface="+mn-ea"/>
                <a:cs typeface="+mn-cs"/>
              </a:rPr>
              <a:t>Average Bonus</a:t>
            </a:r>
          </a:p>
        </xdr:txBody>
      </xdr:sp>
      <xdr:sp macro="" textlink="">
        <xdr:nvSpPr>
          <xdr:cNvPr id="19" name="TextBox 18">
            <a:extLst>
              <a:ext uri="{FF2B5EF4-FFF2-40B4-BE49-F238E27FC236}">
                <a16:creationId xmlns:a16="http://schemas.microsoft.com/office/drawing/2014/main" id="{FD5517C6-5BC3-F450-C0CE-49A1A665961E}"/>
              </a:ext>
            </a:extLst>
          </xdr:cNvPr>
          <xdr:cNvSpPr txBox="1"/>
        </xdr:nvSpPr>
        <xdr:spPr>
          <a:xfrm>
            <a:off x="8248650" y="809625"/>
            <a:ext cx="21907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a:solidFill>
                  <a:schemeClr val="tx2">
                    <a:lumMod val="20000"/>
                    <a:lumOff val="80000"/>
                  </a:schemeClr>
                </a:solidFill>
                <a:latin typeface="+mn-lt"/>
                <a:ea typeface="+mn-ea"/>
                <a:cs typeface="+mn-cs"/>
              </a:rPr>
              <a:t>Average Years at Company</a:t>
            </a:r>
          </a:p>
        </xdr:txBody>
      </xdr:sp>
      <xdr:sp macro="" textlink="">
        <xdr:nvSpPr>
          <xdr:cNvPr id="20" name="TextBox 19">
            <a:extLst>
              <a:ext uri="{FF2B5EF4-FFF2-40B4-BE49-F238E27FC236}">
                <a16:creationId xmlns:a16="http://schemas.microsoft.com/office/drawing/2014/main" id="{2E95B80A-8AD1-6D49-BAF2-5D7C946092BA}"/>
              </a:ext>
            </a:extLst>
          </xdr:cNvPr>
          <xdr:cNvSpPr txBox="1"/>
        </xdr:nvSpPr>
        <xdr:spPr>
          <a:xfrm>
            <a:off x="10820400" y="752474"/>
            <a:ext cx="153352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lumMod val="20000"/>
                    <a:lumOff val="80000"/>
                  </a:schemeClr>
                </a:solidFill>
                <a:latin typeface="+mn-lt"/>
                <a:ea typeface="+mn-ea"/>
                <a:cs typeface="+mn-cs"/>
              </a:rPr>
              <a:t>Average Years in Current Role</a:t>
            </a:r>
          </a:p>
        </xdr:txBody>
      </xdr:sp>
      <xdr:sp macro="" textlink="$A$44">
        <xdr:nvSpPr>
          <xdr:cNvPr id="41" name="TextBox 40">
            <a:extLst>
              <a:ext uri="{FF2B5EF4-FFF2-40B4-BE49-F238E27FC236}">
                <a16:creationId xmlns:a16="http://schemas.microsoft.com/office/drawing/2014/main" id="{D3A69370-FB12-669A-5DC1-9ECB53628ADA}"/>
              </a:ext>
            </a:extLst>
          </xdr:cNvPr>
          <xdr:cNvSpPr txBox="1"/>
        </xdr:nvSpPr>
        <xdr:spPr>
          <a:xfrm>
            <a:off x="6353175" y="1057276"/>
            <a:ext cx="1514476"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048067-ABC5-42BF-9D9F-FEA801F1A623}" type="TxLink">
              <a:rPr lang="en-US" sz="2800" b="1" i="0" u="none" strike="noStrike">
                <a:solidFill>
                  <a:schemeClr val="tx2">
                    <a:lumMod val="20000"/>
                    <a:lumOff val="80000"/>
                  </a:schemeClr>
                </a:solidFill>
                <a:latin typeface="Calibri"/>
                <a:ea typeface="Calibri"/>
                <a:cs typeface="Calibri"/>
              </a:rPr>
              <a:pPr marL="0" indent="0"/>
              <a:t>24529.9605</a:t>
            </a:fld>
            <a:endParaRPr lang="en-IN" sz="2800" b="1" i="0" u="none" strike="noStrike">
              <a:solidFill>
                <a:schemeClr val="tx2">
                  <a:lumMod val="20000"/>
                  <a:lumOff val="80000"/>
                </a:schemeClr>
              </a:solidFill>
              <a:latin typeface="Calibri"/>
              <a:ea typeface="Calibri"/>
              <a:cs typeface="Calibri"/>
            </a:endParaRPr>
          </a:p>
        </xdr:txBody>
      </xdr:sp>
      <xdr:sp macro="" textlink="$A$46">
        <xdr:nvSpPr>
          <xdr:cNvPr id="42" name="TextBox 41">
            <a:extLst>
              <a:ext uri="{FF2B5EF4-FFF2-40B4-BE49-F238E27FC236}">
                <a16:creationId xmlns:a16="http://schemas.microsoft.com/office/drawing/2014/main" id="{65F34E32-D8C9-F07B-0E72-50FCE336309C}"/>
              </a:ext>
            </a:extLst>
          </xdr:cNvPr>
          <xdr:cNvSpPr txBox="1"/>
        </xdr:nvSpPr>
        <xdr:spPr>
          <a:xfrm>
            <a:off x="8810625" y="1028700"/>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EA4BBF8-14F3-4481-B59C-BD5897CEA3CC}" type="TxLink">
              <a:rPr lang="en-US" sz="2800" b="1" i="0" u="none" strike="noStrike">
                <a:solidFill>
                  <a:schemeClr val="tx2">
                    <a:lumMod val="20000"/>
                    <a:lumOff val="80000"/>
                  </a:schemeClr>
                </a:solidFill>
                <a:latin typeface="Calibri"/>
                <a:ea typeface="Calibri"/>
                <a:cs typeface="Calibri"/>
              </a:rPr>
              <a:pPr marL="0" indent="0"/>
              <a:t>12.07</a:t>
            </a:fld>
            <a:endParaRPr lang="en-IN" sz="2800" b="1" i="0" u="none" strike="noStrike">
              <a:solidFill>
                <a:schemeClr val="tx2">
                  <a:lumMod val="20000"/>
                  <a:lumOff val="80000"/>
                </a:schemeClr>
              </a:solidFill>
              <a:latin typeface="Calibri"/>
              <a:ea typeface="Calibri"/>
              <a:cs typeface="Calibri"/>
            </a:endParaRPr>
          </a:p>
        </xdr:txBody>
      </xdr:sp>
      <xdr:sp macro="" textlink="$A$48">
        <xdr:nvSpPr>
          <xdr:cNvPr id="43" name="TextBox 42">
            <a:extLst>
              <a:ext uri="{FF2B5EF4-FFF2-40B4-BE49-F238E27FC236}">
                <a16:creationId xmlns:a16="http://schemas.microsoft.com/office/drawing/2014/main" id="{CB120179-C0EC-F431-6767-2A387D3EA3B2}"/>
              </a:ext>
            </a:extLst>
          </xdr:cNvPr>
          <xdr:cNvSpPr txBox="1"/>
        </xdr:nvSpPr>
        <xdr:spPr>
          <a:xfrm>
            <a:off x="11268075" y="1133475"/>
            <a:ext cx="1276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F8128A3-2DC4-4AF8-B57D-966613C5C2C5}" type="TxLink">
              <a:rPr lang="en-US" sz="2800" b="1" i="0" u="none" strike="noStrike">
                <a:solidFill>
                  <a:schemeClr val="tx2">
                    <a:lumMod val="20000"/>
                    <a:lumOff val="80000"/>
                  </a:schemeClr>
                </a:solidFill>
                <a:latin typeface="Calibri"/>
                <a:ea typeface="Calibri"/>
                <a:cs typeface="Calibri"/>
              </a:rPr>
              <a:pPr marL="0" indent="0"/>
              <a:t>6.9</a:t>
            </a:fld>
            <a:endParaRPr lang="en-IN" sz="2800" b="1" i="0" u="none" strike="noStrike">
              <a:solidFill>
                <a:schemeClr val="tx2">
                  <a:lumMod val="20000"/>
                  <a:lumOff val="80000"/>
                </a:schemeClr>
              </a:solidFill>
              <a:latin typeface="Calibri"/>
              <a:ea typeface="Calibri"/>
              <a:cs typeface="Calibri"/>
            </a:endParaRPr>
          </a:p>
        </xdr:txBody>
      </xdr:sp>
      <xdr:sp macro="" textlink="">
        <xdr:nvSpPr>
          <xdr:cNvPr id="44" name="Rectangle: Rounded Corners 43">
            <a:extLst>
              <a:ext uri="{FF2B5EF4-FFF2-40B4-BE49-F238E27FC236}">
                <a16:creationId xmlns:a16="http://schemas.microsoft.com/office/drawing/2014/main" id="{FF54A1BB-2927-3842-EDE9-1405EB4EE3C6}"/>
              </a:ext>
            </a:extLst>
          </xdr:cNvPr>
          <xdr:cNvSpPr/>
        </xdr:nvSpPr>
        <xdr:spPr>
          <a:xfrm>
            <a:off x="5734050" y="4257675"/>
            <a:ext cx="4667250" cy="227647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Rectangle: Rounded Corners 44">
            <a:extLst>
              <a:ext uri="{FF2B5EF4-FFF2-40B4-BE49-F238E27FC236}">
                <a16:creationId xmlns:a16="http://schemas.microsoft.com/office/drawing/2014/main" id="{D3E23E12-F131-744C-B0DA-0EAF1E3E1C6C}"/>
              </a:ext>
            </a:extLst>
          </xdr:cNvPr>
          <xdr:cNvSpPr/>
        </xdr:nvSpPr>
        <xdr:spPr>
          <a:xfrm>
            <a:off x="314324" y="847725"/>
            <a:ext cx="5286375" cy="5686426"/>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extLst>
              <a:ext uri="{FF2B5EF4-FFF2-40B4-BE49-F238E27FC236}">
                <a16:creationId xmlns:a16="http://schemas.microsoft.com/office/drawing/2014/main" id="{8CDFC571-08F2-0F28-1E93-3136F7D675B8}"/>
              </a:ext>
            </a:extLst>
          </xdr:cNvPr>
          <xdr:cNvSpPr/>
        </xdr:nvSpPr>
        <xdr:spPr>
          <a:xfrm>
            <a:off x="5734050" y="1762125"/>
            <a:ext cx="4676775" cy="2333625"/>
          </a:xfrm>
          <a:prstGeom prst="roundRect">
            <a:avLst>
              <a:gd name="adj" fmla="val 4365"/>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585D0BFD-02A3-292F-9573-41F31F727177}"/>
              </a:ext>
            </a:extLst>
          </xdr:cNvPr>
          <xdr:cNvSpPr txBox="1"/>
        </xdr:nvSpPr>
        <xdr:spPr>
          <a:xfrm>
            <a:off x="6057899" y="981075"/>
            <a:ext cx="447675"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3200" b="0" i="0" u="none" strike="noStrike">
                <a:solidFill>
                  <a:schemeClr val="tx2">
                    <a:lumMod val="20000"/>
                    <a:lumOff val="80000"/>
                  </a:schemeClr>
                </a:solidFill>
                <a:latin typeface="Arial Black" panose="020B0A04020102020204" pitchFamily="34" charset="0"/>
                <a:ea typeface="Calibri"/>
                <a:cs typeface="Calibri"/>
              </a:rPr>
              <a:t>₹</a:t>
            </a:r>
          </a:p>
        </xdr:txBody>
      </xdr:sp>
      <mc:AlternateContent xmlns:mc="http://schemas.openxmlformats.org/markup-compatibility/2006" xmlns:a14="http://schemas.microsoft.com/office/drawing/2010/main">
        <mc:Choice Requires="a14">
          <xdr:graphicFrame macro="">
            <xdr:nvGraphicFramePr>
              <xdr:cNvPr id="53" name="Gender 4">
                <a:extLst>
                  <a:ext uri="{FF2B5EF4-FFF2-40B4-BE49-F238E27FC236}">
                    <a16:creationId xmlns:a16="http://schemas.microsoft.com/office/drawing/2014/main" id="{467525CB-982B-4494-B8A7-DEEAAEA76F49}"/>
                  </a:ext>
                </a:extLst>
              </xdr:cNvPr>
              <xdr:cNvGraphicFramePr/>
            </xdr:nvGraphicFramePr>
            <xdr:xfrm>
              <a:off x="10629900" y="1762125"/>
              <a:ext cx="1828800" cy="91440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0629900" y="1762125"/>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4" name="Department 4">
                <a:extLst>
                  <a:ext uri="{FF2B5EF4-FFF2-40B4-BE49-F238E27FC236}">
                    <a16:creationId xmlns:a16="http://schemas.microsoft.com/office/drawing/2014/main" id="{38D7E068-19EF-959B-6EAA-C47CD8DE149F}"/>
                  </a:ext>
                </a:extLst>
              </xdr:cNvPr>
              <xdr:cNvGraphicFramePr/>
            </xdr:nvGraphicFramePr>
            <xdr:xfrm>
              <a:off x="10658475" y="2771775"/>
              <a:ext cx="1828800" cy="2019301"/>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0658475" y="2771775"/>
                <a:ext cx="1828800"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5" name="JobRole 4">
                <a:extLst>
                  <a:ext uri="{FF2B5EF4-FFF2-40B4-BE49-F238E27FC236}">
                    <a16:creationId xmlns:a16="http://schemas.microsoft.com/office/drawing/2014/main" id="{A022B515-7FF0-3329-15B4-87DC61D8DFF1}"/>
                  </a:ext>
                </a:extLst>
              </xdr:cNvPr>
              <xdr:cNvGraphicFramePr/>
            </xdr:nvGraphicFramePr>
            <xdr:xfrm>
              <a:off x="10658475" y="4905375"/>
              <a:ext cx="1828800" cy="1538568"/>
            </xdr:xfrm>
            <a:graphic>
              <a:graphicData uri="http://schemas.microsoft.com/office/drawing/2010/slicer">
                <sle:slicer xmlns:sle="http://schemas.microsoft.com/office/drawing/2010/slicer" name="JobRole 4"/>
              </a:graphicData>
            </a:graphic>
          </xdr:graphicFrame>
        </mc:Choice>
        <mc:Fallback xmlns="">
          <xdr:sp macro="" textlink="">
            <xdr:nvSpPr>
              <xdr:cNvPr id="0" name=""/>
              <xdr:cNvSpPr>
                <a:spLocks noTextEdit="1"/>
              </xdr:cNvSpPr>
            </xdr:nvSpPr>
            <xdr:spPr>
              <a:xfrm>
                <a:off x="10658475" y="4905375"/>
                <a:ext cx="1828800" cy="1538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304800</xdr:colOff>
      <xdr:row>3</xdr:row>
      <xdr:rowOff>123825</xdr:rowOff>
    </xdr:from>
    <xdr:to>
      <xdr:col>20</xdr:col>
      <xdr:colOff>371475</xdr:colOff>
      <xdr:row>3</xdr:row>
      <xdr:rowOff>142875</xdr:rowOff>
    </xdr:to>
    <xdr:cxnSp macro="">
      <xdr:nvCxnSpPr>
        <xdr:cNvPr id="21" name="Straight Connector 20">
          <a:extLst>
            <a:ext uri="{FF2B5EF4-FFF2-40B4-BE49-F238E27FC236}">
              <a16:creationId xmlns:a16="http://schemas.microsoft.com/office/drawing/2014/main" id="{F6FDBC14-7829-BBDA-8A9D-221429BAF88E}"/>
            </a:ext>
          </a:extLst>
        </xdr:cNvPr>
        <xdr:cNvCxnSpPr/>
      </xdr:nvCxnSpPr>
      <xdr:spPr>
        <a:xfrm flipV="1">
          <a:off x="304800" y="695325"/>
          <a:ext cx="12258675" cy="19050"/>
        </a:xfrm>
        <a:prstGeom prst="line">
          <a:avLst/>
        </a:prstGeom>
        <a:effectLst>
          <a:glow rad="63500">
            <a:schemeClr val="accent1">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5</xdr:row>
      <xdr:rowOff>28575</xdr:rowOff>
    </xdr:from>
    <xdr:to>
      <xdr:col>9</xdr:col>
      <xdr:colOff>142875</xdr:colOff>
      <xdr:row>33</xdr:row>
      <xdr:rowOff>171450</xdr:rowOff>
    </xdr:to>
    <xdr:graphicFrame macro="">
      <xdr:nvGraphicFramePr>
        <xdr:cNvPr id="2" name="Chart 1">
          <a:extLst>
            <a:ext uri="{FF2B5EF4-FFF2-40B4-BE49-F238E27FC236}">
              <a16:creationId xmlns:a16="http://schemas.microsoft.com/office/drawing/2014/main" id="{7AFBCD56-C58F-4C7E-AE9C-08FC95D60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381000</xdr:colOff>
      <xdr:row>9</xdr:row>
      <xdr:rowOff>104775</xdr:rowOff>
    </xdr:from>
    <xdr:to>
      <xdr:col>17</xdr:col>
      <xdr:colOff>9525</xdr:colOff>
      <xdr:row>21</xdr:row>
      <xdr:rowOff>38100</xdr:rowOff>
    </xdr:to>
    <xdr:graphicFrame macro="">
      <xdr:nvGraphicFramePr>
        <xdr:cNvPr id="22" name="Chart 21">
          <a:extLst>
            <a:ext uri="{FF2B5EF4-FFF2-40B4-BE49-F238E27FC236}">
              <a16:creationId xmlns:a16="http://schemas.microsoft.com/office/drawing/2014/main" id="{66E42A8E-214B-4B72-B0C6-9B5BAF95F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361950</xdr:colOff>
      <xdr:row>22</xdr:row>
      <xdr:rowOff>76199</xdr:rowOff>
    </xdr:from>
    <xdr:to>
      <xdr:col>17</xdr:col>
      <xdr:colOff>114300</xdr:colOff>
      <xdr:row>33</xdr:row>
      <xdr:rowOff>180974</xdr:rowOff>
    </xdr:to>
    <xdr:graphicFrame macro="">
      <xdr:nvGraphicFramePr>
        <xdr:cNvPr id="23" name="Chart 22">
          <a:extLst>
            <a:ext uri="{FF2B5EF4-FFF2-40B4-BE49-F238E27FC236}">
              <a16:creationId xmlns:a16="http://schemas.microsoft.com/office/drawing/2014/main" id="{60786CE7-3B66-43CD-9EA7-7ACFAAA7C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66675</xdr:colOff>
      <xdr:row>11</xdr:row>
      <xdr:rowOff>14287</xdr:rowOff>
    </xdr:from>
    <xdr:to>
      <xdr:col>14</xdr:col>
      <xdr:colOff>371475</xdr:colOff>
      <xdr:row>25</xdr:row>
      <xdr:rowOff>90487</xdr:rowOff>
    </xdr:to>
    <xdr:graphicFrame macro="">
      <xdr:nvGraphicFramePr>
        <xdr:cNvPr id="3" name="Chart 2">
          <a:extLst>
            <a:ext uri="{FF2B5EF4-FFF2-40B4-BE49-F238E27FC236}">
              <a16:creationId xmlns:a16="http://schemas.microsoft.com/office/drawing/2014/main" id="{E88A3B3E-2950-9B02-0FBD-43622AE66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xdr:colOff>
      <xdr:row>0</xdr:row>
      <xdr:rowOff>0</xdr:rowOff>
    </xdr:from>
    <xdr:to>
      <xdr:col>9</xdr:col>
      <xdr:colOff>304799</xdr:colOff>
      <xdr:row>11</xdr:row>
      <xdr:rowOff>185737</xdr:rowOff>
    </xdr:to>
    <xdr:graphicFrame macro="">
      <xdr:nvGraphicFramePr>
        <xdr:cNvPr id="4" name="Chart 3">
          <a:extLst>
            <a:ext uri="{FF2B5EF4-FFF2-40B4-BE49-F238E27FC236}">
              <a16:creationId xmlns:a16="http://schemas.microsoft.com/office/drawing/2014/main" id="{72E0C08D-09C4-7F04-32CF-FB1D2F2C6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204787</xdr:colOff>
      <xdr:row>29</xdr:row>
      <xdr:rowOff>52387</xdr:rowOff>
    </xdr:from>
    <xdr:to>
      <xdr:col>13</xdr:col>
      <xdr:colOff>509587</xdr:colOff>
      <xdr:row>43</xdr:row>
      <xdr:rowOff>128587</xdr:rowOff>
    </xdr:to>
    <xdr:graphicFrame macro="">
      <xdr:nvGraphicFramePr>
        <xdr:cNvPr id="6" name="Chart 5">
          <a:extLst>
            <a:ext uri="{FF2B5EF4-FFF2-40B4-BE49-F238E27FC236}">
              <a16:creationId xmlns:a16="http://schemas.microsoft.com/office/drawing/2014/main" id="{AE312254-84CF-D301-0CBF-7D1CBDC39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600075</xdr:colOff>
      <xdr:row>0</xdr:row>
      <xdr:rowOff>109537</xdr:rowOff>
    </xdr:from>
    <xdr:to>
      <xdr:col>10</xdr:col>
      <xdr:colOff>295275</xdr:colOff>
      <xdr:row>14</xdr:row>
      <xdr:rowOff>185737</xdr:rowOff>
    </xdr:to>
    <xdr:graphicFrame macro="">
      <xdr:nvGraphicFramePr>
        <xdr:cNvPr id="2" name="Chart 1">
          <a:extLst>
            <a:ext uri="{FF2B5EF4-FFF2-40B4-BE49-F238E27FC236}">
              <a16:creationId xmlns:a16="http://schemas.microsoft.com/office/drawing/2014/main" id="{D74969E6-941C-917C-41F0-2AB70D580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17</xdr:row>
      <xdr:rowOff>109537</xdr:rowOff>
    </xdr:from>
    <xdr:to>
      <xdr:col>10</xdr:col>
      <xdr:colOff>333375</xdr:colOff>
      <xdr:row>31</xdr:row>
      <xdr:rowOff>185737</xdr:rowOff>
    </xdr:to>
    <xdr:graphicFrame macro="">
      <xdr:nvGraphicFramePr>
        <xdr:cNvPr id="3" name="Chart 2">
          <a:extLst>
            <a:ext uri="{FF2B5EF4-FFF2-40B4-BE49-F238E27FC236}">
              <a16:creationId xmlns:a16="http://schemas.microsoft.com/office/drawing/2014/main" id="{7C23FD52-3119-0298-4C2F-2B88CBB07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104775</xdr:colOff>
      <xdr:row>33</xdr:row>
      <xdr:rowOff>176212</xdr:rowOff>
    </xdr:from>
    <xdr:to>
      <xdr:col>10</xdr:col>
      <xdr:colOff>409575</xdr:colOff>
      <xdr:row>48</xdr:row>
      <xdr:rowOff>61912</xdr:rowOff>
    </xdr:to>
    <xdr:graphicFrame macro="">
      <xdr:nvGraphicFramePr>
        <xdr:cNvPr id="4" name="Chart 3">
          <a:extLst>
            <a:ext uri="{FF2B5EF4-FFF2-40B4-BE49-F238E27FC236}">
              <a16:creationId xmlns:a16="http://schemas.microsoft.com/office/drawing/2014/main" id="{74592523-34E3-12B6-9C91-714A397EA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200025</xdr:colOff>
      <xdr:row>48</xdr:row>
      <xdr:rowOff>157162</xdr:rowOff>
    </xdr:from>
    <xdr:to>
      <xdr:col>10</xdr:col>
      <xdr:colOff>504825</xdr:colOff>
      <xdr:row>63</xdr:row>
      <xdr:rowOff>42862</xdr:rowOff>
    </xdr:to>
    <xdr:graphicFrame macro="">
      <xdr:nvGraphicFramePr>
        <xdr:cNvPr id="5" name="Chart 4">
          <a:extLst>
            <a:ext uri="{FF2B5EF4-FFF2-40B4-BE49-F238E27FC236}">
              <a16:creationId xmlns:a16="http://schemas.microsoft.com/office/drawing/2014/main" id="{FF792A1C-75A1-100D-EB65-640FC3BD0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570380</xdr:colOff>
      <xdr:row>1</xdr:row>
      <xdr:rowOff>109819</xdr:rowOff>
    </xdr:from>
    <xdr:to>
      <xdr:col>16</xdr:col>
      <xdr:colOff>583827</xdr:colOff>
      <xdr:row>7</xdr:row>
      <xdr:rowOff>33619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CFA52650-E5C9-2837-864A-7900891D6A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60056" y="300319"/>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379880</xdr:colOff>
      <xdr:row>14</xdr:row>
      <xdr:rowOff>8963</xdr:rowOff>
    </xdr:from>
    <xdr:to>
      <xdr:col>18</xdr:col>
      <xdr:colOff>113180</xdr:colOff>
      <xdr:row>28</xdr:row>
      <xdr:rowOff>190499</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078EF5B7-86E9-ED29-FFD1-39CC51F5DEE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879792" y="2675963"/>
              <a:ext cx="1828800" cy="2848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368674</xdr:colOff>
      <xdr:row>16</xdr:row>
      <xdr:rowOff>76201</xdr:rowOff>
    </xdr:from>
    <xdr:to>
      <xdr:col>14</xdr:col>
      <xdr:colOff>572621</xdr:colOff>
      <xdr:row>32</xdr:row>
      <xdr:rowOff>112059</xdr:rowOff>
    </xdr:to>
    <mc:AlternateContent xmlns:mc="http://schemas.openxmlformats.org/markup-compatibility/2006" xmlns:a14="http://schemas.microsoft.com/office/drawing/2010/main">
      <mc:Choice Requires="a14">
        <xdr:graphicFrame macro="">
          <xdr:nvGraphicFramePr>
            <xdr:cNvPr id="8" name="JobRole">
              <a:extLst>
                <a:ext uri="{FF2B5EF4-FFF2-40B4-BE49-F238E27FC236}">
                  <a16:creationId xmlns:a16="http://schemas.microsoft.com/office/drawing/2014/main" id="{C5A712D5-FCD3-09D9-7A75-D94EF3A80D4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8638615" y="3124201"/>
              <a:ext cx="1828800" cy="3083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314325</xdr:colOff>
      <xdr:row>0</xdr:row>
      <xdr:rowOff>0</xdr:rowOff>
    </xdr:from>
    <xdr:to>
      <xdr:col>11</xdr:col>
      <xdr:colOff>9525</xdr:colOff>
      <xdr:row>14</xdr:row>
      <xdr:rowOff>76200</xdr:rowOff>
    </xdr:to>
    <xdr:graphicFrame macro="">
      <xdr:nvGraphicFramePr>
        <xdr:cNvPr id="2" name="Chart 1">
          <a:extLst>
            <a:ext uri="{FF2B5EF4-FFF2-40B4-BE49-F238E27FC236}">
              <a16:creationId xmlns:a16="http://schemas.microsoft.com/office/drawing/2014/main" id="{DA897198-58D6-54C8-7AE1-3C20B2D29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447675</xdr:colOff>
      <xdr:row>17</xdr:row>
      <xdr:rowOff>71437</xdr:rowOff>
    </xdr:from>
    <xdr:to>
      <xdr:col>12</xdr:col>
      <xdr:colOff>142875</xdr:colOff>
      <xdr:row>31</xdr:row>
      <xdr:rowOff>147637</xdr:rowOff>
    </xdr:to>
    <xdr:graphicFrame macro="">
      <xdr:nvGraphicFramePr>
        <xdr:cNvPr id="3" name="Chart 2">
          <a:extLst>
            <a:ext uri="{FF2B5EF4-FFF2-40B4-BE49-F238E27FC236}">
              <a16:creationId xmlns:a16="http://schemas.microsoft.com/office/drawing/2014/main" id="{E83EF073-2D44-5B06-D2E5-6250D9EBC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33</xdr:row>
      <xdr:rowOff>138112</xdr:rowOff>
    </xdr:from>
    <xdr:to>
      <xdr:col>13</xdr:col>
      <xdr:colOff>533400</xdr:colOff>
      <xdr:row>48</xdr:row>
      <xdr:rowOff>23812</xdr:rowOff>
    </xdr:to>
    <xdr:graphicFrame macro="">
      <xdr:nvGraphicFramePr>
        <xdr:cNvPr id="4" name="Chart 3">
          <a:extLst>
            <a:ext uri="{FF2B5EF4-FFF2-40B4-BE49-F238E27FC236}">
              <a16:creationId xmlns:a16="http://schemas.microsoft.com/office/drawing/2014/main" id="{9082EB2A-5F0C-99A1-B7DC-86CCFC563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171450</xdr:colOff>
      <xdr:row>15</xdr:row>
      <xdr:rowOff>57150</xdr:rowOff>
    </xdr:from>
    <xdr:to>
      <xdr:col>17</xdr:col>
      <xdr:colOff>76200</xdr:colOff>
      <xdr:row>21</xdr:row>
      <xdr:rowOff>9525</xdr:rowOff>
    </xdr:to>
    <mc:AlternateContent xmlns:mc="http://schemas.openxmlformats.org/markup-compatibility/2006" xmlns:a14="http://schemas.microsoft.com/office/drawing/2010/main">
      <mc:Choice Requires="a14">
        <xdr:graphicFrame macro="">
          <xdr:nvGraphicFramePr>
            <xdr:cNvPr id="5" name="Attrition">
              <a:extLst>
                <a:ext uri="{FF2B5EF4-FFF2-40B4-BE49-F238E27FC236}">
                  <a16:creationId xmlns:a16="http://schemas.microsoft.com/office/drawing/2014/main" id="{103AC4D3-CAE0-4325-1BBF-60C0E82F2C8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9696450" y="2914650"/>
              <a:ext cx="1828800" cy="109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542925</xdr:colOff>
      <xdr:row>3</xdr:row>
      <xdr:rowOff>80962</xdr:rowOff>
    </xdr:from>
    <xdr:to>
      <xdr:col>12</xdr:col>
      <xdr:colOff>238125</xdr:colOff>
      <xdr:row>17</xdr:row>
      <xdr:rowOff>157162</xdr:rowOff>
    </xdr:to>
    <xdr:graphicFrame macro="">
      <xdr:nvGraphicFramePr>
        <xdr:cNvPr id="2" name="Chart 1">
          <a:extLst>
            <a:ext uri="{FF2B5EF4-FFF2-40B4-BE49-F238E27FC236}">
              <a16:creationId xmlns:a16="http://schemas.microsoft.com/office/drawing/2014/main" id="{437C2B53-DCB3-B231-BB7E-BC835F944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271462</xdr:colOff>
      <xdr:row>19</xdr:row>
      <xdr:rowOff>61912</xdr:rowOff>
    </xdr:from>
    <xdr:to>
      <xdr:col>12</xdr:col>
      <xdr:colOff>576262</xdr:colOff>
      <xdr:row>33</xdr:row>
      <xdr:rowOff>138112</xdr:rowOff>
    </xdr:to>
    <xdr:graphicFrame macro="">
      <xdr:nvGraphicFramePr>
        <xdr:cNvPr id="3" name="Chart 2">
          <a:extLst>
            <a:ext uri="{FF2B5EF4-FFF2-40B4-BE49-F238E27FC236}">
              <a16:creationId xmlns:a16="http://schemas.microsoft.com/office/drawing/2014/main" id="{1AD83098-8E92-133B-F6CC-887EEEA63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52387</xdr:colOff>
      <xdr:row>39</xdr:row>
      <xdr:rowOff>52387</xdr:rowOff>
    </xdr:from>
    <xdr:to>
      <xdr:col>12</xdr:col>
      <xdr:colOff>357187</xdr:colOff>
      <xdr:row>53</xdr:row>
      <xdr:rowOff>128587</xdr:rowOff>
    </xdr:to>
    <xdr:graphicFrame macro="">
      <xdr:nvGraphicFramePr>
        <xdr:cNvPr id="4" name="Chart 3">
          <a:extLst>
            <a:ext uri="{FF2B5EF4-FFF2-40B4-BE49-F238E27FC236}">
              <a16:creationId xmlns:a16="http://schemas.microsoft.com/office/drawing/2014/main" id="{0206AEDD-3546-3C4B-2B48-5F19602D1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5981.457219444441" createdVersion="8" refreshedVersion="8" minRefreshableVersion="3" recordCount="2000" xr:uid="{4D868F72-A792-45AD-8553-A2DCC4DC2088}">
  <cacheSource type="worksheet">
    <worksheetSource name="HRData"/>
  </cacheSource>
  <cacheFields count="19">
    <cacheField name="EmployeeID" numFmtId="0">
      <sharedItems containsSemiMixedTypes="0" containsString="0" containsNumber="1" containsInteger="1" minValue="10001" maxValue="12000"/>
    </cacheField>
    <cacheField name="Age" numFmtId="0">
      <sharedItems containsSemiMixedTypes="0" containsString="0" containsNumber="1" containsInteger="1" minValue="20" maxValue="59"/>
    </cacheField>
    <cacheField name="Gender" numFmtId="0">
      <sharedItems count="2">
        <s v="Male"/>
        <s v="Female"/>
      </sharedItems>
    </cacheField>
    <cacheField name="Department" numFmtId="0">
      <sharedItems containsBlank="1" count="7">
        <s v="HR"/>
        <s v="Operations"/>
        <s v="IT"/>
        <s v="Sales"/>
        <s v="Finance"/>
        <s v="Marketing"/>
        <m u="1"/>
      </sharedItems>
    </cacheField>
    <cacheField name="JobRole" numFmtId="0">
      <sharedItems containsBlank="1" count="7">
        <s v="Executive"/>
        <s v="Senior Analyst"/>
        <s v="Intern"/>
        <s v="Team Lead"/>
        <s v="Analyst"/>
        <s v="Manager"/>
        <m u="1"/>
      </sharedItems>
    </cacheField>
    <cacheField name="EducationLevel" numFmtId="0">
      <sharedItems containsBlank="1" count="5">
        <s v="High School"/>
        <s v="PhD"/>
        <s v="Bachelor"/>
        <s v="Master"/>
        <m u="1"/>
      </sharedItems>
    </cacheField>
    <cacheField name="MaritalStatus" numFmtId="0">
      <sharedItems/>
    </cacheField>
    <cacheField name="MonthlyIncome" numFmtId="0">
      <sharedItems containsSemiMixedTypes="0" containsString="0" containsNumber="1" containsInteger="1" minValue="10034" maxValue="179414"/>
    </cacheField>
    <cacheField name="Bonus" numFmtId="0">
      <sharedItems containsSemiMixedTypes="0" containsString="0" containsNumber="1" containsInteger="1" minValue="25" maxValue="49944"/>
    </cacheField>
    <cacheField name="YearsAtCompany" numFmtId="0">
      <sharedItems containsSemiMixedTypes="0" containsString="0" containsNumber="1" containsInteger="1" minValue="0" maxValue="24" count="25">
        <n v="7"/>
        <n v="18"/>
        <n v="13"/>
        <n v="3"/>
        <n v="22"/>
        <n v="19"/>
        <n v="1"/>
        <n v="15"/>
        <n v="16"/>
        <n v="10"/>
        <n v="4"/>
        <n v="23"/>
        <n v="9"/>
        <n v="12"/>
        <n v="24"/>
        <n v="20"/>
        <n v="21"/>
        <n v="14"/>
        <n v="5"/>
        <n v="2"/>
        <n v="8"/>
        <n v="0"/>
        <n v="6"/>
        <n v="11"/>
        <n v="17"/>
      </sharedItems>
    </cacheField>
    <cacheField name="YearsInCurrentRole" numFmtId="0">
      <sharedItems containsSemiMixedTypes="0" containsString="0" containsNumber="1" containsInteger="1" minValue="0" maxValue="14" count="15">
        <n v="7"/>
        <n v="11"/>
        <n v="14"/>
        <n v="6"/>
        <n v="5"/>
        <n v="13"/>
        <n v="0"/>
        <n v="4"/>
        <n v="12"/>
        <n v="9"/>
        <n v="2"/>
        <n v="10"/>
        <n v="3"/>
        <n v="1"/>
        <n v="8"/>
      </sharedItems>
    </cacheField>
    <cacheField name="PerformanceRating" numFmtId="0">
      <sharedItems containsSemiMixedTypes="0" containsString="0" containsNumber="1" containsInteger="1" minValue="1" maxValue="5"/>
    </cacheField>
    <cacheField name="Overtime" numFmtId="0">
      <sharedItems/>
    </cacheField>
    <cacheField name="WorkLifeBalance" numFmtId="0">
      <sharedItems containsSemiMixedTypes="0" containsString="0" containsNumber="1" containsInteger="1" minValue="1" maxValue="4"/>
    </cacheField>
    <cacheField name="DistanceFromHome" numFmtId="0">
      <sharedItems containsSemiMixedTypes="0" containsString="0" containsNumber="1" containsInteger="1" minValue="1" maxValue="39" count="39">
        <n v="30"/>
        <n v="7"/>
        <n v="4"/>
        <n v="18"/>
        <n v="35"/>
        <n v="14"/>
        <n v="29"/>
        <n v="27"/>
        <n v="39"/>
        <n v="26"/>
        <n v="8"/>
        <n v="5"/>
        <n v="21"/>
        <n v="33"/>
        <n v="28"/>
        <n v="9"/>
        <n v="37"/>
        <n v="31"/>
        <n v="11"/>
        <n v="13"/>
        <n v="19"/>
        <n v="17"/>
        <n v="34"/>
        <n v="3"/>
        <n v="36"/>
        <n v="12"/>
        <n v="2"/>
        <n v="24"/>
        <n v="25"/>
        <n v="23"/>
        <n v="20"/>
        <n v="15"/>
        <n v="10"/>
        <n v="1"/>
        <n v="22"/>
        <n v="6"/>
        <n v="16"/>
        <n v="32"/>
        <n v="38"/>
      </sharedItems>
    </cacheField>
    <cacheField name="TrainingHours" numFmtId="0">
      <sharedItems containsSemiMixedTypes="0" containsString="0" containsNumber="1" containsInteger="1" minValue="5" maxValue="59"/>
    </cacheField>
    <cacheField name="JobSatisfaction" numFmtId="0">
      <sharedItems containsSemiMixedTypes="0" containsString="0" containsNumber="1" containsInteger="1" minValue="1" maxValue="4" count="4">
        <n v="3"/>
        <n v="2"/>
        <n v="1"/>
        <n v="4"/>
      </sharedItems>
    </cacheField>
    <cacheField name="EnvironmentSatisfaction" numFmtId="0">
      <sharedItems containsSemiMixedTypes="0" containsString="0" containsNumber="1" containsInteger="1" minValue="1" maxValue="4"/>
    </cacheField>
    <cacheField name="Attrition" numFmtId="0">
      <sharedItems count="2">
        <s v="No"/>
        <s v="Yes"/>
      </sharedItems>
    </cacheField>
  </cacheFields>
  <extLst>
    <ext xmlns:x14="http://schemas.microsoft.com/office/spreadsheetml/2009/9/main" uri="{725AE2AE-9491-48be-B2B4-4EB974FC3084}">
      <x14:pivotCacheDefinition pivotCacheId="419392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0001"/>
    <n v="42"/>
    <x v="0"/>
    <x v="0"/>
    <x v="0"/>
    <x v="0"/>
    <s v="Married"/>
    <n v="82118"/>
    <n v="44131"/>
    <x v="0"/>
    <x v="0"/>
    <n v="3"/>
    <s v="Yes"/>
    <n v="4"/>
    <x v="0"/>
    <n v="42"/>
    <x v="0"/>
    <n v="1"/>
    <x v="0"/>
  </r>
  <r>
    <n v="10002"/>
    <n v="47"/>
    <x v="1"/>
    <x v="1"/>
    <x v="1"/>
    <x v="1"/>
    <s v="Single"/>
    <n v="53666"/>
    <n v="19118"/>
    <x v="1"/>
    <x v="1"/>
    <n v="3"/>
    <s v="No"/>
    <n v="1"/>
    <x v="1"/>
    <n v="25"/>
    <x v="1"/>
    <n v="3"/>
    <x v="1"/>
  </r>
  <r>
    <n v="10003"/>
    <n v="39"/>
    <x v="1"/>
    <x v="2"/>
    <x v="1"/>
    <x v="2"/>
    <s v="Married"/>
    <n v="68897"/>
    <n v="48555"/>
    <x v="0"/>
    <x v="2"/>
    <n v="2"/>
    <s v="No"/>
    <n v="2"/>
    <x v="2"/>
    <n v="6"/>
    <x v="2"/>
    <n v="3"/>
    <x v="0"/>
  </r>
  <r>
    <n v="10004"/>
    <n v="55"/>
    <x v="0"/>
    <x v="2"/>
    <x v="2"/>
    <x v="2"/>
    <s v="Divorced"/>
    <n v="15675"/>
    <n v="29127"/>
    <x v="2"/>
    <x v="3"/>
    <n v="3"/>
    <s v="No"/>
    <n v="4"/>
    <x v="3"/>
    <n v="51"/>
    <x v="3"/>
    <n v="4"/>
    <x v="0"/>
  </r>
  <r>
    <n v="10005"/>
    <n v="44"/>
    <x v="1"/>
    <x v="0"/>
    <x v="1"/>
    <x v="1"/>
    <s v="Married"/>
    <n v="63446"/>
    <n v="2027"/>
    <x v="0"/>
    <x v="0"/>
    <n v="1"/>
    <s v="Yes"/>
    <n v="4"/>
    <x v="4"/>
    <n v="37"/>
    <x v="1"/>
    <n v="3"/>
    <x v="0"/>
  </r>
  <r>
    <n v="10006"/>
    <n v="42"/>
    <x v="1"/>
    <x v="1"/>
    <x v="3"/>
    <x v="2"/>
    <s v="Married"/>
    <n v="103067"/>
    <n v="19115"/>
    <x v="0"/>
    <x v="4"/>
    <n v="4"/>
    <s v="No"/>
    <n v="2"/>
    <x v="5"/>
    <n v="7"/>
    <x v="0"/>
    <n v="3"/>
    <x v="0"/>
  </r>
  <r>
    <n v="10007"/>
    <n v="32"/>
    <x v="1"/>
    <x v="3"/>
    <x v="0"/>
    <x v="2"/>
    <s v="Married"/>
    <n v="81518"/>
    <n v="41523"/>
    <x v="3"/>
    <x v="5"/>
    <n v="2"/>
    <s v="No"/>
    <n v="3"/>
    <x v="6"/>
    <n v="40"/>
    <x v="1"/>
    <n v="4"/>
    <x v="0"/>
  </r>
  <r>
    <n v="10008"/>
    <n v="39"/>
    <x v="1"/>
    <x v="3"/>
    <x v="3"/>
    <x v="3"/>
    <s v="Married"/>
    <n v="92693"/>
    <n v="26105"/>
    <x v="4"/>
    <x v="1"/>
    <n v="3"/>
    <s v="No"/>
    <n v="2"/>
    <x v="7"/>
    <n v="56"/>
    <x v="0"/>
    <n v="2"/>
    <x v="0"/>
  </r>
  <r>
    <n v="10009"/>
    <n v="34"/>
    <x v="0"/>
    <x v="2"/>
    <x v="1"/>
    <x v="0"/>
    <s v="Single"/>
    <n v="58545"/>
    <n v="3304"/>
    <x v="5"/>
    <x v="6"/>
    <n v="2"/>
    <s v="Yes"/>
    <n v="2"/>
    <x v="8"/>
    <n v="6"/>
    <x v="0"/>
    <n v="3"/>
    <x v="0"/>
  </r>
  <r>
    <n v="10010"/>
    <n v="56"/>
    <x v="1"/>
    <x v="2"/>
    <x v="4"/>
    <x v="2"/>
    <s v="Married"/>
    <n v="39555"/>
    <n v="46717"/>
    <x v="6"/>
    <x v="7"/>
    <n v="3"/>
    <s v="No"/>
    <n v="2"/>
    <x v="2"/>
    <n v="59"/>
    <x v="2"/>
    <n v="3"/>
    <x v="0"/>
  </r>
  <r>
    <n v="10011"/>
    <n v="35"/>
    <x v="1"/>
    <x v="2"/>
    <x v="4"/>
    <x v="3"/>
    <s v="Single"/>
    <n v="25197"/>
    <n v="44357"/>
    <x v="7"/>
    <x v="8"/>
    <n v="4"/>
    <s v="Yes"/>
    <n v="2"/>
    <x v="9"/>
    <n v="7"/>
    <x v="0"/>
    <n v="4"/>
    <x v="0"/>
  </r>
  <r>
    <n v="10012"/>
    <n v="20"/>
    <x v="0"/>
    <x v="2"/>
    <x v="3"/>
    <x v="2"/>
    <s v="Married"/>
    <n v="113078"/>
    <n v="47025"/>
    <x v="4"/>
    <x v="2"/>
    <n v="4"/>
    <s v="Yes"/>
    <n v="3"/>
    <x v="9"/>
    <n v="52"/>
    <x v="3"/>
    <n v="3"/>
    <x v="0"/>
  </r>
  <r>
    <n v="10013"/>
    <n v="28"/>
    <x v="0"/>
    <x v="4"/>
    <x v="4"/>
    <x v="2"/>
    <s v="Married"/>
    <n v="44492"/>
    <n v="1154"/>
    <x v="5"/>
    <x v="0"/>
    <n v="3"/>
    <s v="No"/>
    <n v="4"/>
    <x v="10"/>
    <n v="40"/>
    <x v="3"/>
    <n v="4"/>
    <x v="0"/>
  </r>
  <r>
    <n v="10014"/>
    <n v="37"/>
    <x v="0"/>
    <x v="3"/>
    <x v="4"/>
    <x v="2"/>
    <s v="Single"/>
    <n v="39172"/>
    <n v="46760"/>
    <x v="3"/>
    <x v="6"/>
    <n v="1"/>
    <s v="No"/>
    <n v="2"/>
    <x v="10"/>
    <n v="11"/>
    <x v="1"/>
    <n v="3"/>
    <x v="0"/>
  </r>
  <r>
    <n v="10015"/>
    <n v="57"/>
    <x v="0"/>
    <x v="2"/>
    <x v="1"/>
    <x v="1"/>
    <s v="Married"/>
    <n v="62429"/>
    <n v="5895"/>
    <x v="6"/>
    <x v="7"/>
    <n v="3"/>
    <s v="No"/>
    <n v="3"/>
    <x v="11"/>
    <n v="52"/>
    <x v="1"/>
    <n v="2"/>
    <x v="0"/>
  </r>
  <r>
    <n v="10016"/>
    <n v="25"/>
    <x v="0"/>
    <x v="2"/>
    <x v="4"/>
    <x v="2"/>
    <s v="Single"/>
    <n v="35716"/>
    <n v="18711"/>
    <x v="8"/>
    <x v="5"/>
    <n v="5"/>
    <s v="No"/>
    <n v="4"/>
    <x v="12"/>
    <n v="36"/>
    <x v="1"/>
    <n v="4"/>
    <x v="0"/>
  </r>
  <r>
    <n v="10017"/>
    <n v="43"/>
    <x v="0"/>
    <x v="2"/>
    <x v="1"/>
    <x v="2"/>
    <s v="Married"/>
    <n v="45569"/>
    <n v="18070"/>
    <x v="6"/>
    <x v="2"/>
    <n v="3"/>
    <s v="No"/>
    <n v="4"/>
    <x v="13"/>
    <n v="13"/>
    <x v="3"/>
    <n v="3"/>
    <x v="0"/>
  </r>
  <r>
    <n v="10018"/>
    <n v="26"/>
    <x v="1"/>
    <x v="0"/>
    <x v="0"/>
    <x v="2"/>
    <s v="Married"/>
    <n v="89592"/>
    <n v="2368"/>
    <x v="0"/>
    <x v="5"/>
    <n v="4"/>
    <s v="No"/>
    <n v="3"/>
    <x v="14"/>
    <n v="38"/>
    <x v="0"/>
    <n v="1"/>
    <x v="0"/>
  </r>
  <r>
    <n v="10019"/>
    <n v="41"/>
    <x v="0"/>
    <x v="3"/>
    <x v="0"/>
    <x v="2"/>
    <s v="Single"/>
    <n v="77532"/>
    <n v="29749"/>
    <x v="9"/>
    <x v="1"/>
    <n v="3"/>
    <s v="No"/>
    <n v="2"/>
    <x v="11"/>
    <n v="43"/>
    <x v="3"/>
    <n v="1"/>
    <x v="0"/>
  </r>
  <r>
    <n v="10020"/>
    <n v="49"/>
    <x v="0"/>
    <x v="2"/>
    <x v="1"/>
    <x v="0"/>
    <s v="Single"/>
    <n v="52987"/>
    <n v="14098"/>
    <x v="4"/>
    <x v="9"/>
    <n v="1"/>
    <s v="No"/>
    <n v="4"/>
    <x v="15"/>
    <n v="16"/>
    <x v="1"/>
    <n v="3"/>
    <x v="0"/>
  </r>
  <r>
    <n v="10021"/>
    <n v="20"/>
    <x v="0"/>
    <x v="2"/>
    <x v="4"/>
    <x v="1"/>
    <s v="Married"/>
    <n v="41943"/>
    <n v="9662"/>
    <x v="10"/>
    <x v="4"/>
    <n v="4"/>
    <s v="Yes"/>
    <n v="3"/>
    <x v="16"/>
    <n v="26"/>
    <x v="1"/>
    <n v="1"/>
    <x v="0"/>
  </r>
  <r>
    <n v="10022"/>
    <n v="58"/>
    <x v="0"/>
    <x v="2"/>
    <x v="2"/>
    <x v="2"/>
    <s v="Married"/>
    <n v="16617"/>
    <n v="37220"/>
    <x v="4"/>
    <x v="9"/>
    <n v="3"/>
    <s v="No"/>
    <n v="1"/>
    <x v="17"/>
    <n v="14"/>
    <x v="0"/>
    <n v="3"/>
    <x v="0"/>
  </r>
  <r>
    <n v="10023"/>
    <n v="21"/>
    <x v="1"/>
    <x v="4"/>
    <x v="0"/>
    <x v="0"/>
    <s v="Married"/>
    <n v="79223"/>
    <n v="851"/>
    <x v="11"/>
    <x v="1"/>
    <n v="3"/>
    <s v="No"/>
    <n v="3"/>
    <x v="16"/>
    <n v="16"/>
    <x v="3"/>
    <n v="2"/>
    <x v="0"/>
  </r>
  <r>
    <n v="10024"/>
    <n v="54"/>
    <x v="1"/>
    <x v="1"/>
    <x v="4"/>
    <x v="2"/>
    <s v="Married"/>
    <n v="30726"/>
    <n v="23132"/>
    <x v="12"/>
    <x v="9"/>
    <n v="3"/>
    <s v="No"/>
    <n v="2"/>
    <x v="18"/>
    <n v="33"/>
    <x v="2"/>
    <n v="1"/>
    <x v="1"/>
  </r>
  <r>
    <n v="10025"/>
    <n v="54"/>
    <x v="0"/>
    <x v="0"/>
    <x v="1"/>
    <x v="2"/>
    <s v="Single"/>
    <n v="47967"/>
    <n v="34911"/>
    <x v="11"/>
    <x v="3"/>
    <n v="5"/>
    <s v="No"/>
    <n v="3"/>
    <x v="19"/>
    <n v="27"/>
    <x v="3"/>
    <n v="3"/>
    <x v="0"/>
  </r>
  <r>
    <n v="10026"/>
    <n v="38"/>
    <x v="1"/>
    <x v="2"/>
    <x v="1"/>
    <x v="2"/>
    <s v="Single"/>
    <n v="62749"/>
    <n v="7400"/>
    <x v="1"/>
    <x v="1"/>
    <n v="3"/>
    <s v="No"/>
    <n v="3"/>
    <x v="20"/>
    <n v="51"/>
    <x v="1"/>
    <n v="1"/>
    <x v="0"/>
  </r>
  <r>
    <n v="10027"/>
    <n v="58"/>
    <x v="0"/>
    <x v="2"/>
    <x v="1"/>
    <x v="0"/>
    <s v="Married"/>
    <n v="65020"/>
    <n v="11174"/>
    <x v="2"/>
    <x v="2"/>
    <n v="2"/>
    <s v="No"/>
    <n v="3"/>
    <x v="18"/>
    <n v="22"/>
    <x v="3"/>
    <n v="4"/>
    <x v="0"/>
  </r>
  <r>
    <n v="10028"/>
    <n v="28"/>
    <x v="1"/>
    <x v="3"/>
    <x v="3"/>
    <x v="3"/>
    <s v="Married"/>
    <n v="111677"/>
    <n v="17924"/>
    <x v="10"/>
    <x v="4"/>
    <n v="5"/>
    <s v="No"/>
    <n v="3"/>
    <x v="21"/>
    <n v="11"/>
    <x v="3"/>
    <n v="4"/>
    <x v="0"/>
  </r>
  <r>
    <n v="10029"/>
    <n v="29"/>
    <x v="1"/>
    <x v="5"/>
    <x v="2"/>
    <x v="3"/>
    <s v="Single"/>
    <n v="15301"/>
    <n v="44482"/>
    <x v="13"/>
    <x v="8"/>
    <n v="3"/>
    <s v="No"/>
    <n v="4"/>
    <x v="10"/>
    <n v="45"/>
    <x v="3"/>
    <n v="3"/>
    <x v="0"/>
  </r>
  <r>
    <n v="10030"/>
    <n v="57"/>
    <x v="0"/>
    <x v="3"/>
    <x v="1"/>
    <x v="2"/>
    <s v="Married"/>
    <n v="68960"/>
    <n v="45740"/>
    <x v="13"/>
    <x v="8"/>
    <n v="3"/>
    <s v="Yes"/>
    <n v="4"/>
    <x v="16"/>
    <n v="40"/>
    <x v="3"/>
    <n v="3"/>
    <x v="0"/>
  </r>
  <r>
    <n v="10031"/>
    <n v="22"/>
    <x v="0"/>
    <x v="1"/>
    <x v="1"/>
    <x v="3"/>
    <s v="Single"/>
    <n v="64870"/>
    <n v="13323"/>
    <x v="12"/>
    <x v="0"/>
    <n v="3"/>
    <s v="Yes"/>
    <n v="3"/>
    <x v="14"/>
    <n v="40"/>
    <x v="3"/>
    <n v="3"/>
    <x v="0"/>
  </r>
  <r>
    <n v="10032"/>
    <n v="36"/>
    <x v="0"/>
    <x v="0"/>
    <x v="2"/>
    <x v="2"/>
    <s v="Single"/>
    <n v="13775"/>
    <n v="35547"/>
    <x v="7"/>
    <x v="8"/>
    <n v="2"/>
    <s v="Yes"/>
    <n v="4"/>
    <x v="11"/>
    <n v="51"/>
    <x v="0"/>
    <n v="4"/>
    <x v="0"/>
  </r>
  <r>
    <n v="10033"/>
    <n v="20"/>
    <x v="1"/>
    <x v="2"/>
    <x v="1"/>
    <x v="2"/>
    <s v="Divorced"/>
    <n v="46015"/>
    <n v="23833"/>
    <x v="14"/>
    <x v="4"/>
    <n v="4"/>
    <s v="No"/>
    <n v="1"/>
    <x v="4"/>
    <n v="5"/>
    <x v="0"/>
    <n v="1"/>
    <x v="0"/>
  </r>
  <r>
    <n v="10034"/>
    <n v="56"/>
    <x v="0"/>
    <x v="2"/>
    <x v="1"/>
    <x v="3"/>
    <s v="Married"/>
    <n v="60106"/>
    <n v="13456"/>
    <x v="15"/>
    <x v="5"/>
    <n v="3"/>
    <s v="Yes"/>
    <n v="2"/>
    <x v="2"/>
    <n v="5"/>
    <x v="0"/>
    <n v="3"/>
    <x v="0"/>
  </r>
  <r>
    <n v="10035"/>
    <n v="31"/>
    <x v="0"/>
    <x v="3"/>
    <x v="4"/>
    <x v="3"/>
    <s v="Divorced"/>
    <n v="35357"/>
    <n v="24285"/>
    <x v="14"/>
    <x v="6"/>
    <n v="2"/>
    <s v="Yes"/>
    <n v="4"/>
    <x v="12"/>
    <n v="18"/>
    <x v="3"/>
    <n v="3"/>
    <x v="0"/>
  </r>
  <r>
    <n v="10036"/>
    <n v="34"/>
    <x v="0"/>
    <x v="2"/>
    <x v="2"/>
    <x v="2"/>
    <s v="Divorced"/>
    <n v="16241"/>
    <n v="17715"/>
    <x v="14"/>
    <x v="4"/>
    <n v="3"/>
    <s v="No"/>
    <n v="2"/>
    <x v="21"/>
    <n v="9"/>
    <x v="0"/>
    <n v="3"/>
    <x v="0"/>
  </r>
  <r>
    <n v="10037"/>
    <n v="21"/>
    <x v="1"/>
    <x v="4"/>
    <x v="0"/>
    <x v="2"/>
    <s v="Married"/>
    <n v="64164"/>
    <n v="12015"/>
    <x v="9"/>
    <x v="10"/>
    <n v="3"/>
    <s v="No"/>
    <n v="2"/>
    <x v="18"/>
    <n v="58"/>
    <x v="3"/>
    <n v="3"/>
    <x v="1"/>
  </r>
  <r>
    <n v="10038"/>
    <n v="38"/>
    <x v="0"/>
    <x v="2"/>
    <x v="1"/>
    <x v="3"/>
    <s v="Single"/>
    <n v="45666"/>
    <n v="37545"/>
    <x v="16"/>
    <x v="7"/>
    <n v="3"/>
    <s v="No"/>
    <n v="3"/>
    <x v="22"/>
    <n v="53"/>
    <x v="0"/>
    <n v="3"/>
    <x v="0"/>
  </r>
  <r>
    <n v="10039"/>
    <n v="36"/>
    <x v="0"/>
    <x v="3"/>
    <x v="0"/>
    <x v="2"/>
    <s v="Married"/>
    <n v="70478"/>
    <n v="14178"/>
    <x v="5"/>
    <x v="2"/>
    <n v="3"/>
    <s v="No"/>
    <n v="2"/>
    <x v="14"/>
    <n v="27"/>
    <x v="0"/>
    <n v="3"/>
    <x v="0"/>
  </r>
  <r>
    <n v="10040"/>
    <n v="37"/>
    <x v="0"/>
    <x v="3"/>
    <x v="4"/>
    <x v="2"/>
    <s v="Married"/>
    <n v="30122"/>
    <n v="35854"/>
    <x v="14"/>
    <x v="3"/>
    <n v="3"/>
    <s v="Yes"/>
    <n v="1"/>
    <x v="8"/>
    <n v="26"/>
    <x v="0"/>
    <n v="2"/>
    <x v="1"/>
  </r>
  <r>
    <n v="10041"/>
    <n v="37"/>
    <x v="1"/>
    <x v="2"/>
    <x v="1"/>
    <x v="0"/>
    <s v="Married"/>
    <n v="53258"/>
    <n v="14369"/>
    <x v="17"/>
    <x v="0"/>
    <n v="3"/>
    <s v="No"/>
    <n v="3"/>
    <x v="16"/>
    <n v="10"/>
    <x v="0"/>
    <n v="4"/>
    <x v="0"/>
  </r>
  <r>
    <n v="10042"/>
    <n v="41"/>
    <x v="0"/>
    <x v="3"/>
    <x v="0"/>
    <x v="2"/>
    <s v="Single"/>
    <n v="88024"/>
    <n v="6767"/>
    <x v="3"/>
    <x v="5"/>
    <n v="2"/>
    <s v="No"/>
    <n v="2"/>
    <x v="15"/>
    <n v="59"/>
    <x v="1"/>
    <n v="1"/>
    <x v="0"/>
  </r>
  <r>
    <n v="10043"/>
    <n v="23"/>
    <x v="0"/>
    <x v="2"/>
    <x v="5"/>
    <x v="0"/>
    <s v="Divorced"/>
    <n v="161427"/>
    <n v="46685"/>
    <x v="11"/>
    <x v="4"/>
    <n v="3"/>
    <s v="No"/>
    <n v="3"/>
    <x v="10"/>
    <n v="30"/>
    <x v="3"/>
    <n v="2"/>
    <x v="0"/>
  </r>
  <r>
    <n v="10044"/>
    <n v="31"/>
    <x v="1"/>
    <x v="5"/>
    <x v="4"/>
    <x v="0"/>
    <s v="Married"/>
    <n v="41608"/>
    <n v="45375"/>
    <x v="18"/>
    <x v="7"/>
    <n v="3"/>
    <s v="No"/>
    <n v="3"/>
    <x v="23"/>
    <n v="37"/>
    <x v="3"/>
    <n v="2"/>
    <x v="0"/>
  </r>
  <r>
    <n v="10045"/>
    <n v="20"/>
    <x v="0"/>
    <x v="4"/>
    <x v="1"/>
    <x v="0"/>
    <s v="Single"/>
    <n v="50287"/>
    <n v="27534"/>
    <x v="11"/>
    <x v="4"/>
    <n v="3"/>
    <s v="No"/>
    <n v="4"/>
    <x v="5"/>
    <n v="57"/>
    <x v="3"/>
    <n v="3"/>
    <x v="0"/>
  </r>
  <r>
    <n v="10046"/>
    <n v="30"/>
    <x v="0"/>
    <x v="1"/>
    <x v="2"/>
    <x v="3"/>
    <s v="Single"/>
    <n v="15951"/>
    <n v="23325"/>
    <x v="19"/>
    <x v="7"/>
    <n v="2"/>
    <s v="No"/>
    <n v="3"/>
    <x v="2"/>
    <n v="29"/>
    <x v="3"/>
    <n v="4"/>
    <x v="0"/>
  </r>
  <r>
    <n v="10047"/>
    <n v="52"/>
    <x v="0"/>
    <x v="0"/>
    <x v="1"/>
    <x v="3"/>
    <s v="Married"/>
    <n v="56954"/>
    <n v="19096"/>
    <x v="8"/>
    <x v="6"/>
    <n v="3"/>
    <s v="No"/>
    <n v="1"/>
    <x v="8"/>
    <n v="55"/>
    <x v="0"/>
    <n v="3"/>
    <x v="0"/>
  </r>
  <r>
    <n v="10048"/>
    <n v="49"/>
    <x v="1"/>
    <x v="2"/>
    <x v="1"/>
    <x v="3"/>
    <s v="Married"/>
    <n v="67126"/>
    <n v="10789"/>
    <x v="14"/>
    <x v="6"/>
    <n v="4"/>
    <s v="No"/>
    <n v="2"/>
    <x v="2"/>
    <n v="26"/>
    <x v="0"/>
    <n v="3"/>
    <x v="0"/>
  </r>
  <r>
    <n v="10049"/>
    <n v="34"/>
    <x v="1"/>
    <x v="4"/>
    <x v="4"/>
    <x v="3"/>
    <s v="Single"/>
    <n v="31371"/>
    <n v="14382"/>
    <x v="3"/>
    <x v="1"/>
    <n v="4"/>
    <s v="Yes"/>
    <n v="3"/>
    <x v="24"/>
    <n v="40"/>
    <x v="0"/>
    <n v="3"/>
    <x v="0"/>
  </r>
  <r>
    <n v="10050"/>
    <n v="45"/>
    <x v="1"/>
    <x v="3"/>
    <x v="5"/>
    <x v="3"/>
    <s v="Single"/>
    <n v="164165"/>
    <n v="10380"/>
    <x v="0"/>
    <x v="5"/>
    <n v="2"/>
    <s v="No"/>
    <n v="4"/>
    <x v="25"/>
    <n v="48"/>
    <x v="0"/>
    <n v="3"/>
    <x v="0"/>
  </r>
  <r>
    <n v="10051"/>
    <n v="28"/>
    <x v="1"/>
    <x v="3"/>
    <x v="0"/>
    <x v="2"/>
    <s v="Married"/>
    <n v="68795"/>
    <n v="44327"/>
    <x v="20"/>
    <x v="4"/>
    <n v="5"/>
    <s v="Yes"/>
    <n v="1"/>
    <x v="9"/>
    <n v="50"/>
    <x v="2"/>
    <n v="2"/>
    <x v="1"/>
  </r>
  <r>
    <n v="10052"/>
    <n v="28"/>
    <x v="1"/>
    <x v="5"/>
    <x v="4"/>
    <x v="2"/>
    <s v="Married"/>
    <n v="27708"/>
    <n v="32409"/>
    <x v="20"/>
    <x v="10"/>
    <n v="3"/>
    <s v="No"/>
    <n v="4"/>
    <x v="26"/>
    <n v="11"/>
    <x v="0"/>
    <n v="2"/>
    <x v="0"/>
  </r>
  <r>
    <n v="10053"/>
    <n v="44"/>
    <x v="0"/>
    <x v="3"/>
    <x v="4"/>
    <x v="2"/>
    <s v="Single"/>
    <n v="38490"/>
    <n v="22359"/>
    <x v="21"/>
    <x v="6"/>
    <n v="4"/>
    <s v="No"/>
    <n v="2"/>
    <x v="12"/>
    <n v="53"/>
    <x v="1"/>
    <n v="2"/>
    <x v="0"/>
  </r>
  <r>
    <n v="10054"/>
    <n v="26"/>
    <x v="0"/>
    <x v="1"/>
    <x v="1"/>
    <x v="2"/>
    <s v="Single"/>
    <n v="54916"/>
    <n v="26838"/>
    <x v="1"/>
    <x v="11"/>
    <n v="4"/>
    <s v="No"/>
    <n v="2"/>
    <x v="6"/>
    <n v="34"/>
    <x v="2"/>
    <n v="4"/>
    <x v="1"/>
  </r>
  <r>
    <n v="10055"/>
    <n v="49"/>
    <x v="0"/>
    <x v="3"/>
    <x v="0"/>
    <x v="2"/>
    <s v="Single"/>
    <n v="66645"/>
    <n v="12342"/>
    <x v="22"/>
    <x v="10"/>
    <n v="3"/>
    <s v="No"/>
    <n v="3"/>
    <x v="13"/>
    <n v="27"/>
    <x v="0"/>
    <n v="4"/>
    <x v="0"/>
  </r>
  <r>
    <n v="10056"/>
    <n v="27"/>
    <x v="0"/>
    <x v="5"/>
    <x v="1"/>
    <x v="0"/>
    <s v="Married"/>
    <n v="67338"/>
    <n v="6722"/>
    <x v="1"/>
    <x v="6"/>
    <n v="3"/>
    <s v="No"/>
    <n v="4"/>
    <x v="27"/>
    <n v="18"/>
    <x v="1"/>
    <n v="3"/>
    <x v="0"/>
  </r>
  <r>
    <n v="10057"/>
    <n v="37"/>
    <x v="0"/>
    <x v="5"/>
    <x v="3"/>
    <x v="0"/>
    <s v="Single"/>
    <n v="111389"/>
    <n v="2198"/>
    <x v="15"/>
    <x v="10"/>
    <n v="2"/>
    <s v="No"/>
    <n v="3"/>
    <x v="3"/>
    <n v="6"/>
    <x v="1"/>
    <n v="4"/>
    <x v="0"/>
  </r>
  <r>
    <n v="10058"/>
    <n v="24"/>
    <x v="0"/>
    <x v="3"/>
    <x v="3"/>
    <x v="2"/>
    <s v="Married"/>
    <n v="101382"/>
    <n v="45960"/>
    <x v="6"/>
    <x v="7"/>
    <n v="3"/>
    <s v="No"/>
    <n v="4"/>
    <x v="27"/>
    <n v="21"/>
    <x v="1"/>
    <n v="4"/>
    <x v="0"/>
  </r>
  <r>
    <n v="10059"/>
    <n v="28"/>
    <x v="1"/>
    <x v="4"/>
    <x v="0"/>
    <x v="2"/>
    <s v="Married"/>
    <n v="63186"/>
    <n v="23752"/>
    <x v="16"/>
    <x v="4"/>
    <n v="4"/>
    <s v="No"/>
    <n v="3"/>
    <x v="22"/>
    <n v="27"/>
    <x v="0"/>
    <n v="3"/>
    <x v="0"/>
  </r>
  <r>
    <n v="10060"/>
    <n v="44"/>
    <x v="0"/>
    <x v="5"/>
    <x v="3"/>
    <x v="2"/>
    <s v="Married"/>
    <n v="116657"/>
    <n v="48756"/>
    <x v="12"/>
    <x v="4"/>
    <n v="2"/>
    <s v="No"/>
    <n v="4"/>
    <x v="22"/>
    <n v="16"/>
    <x v="0"/>
    <n v="3"/>
    <x v="0"/>
  </r>
  <r>
    <n v="10061"/>
    <n v="21"/>
    <x v="0"/>
    <x v="4"/>
    <x v="3"/>
    <x v="0"/>
    <s v="Married"/>
    <n v="119373"/>
    <n v="19250"/>
    <x v="15"/>
    <x v="12"/>
    <n v="4"/>
    <s v="Yes"/>
    <n v="4"/>
    <x v="18"/>
    <n v="40"/>
    <x v="0"/>
    <n v="3"/>
    <x v="0"/>
  </r>
  <r>
    <n v="10062"/>
    <n v="52"/>
    <x v="0"/>
    <x v="2"/>
    <x v="1"/>
    <x v="2"/>
    <s v="Married"/>
    <n v="49853"/>
    <n v="48594"/>
    <x v="19"/>
    <x v="12"/>
    <n v="2"/>
    <s v="No"/>
    <n v="3"/>
    <x v="22"/>
    <n v="13"/>
    <x v="1"/>
    <n v="3"/>
    <x v="0"/>
  </r>
  <r>
    <n v="10063"/>
    <n v="44"/>
    <x v="0"/>
    <x v="2"/>
    <x v="0"/>
    <x v="2"/>
    <s v="Married"/>
    <n v="69130"/>
    <n v="34020"/>
    <x v="23"/>
    <x v="1"/>
    <n v="5"/>
    <s v="Yes"/>
    <n v="2"/>
    <x v="16"/>
    <n v="48"/>
    <x v="0"/>
    <n v="4"/>
    <x v="0"/>
  </r>
  <r>
    <n v="10064"/>
    <n v="43"/>
    <x v="1"/>
    <x v="1"/>
    <x v="0"/>
    <x v="3"/>
    <s v="Married"/>
    <n v="80491"/>
    <n v="11344"/>
    <x v="4"/>
    <x v="7"/>
    <n v="3"/>
    <s v="No"/>
    <n v="2"/>
    <x v="28"/>
    <n v="16"/>
    <x v="0"/>
    <n v="2"/>
    <x v="0"/>
  </r>
  <r>
    <n v="10065"/>
    <n v="45"/>
    <x v="1"/>
    <x v="1"/>
    <x v="2"/>
    <x v="2"/>
    <s v="Divorced"/>
    <n v="14806"/>
    <n v="44813"/>
    <x v="17"/>
    <x v="7"/>
    <n v="4"/>
    <s v="Yes"/>
    <n v="2"/>
    <x v="29"/>
    <n v="33"/>
    <x v="3"/>
    <n v="3"/>
    <x v="0"/>
  </r>
  <r>
    <n v="10066"/>
    <n v="53"/>
    <x v="0"/>
    <x v="5"/>
    <x v="4"/>
    <x v="3"/>
    <s v="Married"/>
    <n v="34374"/>
    <n v="31705"/>
    <x v="4"/>
    <x v="3"/>
    <n v="2"/>
    <s v="No"/>
    <n v="3"/>
    <x v="6"/>
    <n v="26"/>
    <x v="0"/>
    <n v="2"/>
    <x v="0"/>
  </r>
  <r>
    <n v="10067"/>
    <n v="53"/>
    <x v="1"/>
    <x v="3"/>
    <x v="0"/>
    <x v="0"/>
    <s v="Married"/>
    <n v="68502"/>
    <n v="27788"/>
    <x v="24"/>
    <x v="10"/>
    <n v="2"/>
    <s v="Yes"/>
    <n v="1"/>
    <x v="6"/>
    <n v="57"/>
    <x v="0"/>
    <n v="3"/>
    <x v="0"/>
  </r>
  <r>
    <n v="10068"/>
    <n v="24"/>
    <x v="0"/>
    <x v="3"/>
    <x v="1"/>
    <x v="3"/>
    <s v="Single"/>
    <n v="69574"/>
    <n v="44460"/>
    <x v="2"/>
    <x v="0"/>
    <n v="3"/>
    <s v="No"/>
    <n v="1"/>
    <x v="28"/>
    <n v="52"/>
    <x v="1"/>
    <n v="1"/>
    <x v="1"/>
  </r>
  <r>
    <n v="10069"/>
    <n v="56"/>
    <x v="0"/>
    <x v="1"/>
    <x v="1"/>
    <x v="0"/>
    <s v="Single"/>
    <n v="55426"/>
    <n v="40970"/>
    <x v="13"/>
    <x v="13"/>
    <n v="2"/>
    <s v="No"/>
    <n v="2"/>
    <x v="30"/>
    <n v="33"/>
    <x v="3"/>
    <n v="3"/>
    <x v="0"/>
  </r>
  <r>
    <n v="10070"/>
    <n v="22"/>
    <x v="0"/>
    <x v="3"/>
    <x v="4"/>
    <x v="3"/>
    <s v="Married"/>
    <n v="43649"/>
    <n v="8245"/>
    <x v="17"/>
    <x v="3"/>
    <n v="4"/>
    <s v="No"/>
    <n v="4"/>
    <x v="4"/>
    <n v="54"/>
    <x v="2"/>
    <n v="3"/>
    <x v="1"/>
  </r>
  <r>
    <n v="10071"/>
    <n v="28"/>
    <x v="1"/>
    <x v="1"/>
    <x v="1"/>
    <x v="3"/>
    <s v="Married"/>
    <n v="45892"/>
    <n v="17674"/>
    <x v="20"/>
    <x v="0"/>
    <n v="3"/>
    <s v="Yes"/>
    <n v="4"/>
    <x v="28"/>
    <n v="38"/>
    <x v="0"/>
    <n v="4"/>
    <x v="0"/>
  </r>
  <r>
    <n v="10072"/>
    <n v="27"/>
    <x v="0"/>
    <x v="5"/>
    <x v="1"/>
    <x v="2"/>
    <s v="Single"/>
    <n v="52291"/>
    <n v="41873"/>
    <x v="18"/>
    <x v="7"/>
    <n v="3"/>
    <s v="No"/>
    <n v="1"/>
    <x v="21"/>
    <n v="54"/>
    <x v="2"/>
    <n v="3"/>
    <x v="1"/>
  </r>
  <r>
    <n v="10073"/>
    <n v="32"/>
    <x v="0"/>
    <x v="4"/>
    <x v="3"/>
    <x v="2"/>
    <s v="Married"/>
    <n v="120561"/>
    <n v="7314"/>
    <x v="7"/>
    <x v="0"/>
    <n v="3"/>
    <s v="Yes"/>
    <n v="2"/>
    <x v="19"/>
    <n v="47"/>
    <x v="0"/>
    <n v="2"/>
    <x v="0"/>
  </r>
  <r>
    <n v="10074"/>
    <n v="50"/>
    <x v="0"/>
    <x v="1"/>
    <x v="0"/>
    <x v="3"/>
    <s v="Single"/>
    <n v="76106"/>
    <n v="22890"/>
    <x v="15"/>
    <x v="5"/>
    <n v="5"/>
    <s v="Yes"/>
    <n v="3"/>
    <x v="19"/>
    <n v="33"/>
    <x v="3"/>
    <n v="2"/>
    <x v="0"/>
  </r>
  <r>
    <n v="10075"/>
    <n v="43"/>
    <x v="0"/>
    <x v="2"/>
    <x v="4"/>
    <x v="3"/>
    <s v="Single"/>
    <n v="32009"/>
    <n v="10706"/>
    <x v="22"/>
    <x v="9"/>
    <n v="3"/>
    <s v="No"/>
    <n v="3"/>
    <x v="31"/>
    <n v="34"/>
    <x v="0"/>
    <n v="3"/>
    <x v="0"/>
  </r>
  <r>
    <n v="10076"/>
    <n v="41"/>
    <x v="1"/>
    <x v="5"/>
    <x v="0"/>
    <x v="3"/>
    <s v="Married"/>
    <n v="74527"/>
    <n v="20953"/>
    <x v="11"/>
    <x v="11"/>
    <n v="4"/>
    <s v="No"/>
    <n v="3"/>
    <x v="25"/>
    <n v="40"/>
    <x v="3"/>
    <n v="3"/>
    <x v="0"/>
  </r>
  <r>
    <n v="10077"/>
    <n v="23"/>
    <x v="0"/>
    <x v="3"/>
    <x v="2"/>
    <x v="2"/>
    <s v="Married"/>
    <n v="19645"/>
    <n v="16422"/>
    <x v="17"/>
    <x v="3"/>
    <n v="4"/>
    <s v="No"/>
    <n v="4"/>
    <x v="5"/>
    <n v="24"/>
    <x v="0"/>
    <n v="3"/>
    <x v="0"/>
  </r>
  <r>
    <n v="10078"/>
    <n v="39"/>
    <x v="1"/>
    <x v="2"/>
    <x v="4"/>
    <x v="2"/>
    <s v="Single"/>
    <n v="31446"/>
    <n v="5626"/>
    <x v="21"/>
    <x v="9"/>
    <n v="4"/>
    <s v="Yes"/>
    <n v="2"/>
    <x v="28"/>
    <n v="28"/>
    <x v="0"/>
    <n v="2"/>
    <x v="0"/>
  </r>
  <r>
    <n v="10079"/>
    <n v="27"/>
    <x v="0"/>
    <x v="5"/>
    <x v="5"/>
    <x v="3"/>
    <s v="Married"/>
    <n v="125776"/>
    <n v="30707"/>
    <x v="22"/>
    <x v="10"/>
    <n v="4"/>
    <s v="No"/>
    <n v="4"/>
    <x v="23"/>
    <n v="24"/>
    <x v="2"/>
    <n v="3"/>
    <x v="0"/>
  </r>
  <r>
    <n v="10080"/>
    <n v="41"/>
    <x v="0"/>
    <x v="4"/>
    <x v="4"/>
    <x v="2"/>
    <s v="Single"/>
    <n v="26763"/>
    <n v="16967"/>
    <x v="9"/>
    <x v="8"/>
    <n v="2"/>
    <s v="No"/>
    <n v="3"/>
    <x v="3"/>
    <n v="50"/>
    <x v="0"/>
    <n v="4"/>
    <x v="0"/>
  </r>
  <r>
    <n v="10081"/>
    <n v="41"/>
    <x v="1"/>
    <x v="3"/>
    <x v="0"/>
    <x v="3"/>
    <s v="Single"/>
    <n v="79880"/>
    <n v="39499"/>
    <x v="14"/>
    <x v="5"/>
    <n v="2"/>
    <s v="No"/>
    <n v="3"/>
    <x v="30"/>
    <n v="37"/>
    <x v="2"/>
    <n v="3"/>
    <x v="0"/>
  </r>
  <r>
    <n v="10082"/>
    <n v="32"/>
    <x v="0"/>
    <x v="2"/>
    <x v="1"/>
    <x v="0"/>
    <s v="Single"/>
    <n v="57236"/>
    <n v="43201"/>
    <x v="18"/>
    <x v="3"/>
    <n v="3"/>
    <s v="No"/>
    <n v="3"/>
    <x v="18"/>
    <n v="7"/>
    <x v="2"/>
    <n v="4"/>
    <x v="1"/>
  </r>
  <r>
    <n v="10083"/>
    <n v="47"/>
    <x v="0"/>
    <x v="3"/>
    <x v="0"/>
    <x v="3"/>
    <s v="Single"/>
    <n v="85291"/>
    <n v="24826"/>
    <x v="22"/>
    <x v="11"/>
    <n v="4"/>
    <s v="No"/>
    <n v="4"/>
    <x v="9"/>
    <n v="7"/>
    <x v="3"/>
    <n v="1"/>
    <x v="0"/>
  </r>
  <r>
    <n v="10084"/>
    <n v="38"/>
    <x v="0"/>
    <x v="2"/>
    <x v="0"/>
    <x v="1"/>
    <s v="Single"/>
    <n v="71787"/>
    <n v="18311"/>
    <x v="4"/>
    <x v="7"/>
    <n v="3"/>
    <s v="No"/>
    <n v="3"/>
    <x v="3"/>
    <n v="23"/>
    <x v="1"/>
    <n v="2"/>
    <x v="0"/>
  </r>
  <r>
    <n v="10085"/>
    <n v="34"/>
    <x v="1"/>
    <x v="1"/>
    <x v="0"/>
    <x v="2"/>
    <s v="Married"/>
    <n v="88706"/>
    <n v="7005"/>
    <x v="15"/>
    <x v="2"/>
    <n v="3"/>
    <s v="No"/>
    <n v="3"/>
    <x v="14"/>
    <n v="48"/>
    <x v="1"/>
    <n v="3"/>
    <x v="0"/>
  </r>
  <r>
    <n v="10086"/>
    <n v="34"/>
    <x v="0"/>
    <x v="4"/>
    <x v="1"/>
    <x v="3"/>
    <s v="Single"/>
    <n v="67015"/>
    <n v="12201"/>
    <x v="1"/>
    <x v="10"/>
    <n v="3"/>
    <s v="No"/>
    <n v="3"/>
    <x v="3"/>
    <n v="44"/>
    <x v="0"/>
    <n v="4"/>
    <x v="0"/>
  </r>
  <r>
    <n v="10087"/>
    <n v="33"/>
    <x v="1"/>
    <x v="2"/>
    <x v="1"/>
    <x v="2"/>
    <s v="Single"/>
    <n v="56561"/>
    <n v="44965"/>
    <x v="13"/>
    <x v="14"/>
    <n v="3"/>
    <s v="No"/>
    <n v="3"/>
    <x v="8"/>
    <n v="29"/>
    <x v="1"/>
    <n v="3"/>
    <x v="0"/>
  </r>
  <r>
    <n v="10088"/>
    <n v="31"/>
    <x v="0"/>
    <x v="2"/>
    <x v="4"/>
    <x v="0"/>
    <s v="Divorced"/>
    <n v="35238"/>
    <n v="36142"/>
    <x v="9"/>
    <x v="9"/>
    <n v="2"/>
    <s v="Yes"/>
    <n v="3"/>
    <x v="32"/>
    <n v="16"/>
    <x v="0"/>
    <n v="4"/>
    <x v="0"/>
  </r>
  <r>
    <n v="10089"/>
    <n v="47"/>
    <x v="1"/>
    <x v="0"/>
    <x v="1"/>
    <x v="0"/>
    <s v="Married"/>
    <n v="61959"/>
    <n v="6116"/>
    <x v="23"/>
    <x v="7"/>
    <n v="4"/>
    <s v="No"/>
    <n v="3"/>
    <x v="31"/>
    <n v="10"/>
    <x v="0"/>
    <n v="2"/>
    <x v="0"/>
  </r>
  <r>
    <n v="10090"/>
    <n v="54"/>
    <x v="0"/>
    <x v="2"/>
    <x v="4"/>
    <x v="2"/>
    <s v="Divorced"/>
    <n v="25281"/>
    <n v="39748"/>
    <x v="21"/>
    <x v="6"/>
    <n v="3"/>
    <s v="No"/>
    <n v="3"/>
    <x v="27"/>
    <n v="47"/>
    <x v="2"/>
    <n v="1"/>
    <x v="0"/>
  </r>
  <r>
    <n v="10091"/>
    <n v="57"/>
    <x v="1"/>
    <x v="2"/>
    <x v="1"/>
    <x v="0"/>
    <s v="Single"/>
    <n v="51570"/>
    <n v="32556"/>
    <x v="5"/>
    <x v="13"/>
    <n v="3"/>
    <s v="No"/>
    <n v="4"/>
    <x v="33"/>
    <n v="59"/>
    <x v="0"/>
    <n v="3"/>
    <x v="0"/>
  </r>
  <r>
    <n v="10092"/>
    <n v="29"/>
    <x v="0"/>
    <x v="0"/>
    <x v="4"/>
    <x v="0"/>
    <s v="Single"/>
    <n v="39646"/>
    <n v="24089"/>
    <x v="0"/>
    <x v="2"/>
    <n v="3"/>
    <s v="Yes"/>
    <n v="4"/>
    <x v="2"/>
    <n v="37"/>
    <x v="3"/>
    <n v="3"/>
    <x v="0"/>
  </r>
  <r>
    <n v="10093"/>
    <n v="25"/>
    <x v="1"/>
    <x v="1"/>
    <x v="0"/>
    <x v="2"/>
    <s v="Married"/>
    <n v="68125"/>
    <n v="21592"/>
    <x v="7"/>
    <x v="8"/>
    <n v="4"/>
    <s v="No"/>
    <n v="4"/>
    <x v="2"/>
    <n v="38"/>
    <x v="0"/>
    <n v="3"/>
    <x v="0"/>
  </r>
  <r>
    <n v="10094"/>
    <n v="30"/>
    <x v="0"/>
    <x v="2"/>
    <x v="0"/>
    <x v="2"/>
    <s v="Single"/>
    <n v="61000"/>
    <n v="49606"/>
    <x v="14"/>
    <x v="7"/>
    <n v="3"/>
    <s v="No"/>
    <n v="3"/>
    <x v="12"/>
    <n v="23"/>
    <x v="0"/>
    <n v="2"/>
    <x v="0"/>
  </r>
  <r>
    <n v="10095"/>
    <n v="33"/>
    <x v="1"/>
    <x v="0"/>
    <x v="4"/>
    <x v="2"/>
    <s v="Married"/>
    <n v="36530"/>
    <n v="41986"/>
    <x v="15"/>
    <x v="9"/>
    <n v="5"/>
    <s v="No"/>
    <n v="4"/>
    <x v="6"/>
    <n v="30"/>
    <x v="0"/>
    <n v="1"/>
    <x v="0"/>
  </r>
  <r>
    <n v="10096"/>
    <n v="25"/>
    <x v="0"/>
    <x v="2"/>
    <x v="4"/>
    <x v="3"/>
    <s v="Married"/>
    <n v="33234"/>
    <n v="39338"/>
    <x v="13"/>
    <x v="7"/>
    <n v="2"/>
    <s v="Yes"/>
    <n v="3"/>
    <x v="31"/>
    <n v="29"/>
    <x v="3"/>
    <n v="3"/>
    <x v="0"/>
  </r>
  <r>
    <n v="10097"/>
    <n v="46"/>
    <x v="1"/>
    <x v="0"/>
    <x v="1"/>
    <x v="3"/>
    <s v="Married"/>
    <n v="58645"/>
    <n v="49257"/>
    <x v="3"/>
    <x v="5"/>
    <n v="4"/>
    <s v="No"/>
    <n v="3"/>
    <x v="28"/>
    <n v="34"/>
    <x v="0"/>
    <n v="2"/>
    <x v="0"/>
  </r>
  <r>
    <n v="10098"/>
    <n v="55"/>
    <x v="0"/>
    <x v="3"/>
    <x v="0"/>
    <x v="2"/>
    <s v="Single"/>
    <n v="78743"/>
    <n v="42368"/>
    <x v="23"/>
    <x v="0"/>
    <n v="3"/>
    <s v="Yes"/>
    <n v="1"/>
    <x v="34"/>
    <n v="58"/>
    <x v="3"/>
    <n v="3"/>
    <x v="0"/>
  </r>
  <r>
    <n v="10099"/>
    <n v="27"/>
    <x v="1"/>
    <x v="3"/>
    <x v="0"/>
    <x v="3"/>
    <s v="Married"/>
    <n v="65752"/>
    <n v="34084"/>
    <x v="3"/>
    <x v="13"/>
    <n v="4"/>
    <s v="No"/>
    <n v="2"/>
    <x v="28"/>
    <n v="22"/>
    <x v="0"/>
    <n v="3"/>
    <x v="1"/>
  </r>
  <r>
    <n v="10100"/>
    <n v="40"/>
    <x v="0"/>
    <x v="2"/>
    <x v="4"/>
    <x v="0"/>
    <s v="Single"/>
    <n v="44563"/>
    <n v="16014"/>
    <x v="19"/>
    <x v="1"/>
    <n v="3"/>
    <s v="No"/>
    <n v="2"/>
    <x v="19"/>
    <n v="29"/>
    <x v="3"/>
    <n v="4"/>
    <x v="0"/>
  </r>
  <r>
    <n v="10101"/>
    <n v="38"/>
    <x v="0"/>
    <x v="2"/>
    <x v="1"/>
    <x v="2"/>
    <s v="Single"/>
    <n v="67986"/>
    <n v="31007"/>
    <x v="22"/>
    <x v="8"/>
    <n v="2"/>
    <s v="Yes"/>
    <n v="4"/>
    <x v="23"/>
    <n v="13"/>
    <x v="3"/>
    <n v="2"/>
    <x v="0"/>
  </r>
  <r>
    <n v="10102"/>
    <n v="46"/>
    <x v="0"/>
    <x v="2"/>
    <x v="4"/>
    <x v="2"/>
    <s v="Single"/>
    <n v="28713"/>
    <n v="34503"/>
    <x v="24"/>
    <x v="10"/>
    <n v="3"/>
    <s v="Yes"/>
    <n v="3"/>
    <x v="35"/>
    <n v="6"/>
    <x v="0"/>
    <n v="4"/>
    <x v="0"/>
  </r>
  <r>
    <n v="10103"/>
    <n v="55"/>
    <x v="0"/>
    <x v="3"/>
    <x v="0"/>
    <x v="1"/>
    <s v="Married"/>
    <n v="60661"/>
    <n v="3374"/>
    <x v="14"/>
    <x v="3"/>
    <n v="3"/>
    <s v="Yes"/>
    <n v="3"/>
    <x v="36"/>
    <n v="16"/>
    <x v="0"/>
    <n v="2"/>
    <x v="0"/>
  </r>
  <r>
    <n v="10104"/>
    <n v="24"/>
    <x v="1"/>
    <x v="3"/>
    <x v="3"/>
    <x v="3"/>
    <s v="Married"/>
    <n v="127211"/>
    <n v="18752"/>
    <x v="14"/>
    <x v="5"/>
    <n v="3"/>
    <s v="No"/>
    <n v="1"/>
    <x v="8"/>
    <n v="36"/>
    <x v="3"/>
    <n v="1"/>
    <x v="0"/>
  </r>
  <r>
    <n v="10105"/>
    <n v="21"/>
    <x v="0"/>
    <x v="5"/>
    <x v="0"/>
    <x v="2"/>
    <s v="Single"/>
    <n v="80960"/>
    <n v="47864"/>
    <x v="20"/>
    <x v="6"/>
    <n v="3"/>
    <s v="No"/>
    <n v="2"/>
    <x v="2"/>
    <n v="22"/>
    <x v="2"/>
    <n v="3"/>
    <x v="1"/>
  </r>
  <r>
    <n v="10106"/>
    <n v="57"/>
    <x v="0"/>
    <x v="1"/>
    <x v="5"/>
    <x v="3"/>
    <s v="Single"/>
    <n v="156875"/>
    <n v="45033"/>
    <x v="2"/>
    <x v="4"/>
    <n v="2"/>
    <s v="No"/>
    <n v="4"/>
    <x v="31"/>
    <n v="25"/>
    <x v="3"/>
    <n v="1"/>
    <x v="0"/>
  </r>
  <r>
    <n v="10107"/>
    <n v="44"/>
    <x v="0"/>
    <x v="2"/>
    <x v="5"/>
    <x v="2"/>
    <s v="Single"/>
    <n v="148937"/>
    <n v="8286"/>
    <x v="2"/>
    <x v="6"/>
    <n v="3"/>
    <s v="No"/>
    <n v="2"/>
    <x v="23"/>
    <n v="39"/>
    <x v="3"/>
    <n v="2"/>
    <x v="0"/>
  </r>
  <r>
    <n v="10108"/>
    <n v="31"/>
    <x v="0"/>
    <x v="2"/>
    <x v="4"/>
    <x v="1"/>
    <s v="Single"/>
    <n v="41920"/>
    <n v="11916"/>
    <x v="2"/>
    <x v="12"/>
    <n v="3"/>
    <s v="Yes"/>
    <n v="2"/>
    <x v="6"/>
    <n v="47"/>
    <x v="2"/>
    <n v="3"/>
    <x v="1"/>
  </r>
  <r>
    <n v="10109"/>
    <n v="30"/>
    <x v="0"/>
    <x v="3"/>
    <x v="2"/>
    <x v="3"/>
    <s v="Married"/>
    <n v="16488"/>
    <n v="30158"/>
    <x v="20"/>
    <x v="3"/>
    <n v="3"/>
    <s v="Yes"/>
    <n v="2"/>
    <x v="1"/>
    <n v="20"/>
    <x v="2"/>
    <n v="3"/>
    <x v="0"/>
  </r>
  <r>
    <n v="10110"/>
    <n v="55"/>
    <x v="0"/>
    <x v="3"/>
    <x v="4"/>
    <x v="2"/>
    <s v="Single"/>
    <n v="26403"/>
    <n v="15422"/>
    <x v="10"/>
    <x v="12"/>
    <n v="3"/>
    <s v="No"/>
    <n v="3"/>
    <x v="7"/>
    <n v="32"/>
    <x v="0"/>
    <n v="3"/>
    <x v="0"/>
  </r>
  <r>
    <n v="10111"/>
    <n v="57"/>
    <x v="0"/>
    <x v="2"/>
    <x v="5"/>
    <x v="2"/>
    <s v="Married"/>
    <n v="144282"/>
    <n v="40761"/>
    <x v="11"/>
    <x v="3"/>
    <n v="3"/>
    <s v="Yes"/>
    <n v="4"/>
    <x v="12"/>
    <n v="57"/>
    <x v="0"/>
    <n v="4"/>
    <x v="0"/>
  </r>
  <r>
    <n v="10112"/>
    <n v="45"/>
    <x v="0"/>
    <x v="1"/>
    <x v="4"/>
    <x v="0"/>
    <s v="Married"/>
    <n v="29798"/>
    <n v="37487"/>
    <x v="24"/>
    <x v="0"/>
    <n v="4"/>
    <s v="No"/>
    <n v="4"/>
    <x v="12"/>
    <n v="46"/>
    <x v="0"/>
    <n v="4"/>
    <x v="0"/>
  </r>
  <r>
    <n v="10113"/>
    <n v="52"/>
    <x v="1"/>
    <x v="1"/>
    <x v="4"/>
    <x v="3"/>
    <s v="Single"/>
    <n v="41955"/>
    <n v="25364"/>
    <x v="9"/>
    <x v="3"/>
    <n v="3"/>
    <s v="No"/>
    <n v="3"/>
    <x v="31"/>
    <n v="21"/>
    <x v="2"/>
    <n v="1"/>
    <x v="0"/>
  </r>
  <r>
    <n v="10114"/>
    <n v="27"/>
    <x v="0"/>
    <x v="4"/>
    <x v="0"/>
    <x v="0"/>
    <s v="Married"/>
    <n v="86724"/>
    <n v="7788"/>
    <x v="1"/>
    <x v="0"/>
    <n v="2"/>
    <s v="Yes"/>
    <n v="3"/>
    <x v="17"/>
    <n v="50"/>
    <x v="2"/>
    <n v="4"/>
    <x v="0"/>
  </r>
  <r>
    <n v="10115"/>
    <n v="49"/>
    <x v="1"/>
    <x v="1"/>
    <x v="0"/>
    <x v="3"/>
    <s v="Single"/>
    <n v="87065"/>
    <n v="47241"/>
    <x v="18"/>
    <x v="2"/>
    <n v="2"/>
    <s v="No"/>
    <n v="2"/>
    <x v="28"/>
    <n v="13"/>
    <x v="2"/>
    <n v="2"/>
    <x v="0"/>
  </r>
  <r>
    <n v="10116"/>
    <n v="29"/>
    <x v="0"/>
    <x v="2"/>
    <x v="1"/>
    <x v="3"/>
    <s v="Single"/>
    <n v="57504"/>
    <n v="21991"/>
    <x v="6"/>
    <x v="4"/>
    <n v="3"/>
    <s v="No"/>
    <n v="3"/>
    <x v="37"/>
    <n v="38"/>
    <x v="0"/>
    <n v="1"/>
    <x v="0"/>
  </r>
  <r>
    <n v="10117"/>
    <n v="44"/>
    <x v="1"/>
    <x v="2"/>
    <x v="4"/>
    <x v="0"/>
    <s v="Single"/>
    <n v="30946"/>
    <n v="14291"/>
    <x v="15"/>
    <x v="1"/>
    <n v="2"/>
    <s v="No"/>
    <n v="3"/>
    <x v="4"/>
    <n v="36"/>
    <x v="0"/>
    <n v="2"/>
    <x v="0"/>
  </r>
  <r>
    <n v="10118"/>
    <n v="27"/>
    <x v="1"/>
    <x v="5"/>
    <x v="1"/>
    <x v="3"/>
    <s v="Married"/>
    <n v="52165"/>
    <n v="29334"/>
    <x v="23"/>
    <x v="11"/>
    <n v="3"/>
    <s v="No"/>
    <n v="2"/>
    <x v="14"/>
    <n v="33"/>
    <x v="0"/>
    <n v="3"/>
    <x v="0"/>
  </r>
  <r>
    <n v="10119"/>
    <n v="32"/>
    <x v="0"/>
    <x v="2"/>
    <x v="4"/>
    <x v="2"/>
    <s v="Married"/>
    <n v="29082"/>
    <n v="1376"/>
    <x v="11"/>
    <x v="10"/>
    <n v="3"/>
    <s v="No"/>
    <n v="3"/>
    <x v="8"/>
    <n v="48"/>
    <x v="1"/>
    <n v="3"/>
    <x v="0"/>
  </r>
  <r>
    <n v="10120"/>
    <n v="22"/>
    <x v="1"/>
    <x v="5"/>
    <x v="1"/>
    <x v="1"/>
    <s v="Single"/>
    <n v="67656"/>
    <n v="21727"/>
    <x v="12"/>
    <x v="13"/>
    <n v="3"/>
    <s v="No"/>
    <n v="3"/>
    <x v="8"/>
    <n v="31"/>
    <x v="0"/>
    <n v="2"/>
    <x v="1"/>
  </r>
  <r>
    <n v="10121"/>
    <n v="31"/>
    <x v="0"/>
    <x v="0"/>
    <x v="1"/>
    <x v="3"/>
    <s v="Single"/>
    <n v="64033"/>
    <n v="19873"/>
    <x v="15"/>
    <x v="14"/>
    <n v="3"/>
    <s v="No"/>
    <n v="3"/>
    <x v="35"/>
    <n v="23"/>
    <x v="0"/>
    <n v="4"/>
    <x v="1"/>
  </r>
  <r>
    <n v="10122"/>
    <n v="57"/>
    <x v="0"/>
    <x v="0"/>
    <x v="0"/>
    <x v="2"/>
    <s v="Married"/>
    <n v="76610"/>
    <n v="14537"/>
    <x v="18"/>
    <x v="5"/>
    <n v="3"/>
    <s v="No"/>
    <n v="1"/>
    <x v="1"/>
    <n v="8"/>
    <x v="1"/>
    <n v="3"/>
    <x v="0"/>
  </r>
  <r>
    <n v="10123"/>
    <n v="53"/>
    <x v="0"/>
    <x v="3"/>
    <x v="4"/>
    <x v="2"/>
    <s v="Married"/>
    <n v="28959"/>
    <n v="28731"/>
    <x v="1"/>
    <x v="6"/>
    <n v="3"/>
    <s v="Yes"/>
    <n v="3"/>
    <x v="25"/>
    <n v="34"/>
    <x v="0"/>
    <n v="4"/>
    <x v="0"/>
  </r>
  <r>
    <n v="10124"/>
    <n v="52"/>
    <x v="1"/>
    <x v="2"/>
    <x v="1"/>
    <x v="0"/>
    <s v="Single"/>
    <n v="50469"/>
    <n v="19194"/>
    <x v="17"/>
    <x v="11"/>
    <n v="4"/>
    <s v="Yes"/>
    <n v="2"/>
    <x v="35"/>
    <n v="8"/>
    <x v="0"/>
    <n v="3"/>
    <x v="0"/>
  </r>
  <r>
    <n v="10125"/>
    <n v="35"/>
    <x v="0"/>
    <x v="2"/>
    <x v="5"/>
    <x v="2"/>
    <s v="Married"/>
    <n v="168998"/>
    <n v="8329"/>
    <x v="24"/>
    <x v="10"/>
    <n v="1"/>
    <s v="Yes"/>
    <n v="4"/>
    <x v="35"/>
    <n v="21"/>
    <x v="0"/>
    <n v="4"/>
    <x v="0"/>
  </r>
  <r>
    <n v="10126"/>
    <n v="56"/>
    <x v="1"/>
    <x v="5"/>
    <x v="3"/>
    <x v="2"/>
    <s v="Single"/>
    <n v="119252"/>
    <n v="25279"/>
    <x v="10"/>
    <x v="12"/>
    <n v="2"/>
    <s v="Yes"/>
    <n v="4"/>
    <x v="4"/>
    <n v="5"/>
    <x v="3"/>
    <n v="3"/>
    <x v="0"/>
  </r>
  <r>
    <n v="10127"/>
    <n v="43"/>
    <x v="0"/>
    <x v="2"/>
    <x v="4"/>
    <x v="2"/>
    <s v="Single"/>
    <n v="32736"/>
    <n v="1431"/>
    <x v="23"/>
    <x v="9"/>
    <n v="3"/>
    <s v="Yes"/>
    <n v="2"/>
    <x v="14"/>
    <n v="18"/>
    <x v="3"/>
    <n v="2"/>
    <x v="0"/>
  </r>
  <r>
    <n v="10128"/>
    <n v="55"/>
    <x v="1"/>
    <x v="2"/>
    <x v="1"/>
    <x v="0"/>
    <s v="Single"/>
    <n v="67059"/>
    <n v="18681"/>
    <x v="9"/>
    <x v="14"/>
    <n v="3"/>
    <s v="Yes"/>
    <n v="4"/>
    <x v="35"/>
    <n v="19"/>
    <x v="1"/>
    <n v="1"/>
    <x v="0"/>
  </r>
  <r>
    <n v="10129"/>
    <n v="33"/>
    <x v="1"/>
    <x v="3"/>
    <x v="0"/>
    <x v="3"/>
    <s v="Divorced"/>
    <n v="77833"/>
    <n v="28228"/>
    <x v="19"/>
    <x v="3"/>
    <n v="2"/>
    <s v="No"/>
    <n v="3"/>
    <x v="28"/>
    <n v="25"/>
    <x v="3"/>
    <n v="3"/>
    <x v="0"/>
  </r>
  <r>
    <n v="10130"/>
    <n v="52"/>
    <x v="0"/>
    <x v="2"/>
    <x v="4"/>
    <x v="2"/>
    <s v="Single"/>
    <n v="40352"/>
    <n v="7521"/>
    <x v="9"/>
    <x v="14"/>
    <n v="4"/>
    <s v="No"/>
    <n v="3"/>
    <x v="35"/>
    <n v="38"/>
    <x v="3"/>
    <n v="3"/>
    <x v="0"/>
  </r>
  <r>
    <n v="10131"/>
    <n v="58"/>
    <x v="1"/>
    <x v="2"/>
    <x v="0"/>
    <x v="2"/>
    <s v="Single"/>
    <n v="60097"/>
    <n v="24487"/>
    <x v="18"/>
    <x v="1"/>
    <n v="3"/>
    <s v="No"/>
    <n v="4"/>
    <x v="37"/>
    <n v="11"/>
    <x v="3"/>
    <n v="4"/>
    <x v="0"/>
  </r>
  <r>
    <n v="10132"/>
    <n v="41"/>
    <x v="1"/>
    <x v="4"/>
    <x v="0"/>
    <x v="0"/>
    <s v="Single"/>
    <n v="70983"/>
    <n v="27624"/>
    <x v="0"/>
    <x v="9"/>
    <n v="4"/>
    <s v="No"/>
    <n v="2"/>
    <x v="23"/>
    <n v="12"/>
    <x v="0"/>
    <n v="2"/>
    <x v="1"/>
  </r>
  <r>
    <n v="10133"/>
    <n v="38"/>
    <x v="0"/>
    <x v="0"/>
    <x v="4"/>
    <x v="2"/>
    <s v="Single"/>
    <n v="43810"/>
    <n v="6411"/>
    <x v="12"/>
    <x v="0"/>
    <n v="3"/>
    <s v="No"/>
    <n v="3"/>
    <x v="12"/>
    <n v="12"/>
    <x v="0"/>
    <n v="3"/>
    <x v="0"/>
  </r>
  <r>
    <n v="10134"/>
    <n v="26"/>
    <x v="0"/>
    <x v="0"/>
    <x v="1"/>
    <x v="2"/>
    <s v="Single"/>
    <n v="64909"/>
    <n v="282"/>
    <x v="24"/>
    <x v="11"/>
    <n v="5"/>
    <s v="Yes"/>
    <n v="2"/>
    <x v="10"/>
    <n v="41"/>
    <x v="3"/>
    <n v="3"/>
    <x v="0"/>
  </r>
  <r>
    <n v="10135"/>
    <n v="31"/>
    <x v="1"/>
    <x v="5"/>
    <x v="0"/>
    <x v="3"/>
    <s v="Single"/>
    <n v="65906"/>
    <n v="25150"/>
    <x v="13"/>
    <x v="3"/>
    <n v="2"/>
    <s v="No"/>
    <n v="3"/>
    <x v="14"/>
    <n v="42"/>
    <x v="3"/>
    <n v="4"/>
    <x v="0"/>
  </r>
  <r>
    <n v="10136"/>
    <n v="53"/>
    <x v="0"/>
    <x v="3"/>
    <x v="0"/>
    <x v="2"/>
    <s v="Single"/>
    <n v="86819"/>
    <n v="32994"/>
    <x v="20"/>
    <x v="12"/>
    <n v="5"/>
    <s v="Yes"/>
    <n v="3"/>
    <x v="18"/>
    <n v="6"/>
    <x v="0"/>
    <n v="4"/>
    <x v="1"/>
  </r>
  <r>
    <n v="10137"/>
    <n v="40"/>
    <x v="0"/>
    <x v="4"/>
    <x v="1"/>
    <x v="0"/>
    <s v="Single"/>
    <n v="57763"/>
    <n v="30112"/>
    <x v="15"/>
    <x v="10"/>
    <n v="2"/>
    <s v="No"/>
    <n v="3"/>
    <x v="18"/>
    <n v="27"/>
    <x v="0"/>
    <n v="3"/>
    <x v="0"/>
  </r>
  <r>
    <n v="10138"/>
    <n v="35"/>
    <x v="0"/>
    <x v="0"/>
    <x v="1"/>
    <x v="0"/>
    <s v="Single"/>
    <n v="54122"/>
    <n v="10487"/>
    <x v="17"/>
    <x v="3"/>
    <n v="2"/>
    <s v="No"/>
    <n v="4"/>
    <x v="29"/>
    <n v="7"/>
    <x v="2"/>
    <n v="3"/>
    <x v="0"/>
  </r>
  <r>
    <n v="10139"/>
    <n v="33"/>
    <x v="0"/>
    <x v="4"/>
    <x v="4"/>
    <x v="3"/>
    <s v="Single"/>
    <n v="42332"/>
    <n v="33160"/>
    <x v="19"/>
    <x v="1"/>
    <n v="3"/>
    <s v="No"/>
    <n v="4"/>
    <x v="7"/>
    <n v="27"/>
    <x v="1"/>
    <n v="2"/>
    <x v="1"/>
  </r>
  <r>
    <n v="10140"/>
    <n v="49"/>
    <x v="0"/>
    <x v="0"/>
    <x v="4"/>
    <x v="3"/>
    <s v="Married"/>
    <n v="40037"/>
    <n v="42864"/>
    <x v="14"/>
    <x v="0"/>
    <n v="4"/>
    <s v="No"/>
    <n v="2"/>
    <x v="20"/>
    <n v="50"/>
    <x v="0"/>
    <n v="4"/>
    <x v="0"/>
  </r>
  <r>
    <n v="10141"/>
    <n v="38"/>
    <x v="0"/>
    <x v="5"/>
    <x v="2"/>
    <x v="3"/>
    <s v="Single"/>
    <n v="17230"/>
    <n v="34228"/>
    <x v="3"/>
    <x v="0"/>
    <n v="3"/>
    <s v="Yes"/>
    <n v="3"/>
    <x v="28"/>
    <n v="18"/>
    <x v="0"/>
    <n v="3"/>
    <x v="0"/>
  </r>
  <r>
    <n v="10142"/>
    <n v="21"/>
    <x v="0"/>
    <x v="2"/>
    <x v="0"/>
    <x v="2"/>
    <s v="Married"/>
    <n v="68259"/>
    <n v="5374"/>
    <x v="4"/>
    <x v="8"/>
    <n v="4"/>
    <s v="Yes"/>
    <n v="2"/>
    <x v="18"/>
    <n v="50"/>
    <x v="0"/>
    <n v="4"/>
    <x v="1"/>
  </r>
  <r>
    <n v="10143"/>
    <n v="28"/>
    <x v="0"/>
    <x v="4"/>
    <x v="3"/>
    <x v="3"/>
    <s v="Married"/>
    <n v="106288"/>
    <n v="9168"/>
    <x v="6"/>
    <x v="0"/>
    <n v="5"/>
    <s v="Yes"/>
    <n v="3"/>
    <x v="25"/>
    <n v="58"/>
    <x v="3"/>
    <n v="3"/>
    <x v="0"/>
  </r>
  <r>
    <n v="10144"/>
    <n v="57"/>
    <x v="0"/>
    <x v="5"/>
    <x v="3"/>
    <x v="2"/>
    <s v="Married"/>
    <n v="104567"/>
    <n v="28803"/>
    <x v="4"/>
    <x v="3"/>
    <n v="2"/>
    <s v="No"/>
    <n v="4"/>
    <x v="23"/>
    <n v="26"/>
    <x v="3"/>
    <n v="2"/>
    <x v="0"/>
  </r>
  <r>
    <n v="10145"/>
    <n v="44"/>
    <x v="0"/>
    <x v="2"/>
    <x v="5"/>
    <x v="0"/>
    <s v="Single"/>
    <n v="140389"/>
    <n v="28933"/>
    <x v="0"/>
    <x v="10"/>
    <n v="3"/>
    <s v="No"/>
    <n v="3"/>
    <x v="4"/>
    <n v="44"/>
    <x v="2"/>
    <n v="3"/>
    <x v="0"/>
  </r>
  <r>
    <n v="10146"/>
    <n v="27"/>
    <x v="0"/>
    <x v="0"/>
    <x v="1"/>
    <x v="0"/>
    <s v="Single"/>
    <n v="55288"/>
    <n v="37465"/>
    <x v="22"/>
    <x v="7"/>
    <n v="3"/>
    <s v="No"/>
    <n v="3"/>
    <x v="15"/>
    <n v="28"/>
    <x v="2"/>
    <n v="1"/>
    <x v="0"/>
  </r>
  <r>
    <n v="10147"/>
    <n v="30"/>
    <x v="0"/>
    <x v="3"/>
    <x v="1"/>
    <x v="0"/>
    <s v="Married"/>
    <n v="48112"/>
    <n v="44199"/>
    <x v="23"/>
    <x v="10"/>
    <n v="3"/>
    <s v="No"/>
    <n v="4"/>
    <x v="25"/>
    <n v="52"/>
    <x v="2"/>
    <n v="2"/>
    <x v="0"/>
  </r>
  <r>
    <n v="10148"/>
    <n v="42"/>
    <x v="1"/>
    <x v="3"/>
    <x v="0"/>
    <x v="0"/>
    <s v="Married"/>
    <n v="84749"/>
    <n v="46737"/>
    <x v="6"/>
    <x v="12"/>
    <n v="3"/>
    <s v="No"/>
    <n v="3"/>
    <x v="20"/>
    <n v="51"/>
    <x v="2"/>
    <n v="3"/>
    <x v="0"/>
  </r>
  <r>
    <n v="10149"/>
    <n v="29"/>
    <x v="1"/>
    <x v="5"/>
    <x v="2"/>
    <x v="2"/>
    <s v="Married"/>
    <n v="15889"/>
    <n v="9101"/>
    <x v="24"/>
    <x v="10"/>
    <n v="5"/>
    <s v="No"/>
    <n v="4"/>
    <x v="30"/>
    <n v="10"/>
    <x v="0"/>
    <n v="1"/>
    <x v="0"/>
  </r>
  <r>
    <n v="10150"/>
    <n v="31"/>
    <x v="0"/>
    <x v="1"/>
    <x v="1"/>
    <x v="2"/>
    <s v="Married"/>
    <n v="58392"/>
    <n v="24364"/>
    <x v="17"/>
    <x v="9"/>
    <n v="5"/>
    <s v="No"/>
    <n v="1"/>
    <x v="28"/>
    <n v="27"/>
    <x v="1"/>
    <n v="4"/>
    <x v="1"/>
  </r>
  <r>
    <n v="10151"/>
    <n v="57"/>
    <x v="0"/>
    <x v="2"/>
    <x v="3"/>
    <x v="3"/>
    <s v="Single"/>
    <n v="126268"/>
    <n v="42849"/>
    <x v="19"/>
    <x v="10"/>
    <n v="4"/>
    <s v="No"/>
    <n v="3"/>
    <x v="18"/>
    <n v="52"/>
    <x v="1"/>
    <n v="1"/>
    <x v="0"/>
  </r>
  <r>
    <n v="10152"/>
    <n v="56"/>
    <x v="1"/>
    <x v="0"/>
    <x v="4"/>
    <x v="2"/>
    <s v="Single"/>
    <n v="28361"/>
    <n v="21312"/>
    <x v="21"/>
    <x v="2"/>
    <n v="2"/>
    <s v="Yes"/>
    <n v="3"/>
    <x v="14"/>
    <n v="39"/>
    <x v="1"/>
    <n v="2"/>
    <x v="0"/>
  </r>
  <r>
    <n v="10153"/>
    <n v="31"/>
    <x v="0"/>
    <x v="2"/>
    <x v="4"/>
    <x v="2"/>
    <s v="Single"/>
    <n v="38703"/>
    <n v="5744"/>
    <x v="13"/>
    <x v="13"/>
    <n v="3"/>
    <s v="Yes"/>
    <n v="3"/>
    <x v="18"/>
    <n v="49"/>
    <x v="0"/>
    <n v="2"/>
    <x v="0"/>
  </r>
  <r>
    <n v="10154"/>
    <n v="34"/>
    <x v="0"/>
    <x v="2"/>
    <x v="4"/>
    <x v="2"/>
    <s v="Single"/>
    <n v="43693"/>
    <n v="2169"/>
    <x v="10"/>
    <x v="9"/>
    <n v="3"/>
    <s v="No"/>
    <n v="3"/>
    <x v="3"/>
    <n v="13"/>
    <x v="3"/>
    <n v="4"/>
    <x v="0"/>
  </r>
  <r>
    <n v="10155"/>
    <n v="24"/>
    <x v="1"/>
    <x v="2"/>
    <x v="4"/>
    <x v="0"/>
    <s v="Married"/>
    <n v="32151"/>
    <n v="10913"/>
    <x v="13"/>
    <x v="4"/>
    <n v="3"/>
    <s v="No"/>
    <n v="3"/>
    <x v="22"/>
    <n v="36"/>
    <x v="3"/>
    <n v="3"/>
    <x v="0"/>
  </r>
  <r>
    <n v="10156"/>
    <n v="20"/>
    <x v="0"/>
    <x v="2"/>
    <x v="1"/>
    <x v="2"/>
    <s v="Single"/>
    <n v="45138"/>
    <n v="37772"/>
    <x v="17"/>
    <x v="13"/>
    <n v="3"/>
    <s v="No"/>
    <n v="4"/>
    <x v="3"/>
    <n v="44"/>
    <x v="0"/>
    <n v="2"/>
    <x v="0"/>
  </r>
  <r>
    <n v="10157"/>
    <n v="55"/>
    <x v="0"/>
    <x v="5"/>
    <x v="0"/>
    <x v="3"/>
    <s v="Single"/>
    <n v="74852"/>
    <n v="1140"/>
    <x v="6"/>
    <x v="11"/>
    <n v="3"/>
    <s v="No"/>
    <n v="1"/>
    <x v="18"/>
    <n v="43"/>
    <x v="0"/>
    <n v="1"/>
    <x v="0"/>
  </r>
  <r>
    <n v="10158"/>
    <n v="45"/>
    <x v="1"/>
    <x v="5"/>
    <x v="3"/>
    <x v="1"/>
    <s v="Married"/>
    <n v="122272"/>
    <n v="29535"/>
    <x v="18"/>
    <x v="2"/>
    <n v="3"/>
    <s v="No"/>
    <n v="3"/>
    <x v="27"/>
    <n v="27"/>
    <x v="3"/>
    <n v="2"/>
    <x v="0"/>
  </r>
  <r>
    <n v="10159"/>
    <n v="47"/>
    <x v="0"/>
    <x v="4"/>
    <x v="1"/>
    <x v="3"/>
    <s v="Married"/>
    <n v="60309"/>
    <n v="41862"/>
    <x v="13"/>
    <x v="10"/>
    <n v="3"/>
    <s v="Yes"/>
    <n v="4"/>
    <x v="21"/>
    <n v="21"/>
    <x v="0"/>
    <n v="4"/>
    <x v="0"/>
  </r>
  <r>
    <n v="10160"/>
    <n v="50"/>
    <x v="1"/>
    <x v="5"/>
    <x v="3"/>
    <x v="3"/>
    <s v="Married"/>
    <n v="115518"/>
    <n v="36188"/>
    <x v="16"/>
    <x v="11"/>
    <n v="4"/>
    <s v="No"/>
    <n v="3"/>
    <x v="12"/>
    <n v="20"/>
    <x v="0"/>
    <n v="4"/>
    <x v="0"/>
  </r>
  <r>
    <n v="10161"/>
    <n v="45"/>
    <x v="1"/>
    <x v="2"/>
    <x v="1"/>
    <x v="3"/>
    <s v="Single"/>
    <n v="57306"/>
    <n v="10886"/>
    <x v="19"/>
    <x v="6"/>
    <n v="3"/>
    <s v="No"/>
    <n v="1"/>
    <x v="19"/>
    <n v="44"/>
    <x v="1"/>
    <n v="4"/>
    <x v="0"/>
  </r>
  <r>
    <n v="10162"/>
    <n v="28"/>
    <x v="0"/>
    <x v="5"/>
    <x v="3"/>
    <x v="3"/>
    <s v="Single"/>
    <n v="105038"/>
    <n v="8605"/>
    <x v="18"/>
    <x v="11"/>
    <n v="3"/>
    <s v="Yes"/>
    <n v="4"/>
    <x v="37"/>
    <n v="38"/>
    <x v="2"/>
    <n v="1"/>
    <x v="0"/>
  </r>
  <r>
    <n v="10163"/>
    <n v="35"/>
    <x v="1"/>
    <x v="2"/>
    <x v="1"/>
    <x v="2"/>
    <s v="Single"/>
    <n v="57449"/>
    <n v="46092"/>
    <x v="11"/>
    <x v="2"/>
    <n v="3"/>
    <s v="No"/>
    <n v="2"/>
    <x v="29"/>
    <n v="18"/>
    <x v="0"/>
    <n v="2"/>
    <x v="1"/>
  </r>
  <r>
    <n v="10164"/>
    <n v="32"/>
    <x v="0"/>
    <x v="2"/>
    <x v="1"/>
    <x v="2"/>
    <s v="Single"/>
    <n v="60592"/>
    <n v="23864"/>
    <x v="14"/>
    <x v="4"/>
    <n v="2"/>
    <s v="No"/>
    <n v="4"/>
    <x v="32"/>
    <n v="14"/>
    <x v="1"/>
    <n v="4"/>
    <x v="0"/>
  </r>
  <r>
    <n v="10165"/>
    <n v="43"/>
    <x v="0"/>
    <x v="3"/>
    <x v="0"/>
    <x v="2"/>
    <s v="Married"/>
    <n v="76237"/>
    <n v="18691"/>
    <x v="13"/>
    <x v="11"/>
    <n v="4"/>
    <s v="No"/>
    <n v="3"/>
    <x v="5"/>
    <n v="38"/>
    <x v="3"/>
    <n v="1"/>
    <x v="0"/>
  </r>
  <r>
    <n v="10166"/>
    <n v="48"/>
    <x v="0"/>
    <x v="3"/>
    <x v="0"/>
    <x v="0"/>
    <s v="Single"/>
    <n v="81470"/>
    <n v="26917"/>
    <x v="8"/>
    <x v="3"/>
    <n v="3"/>
    <s v="No"/>
    <n v="3"/>
    <x v="6"/>
    <n v="32"/>
    <x v="1"/>
    <n v="1"/>
    <x v="0"/>
  </r>
  <r>
    <n v="10167"/>
    <n v="32"/>
    <x v="1"/>
    <x v="0"/>
    <x v="0"/>
    <x v="2"/>
    <s v="Single"/>
    <n v="76209"/>
    <n v="48695"/>
    <x v="23"/>
    <x v="10"/>
    <n v="2"/>
    <s v="No"/>
    <n v="3"/>
    <x v="13"/>
    <n v="31"/>
    <x v="3"/>
    <n v="4"/>
    <x v="0"/>
  </r>
  <r>
    <n v="10168"/>
    <n v="36"/>
    <x v="0"/>
    <x v="3"/>
    <x v="4"/>
    <x v="2"/>
    <s v="Divorced"/>
    <n v="44991"/>
    <n v="5832"/>
    <x v="15"/>
    <x v="12"/>
    <n v="4"/>
    <s v="No"/>
    <n v="1"/>
    <x v="16"/>
    <n v="58"/>
    <x v="3"/>
    <n v="4"/>
    <x v="0"/>
  </r>
  <r>
    <n v="10169"/>
    <n v="26"/>
    <x v="0"/>
    <x v="4"/>
    <x v="1"/>
    <x v="3"/>
    <s v="Single"/>
    <n v="51093"/>
    <n v="24972"/>
    <x v="3"/>
    <x v="2"/>
    <n v="4"/>
    <s v="No"/>
    <n v="4"/>
    <x v="34"/>
    <n v="37"/>
    <x v="3"/>
    <n v="3"/>
    <x v="0"/>
  </r>
  <r>
    <n v="10170"/>
    <n v="25"/>
    <x v="1"/>
    <x v="5"/>
    <x v="4"/>
    <x v="2"/>
    <s v="Single"/>
    <n v="39609"/>
    <n v="47591"/>
    <x v="16"/>
    <x v="4"/>
    <n v="3"/>
    <s v="Yes"/>
    <n v="1"/>
    <x v="19"/>
    <n v="53"/>
    <x v="3"/>
    <n v="1"/>
    <x v="0"/>
  </r>
  <r>
    <n v="10171"/>
    <n v="21"/>
    <x v="0"/>
    <x v="4"/>
    <x v="3"/>
    <x v="0"/>
    <s v="Single"/>
    <n v="110132"/>
    <n v="31881"/>
    <x v="19"/>
    <x v="14"/>
    <n v="4"/>
    <s v="No"/>
    <n v="4"/>
    <x v="27"/>
    <n v="33"/>
    <x v="3"/>
    <n v="3"/>
    <x v="1"/>
  </r>
  <r>
    <n v="10172"/>
    <n v="36"/>
    <x v="0"/>
    <x v="1"/>
    <x v="0"/>
    <x v="2"/>
    <s v="Divorced"/>
    <n v="79611"/>
    <n v="3866"/>
    <x v="16"/>
    <x v="7"/>
    <n v="2"/>
    <s v="No"/>
    <n v="3"/>
    <x v="16"/>
    <n v="10"/>
    <x v="1"/>
    <n v="3"/>
    <x v="0"/>
  </r>
  <r>
    <n v="10173"/>
    <n v="35"/>
    <x v="0"/>
    <x v="2"/>
    <x v="0"/>
    <x v="2"/>
    <s v="Married"/>
    <n v="88472"/>
    <n v="20936"/>
    <x v="9"/>
    <x v="0"/>
    <n v="4"/>
    <s v="No"/>
    <n v="3"/>
    <x v="34"/>
    <n v="8"/>
    <x v="0"/>
    <n v="4"/>
    <x v="0"/>
  </r>
  <r>
    <n v="10174"/>
    <n v="45"/>
    <x v="1"/>
    <x v="3"/>
    <x v="0"/>
    <x v="2"/>
    <s v="Divorced"/>
    <n v="65243"/>
    <n v="33398"/>
    <x v="10"/>
    <x v="0"/>
    <n v="5"/>
    <s v="No"/>
    <n v="4"/>
    <x v="14"/>
    <n v="26"/>
    <x v="0"/>
    <n v="2"/>
    <x v="0"/>
  </r>
  <r>
    <n v="10175"/>
    <n v="38"/>
    <x v="0"/>
    <x v="2"/>
    <x v="4"/>
    <x v="0"/>
    <s v="Married"/>
    <n v="38705"/>
    <n v="13379"/>
    <x v="17"/>
    <x v="2"/>
    <n v="3"/>
    <s v="Yes"/>
    <n v="3"/>
    <x v="38"/>
    <n v="28"/>
    <x v="0"/>
    <n v="3"/>
    <x v="0"/>
  </r>
  <r>
    <n v="10176"/>
    <n v="30"/>
    <x v="0"/>
    <x v="4"/>
    <x v="0"/>
    <x v="0"/>
    <s v="Single"/>
    <n v="76241"/>
    <n v="27045"/>
    <x v="6"/>
    <x v="2"/>
    <n v="3"/>
    <s v="No"/>
    <n v="4"/>
    <x v="35"/>
    <n v="42"/>
    <x v="2"/>
    <n v="4"/>
    <x v="0"/>
  </r>
  <r>
    <n v="10177"/>
    <n v="27"/>
    <x v="0"/>
    <x v="5"/>
    <x v="4"/>
    <x v="2"/>
    <s v="Single"/>
    <n v="30085"/>
    <n v="27808"/>
    <x v="8"/>
    <x v="11"/>
    <n v="4"/>
    <s v="No"/>
    <n v="2"/>
    <x v="35"/>
    <n v="45"/>
    <x v="3"/>
    <n v="2"/>
    <x v="0"/>
  </r>
  <r>
    <n v="10178"/>
    <n v="56"/>
    <x v="1"/>
    <x v="1"/>
    <x v="0"/>
    <x v="2"/>
    <s v="Married"/>
    <n v="83544"/>
    <n v="31030"/>
    <x v="18"/>
    <x v="4"/>
    <n v="1"/>
    <s v="Yes"/>
    <n v="4"/>
    <x v="6"/>
    <n v="38"/>
    <x v="1"/>
    <n v="3"/>
    <x v="0"/>
  </r>
  <r>
    <n v="10179"/>
    <n v="51"/>
    <x v="0"/>
    <x v="0"/>
    <x v="5"/>
    <x v="2"/>
    <s v="Single"/>
    <n v="138793"/>
    <n v="21542"/>
    <x v="8"/>
    <x v="11"/>
    <n v="5"/>
    <s v="No"/>
    <n v="4"/>
    <x v="15"/>
    <n v="41"/>
    <x v="0"/>
    <n v="1"/>
    <x v="0"/>
  </r>
  <r>
    <n v="10180"/>
    <n v="21"/>
    <x v="0"/>
    <x v="0"/>
    <x v="4"/>
    <x v="2"/>
    <s v="Married"/>
    <n v="43601"/>
    <n v="27413"/>
    <x v="10"/>
    <x v="11"/>
    <n v="1"/>
    <s v="No"/>
    <n v="3"/>
    <x v="32"/>
    <n v="40"/>
    <x v="0"/>
    <n v="2"/>
    <x v="0"/>
  </r>
  <r>
    <n v="10181"/>
    <n v="22"/>
    <x v="0"/>
    <x v="0"/>
    <x v="5"/>
    <x v="2"/>
    <s v="Married"/>
    <n v="147228"/>
    <n v="40546"/>
    <x v="8"/>
    <x v="3"/>
    <n v="3"/>
    <s v="No"/>
    <n v="3"/>
    <x v="6"/>
    <n v="24"/>
    <x v="1"/>
    <n v="3"/>
    <x v="1"/>
  </r>
  <r>
    <n v="10182"/>
    <n v="29"/>
    <x v="0"/>
    <x v="0"/>
    <x v="3"/>
    <x v="3"/>
    <s v="Married"/>
    <n v="120099"/>
    <n v="46980"/>
    <x v="21"/>
    <x v="6"/>
    <n v="2"/>
    <s v="No"/>
    <n v="2"/>
    <x v="2"/>
    <n v="9"/>
    <x v="1"/>
    <n v="3"/>
    <x v="0"/>
  </r>
  <r>
    <n v="10183"/>
    <n v="26"/>
    <x v="0"/>
    <x v="3"/>
    <x v="1"/>
    <x v="3"/>
    <s v="Single"/>
    <n v="46132"/>
    <n v="4557"/>
    <x v="3"/>
    <x v="3"/>
    <n v="3"/>
    <s v="No"/>
    <n v="2"/>
    <x v="6"/>
    <n v="12"/>
    <x v="0"/>
    <n v="2"/>
    <x v="0"/>
  </r>
  <r>
    <n v="10184"/>
    <n v="20"/>
    <x v="1"/>
    <x v="2"/>
    <x v="4"/>
    <x v="2"/>
    <s v="Married"/>
    <n v="41654"/>
    <n v="45095"/>
    <x v="3"/>
    <x v="13"/>
    <n v="4"/>
    <s v="No"/>
    <n v="3"/>
    <x v="22"/>
    <n v="53"/>
    <x v="0"/>
    <n v="3"/>
    <x v="1"/>
  </r>
  <r>
    <n v="10185"/>
    <n v="25"/>
    <x v="0"/>
    <x v="2"/>
    <x v="2"/>
    <x v="0"/>
    <s v="Divorced"/>
    <n v="17997"/>
    <n v="22918"/>
    <x v="22"/>
    <x v="4"/>
    <n v="1"/>
    <s v="No"/>
    <n v="4"/>
    <x v="34"/>
    <n v="51"/>
    <x v="0"/>
    <n v="2"/>
    <x v="0"/>
  </r>
  <r>
    <n v="10186"/>
    <n v="49"/>
    <x v="1"/>
    <x v="2"/>
    <x v="1"/>
    <x v="2"/>
    <s v="Married"/>
    <n v="67412"/>
    <n v="30106"/>
    <x v="1"/>
    <x v="5"/>
    <n v="2"/>
    <s v="Yes"/>
    <n v="4"/>
    <x v="24"/>
    <n v="43"/>
    <x v="0"/>
    <n v="2"/>
    <x v="0"/>
  </r>
  <r>
    <n v="10187"/>
    <n v="53"/>
    <x v="0"/>
    <x v="5"/>
    <x v="2"/>
    <x v="3"/>
    <s v="Married"/>
    <n v="13273"/>
    <n v="3551"/>
    <x v="12"/>
    <x v="4"/>
    <n v="3"/>
    <s v="No"/>
    <n v="2"/>
    <x v="28"/>
    <n v="25"/>
    <x v="2"/>
    <n v="3"/>
    <x v="0"/>
  </r>
  <r>
    <n v="10188"/>
    <n v="25"/>
    <x v="0"/>
    <x v="5"/>
    <x v="4"/>
    <x v="3"/>
    <s v="Married"/>
    <n v="32263"/>
    <n v="32934"/>
    <x v="14"/>
    <x v="6"/>
    <n v="1"/>
    <s v="Yes"/>
    <n v="2"/>
    <x v="35"/>
    <n v="10"/>
    <x v="2"/>
    <n v="3"/>
    <x v="0"/>
  </r>
  <r>
    <n v="10189"/>
    <n v="20"/>
    <x v="0"/>
    <x v="2"/>
    <x v="0"/>
    <x v="2"/>
    <s v="Married"/>
    <n v="86732"/>
    <n v="19555"/>
    <x v="3"/>
    <x v="13"/>
    <n v="1"/>
    <s v="No"/>
    <n v="2"/>
    <x v="5"/>
    <n v="37"/>
    <x v="3"/>
    <n v="4"/>
    <x v="0"/>
  </r>
  <r>
    <n v="10190"/>
    <n v="59"/>
    <x v="1"/>
    <x v="0"/>
    <x v="0"/>
    <x v="0"/>
    <s v="Married"/>
    <n v="83416"/>
    <n v="39194"/>
    <x v="7"/>
    <x v="4"/>
    <n v="2"/>
    <s v="No"/>
    <n v="4"/>
    <x v="20"/>
    <n v="16"/>
    <x v="0"/>
    <n v="2"/>
    <x v="0"/>
  </r>
  <r>
    <n v="10191"/>
    <n v="56"/>
    <x v="0"/>
    <x v="5"/>
    <x v="0"/>
    <x v="0"/>
    <s v="Single"/>
    <n v="86113"/>
    <n v="41334"/>
    <x v="19"/>
    <x v="13"/>
    <n v="4"/>
    <s v="No"/>
    <n v="1"/>
    <x v="36"/>
    <n v="12"/>
    <x v="3"/>
    <n v="1"/>
    <x v="0"/>
  </r>
  <r>
    <n v="10192"/>
    <n v="24"/>
    <x v="0"/>
    <x v="4"/>
    <x v="1"/>
    <x v="3"/>
    <s v="Single"/>
    <n v="46424"/>
    <n v="39029"/>
    <x v="11"/>
    <x v="11"/>
    <n v="3"/>
    <s v="Yes"/>
    <n v="3"/>
    <x v="34"/>
    <n v="9"/>
    <x v="3"/>
    <n v="1"/>
    <x v="0"/>
  </r>
  <r>
    <n v="10193"/>
    <n v="33"/>
    <x v="0"/>
    <x v="2"/>
    <x v="5"/>
    <x v="3"/>
    <s v="Married"/>
    <n v="171590"/>
    <n v="37623"/>
    <x v="5"/>
    <x v="8"/>
    <n v="3"/>
    <s v="No"/>
    <n v="4"/>
    <x v="10"/>
    <n v="30"/>
    <x v="0"/>
    <n v="3"/>
    <x v="0"/>
  </r>
  <r>
    <n v="10194"/>
    <n v="39"/>
    <x v="0"/>
    <x v="1"/>
    <x v="1"/>
    <x v="2"/>
    <s v="Single"/>
    <n v="46988"/>
    <n v="28230"/>
    <x v="19"/>
    <x v="9"/>
    <n v="3"/>
    <s v="No"/>
    <n v="3"/>
    <x v="27"/>
    <n v="14"/>
    <x v="1"/>
    <n v="3"/>
    <x v="0"/>
  </r>
  <r>
    <n v="10195"/>
    <n v="39"/>
    <x v="0"/>
    <x v="2"/>
    <x v="4"/>
    <x v="2"/>
    <s v="Married"/>
    <n v="41346"/>
    <n v="26990"/>
    <x v="6"/>
    <x v="5"/>
    <n v="3"/>
    <s v="No"/>
    <n v="3"/>
    <x v="7"/>
    <n v="14"/>
    <x v="0"/>
    <n v="3"/>
    <x v="0"/>
  </r>
  <r>
    <n v="10196"/>
    <n v="20"/>
    <x v="0"/>
    <x v="3"/>
    <x v="0"/>
    <x v="0"/>
    <s v="Single"/>
    <n v="78689"/>
    <n v="15438"/>
    <x v="16"/>
    <x v="10"/>
    <n v="4"/>
    <s v="No"/>
    <n v="3"/>
    <x v="22"/>
    <n v="34"/>
    <x v="3"/>
    <n v="3"/>
    <x v="0"/>
  </r>
  <r>
    <n v="10197"/>
    <n v="29"/>
    <x v="1"/>
    <x v="0"/>
    <x v="1"/>
    <x v="2"/>
    <s v="Married"/>
    <n v="68715"/>
    <n v="12905"/>
    <x v="18"/>
    <x v="4"/>
    <n v="2"/>
    <s v="Yes"/>
    <n v="3"/>
    <x v="4"/>
    <n v="56"/>
    <x v="3"/>
    <n v="3"/>
    <x v="0"/>
  </r>
  <r>
    <n v="10198"/>
    <n v="36"/>
    <x v="0"/>
    <x v="1"/>
    <x v="4"/>
    <x v="2"/>
    <s v="Married"/>
    <n v="27962"/>
    <n v="4017"/>
    <x v="5"/>
    <x v="8"/>
    <n v="2"/>
    <s v="Yes"/>
    <n v="4"/>
    <x v="37"/>
    <n v="56"/>
    <x v="0"/>
    <n v="1"/>
    <x v="0"/>
  </r>
  <r>
    <n v="10199"/>
    <n v="22"/>
    <x v="0"/>
    <x v="2"/>
    <x v="4"/>
    <x v="2"/>
    <s v="Married"/>
    <n v="39631"/>
    <n v="1551"/>
    <x v="24"/>
    <x v="5"/>
    <n v="5"/>
    <s v="No"/>
    <n v="4"/>
    <x v="20"/>
    <n v="40"/>
    <x v="0"/>
    <n v="4"/>
    <x v="0"/>
  </r>
  <r>
    <n v="10200"/>
    <n v="27"/>
    <x v="0"/>
    <x v="4"/>
    <x v="0"/>
    <x v="0"/>
    <s v="Single"/>
    <n v="70103"/>
    <n v="23624"/>
    <x v="18"/>
    <x v="11"/>
    <n v="3"/>
    <s v="No"/>
    <n v="3"/>
    <x v="16"/>
    <n v="13"/>
    <x v="3"/>
    <n v="1"/>
    <x v="0"/>
  </r>
  <r>
    <n v="10201"/>
    <n v="56"/>
    <x v="0"/>
    <x v="5"/>
    <x v="3"/>
    <x v="3"/>
    <s v="Single"/>
    <n v="108425"/>
    <n v="16446"/>
    <x v="16"/>
    <x v="11"/>
    <n v="3"/>
    <s v="No"/>
    <n v="3"/>
    <x v="1"/>
    <n v="47"/>
    <x v="0"/>
    <n v="3"/>
    <x v="0"/>
  </r>
  <r>
    <n v="10202"/>
    <n v="57"/>
    <x v="0"/>
    <x v="1"/>
    <x v="0"/>
    <x v="0"/>
    <s v="Married"/>
    <n v="68312"/>
    <n v="34800"/>
    <x v="12"/>
    <x v="1"/>
    <n v="3"/>
    <s v="No"/>
    <n v="4"/>
    <x v="30"/>
    <n v="23"/>
    <x v="1"/>
    <n v="1"/>
    <x v="0"/>
  </r>
  <r>
    <n v="10203"/>
    <n v="43"/>
    <x v="0"/>
    <x v="2"/>
    <x v="4"/>
    <x v="3"/>
    <s v="Single"/>
    <n v="28606"/>
    <n v="2591"/>
    <x v="4"/>
    <x v="7"/>
    <n v="3"/>
    <s v="No"/>
    <n v="3"/>
    <x v="8"/>
    <n v="20"/>
    <x v="1"/>
    <n v="4"/>
    <x v="0"/>
  </r>
  <r>
    <n v="10204"/>
    <n v="24"/>
    <x v="0"/>
    <x v="2"/>
    <x v="1"/>
    <x v="2"/>
    <s v="Married"/>
    <n v="45661"/>
    <n v="24527"/>
    <x v="19"/>
    <x v="5"/>
    <n v="3"/>
    <s v="No"/>
    <n v="2"/>
    <x v="16"/>
    <n v="27"/>
    <x v="0"/>
    <n v="2"/>
    <x v="0"/>
  </r>
  <r>
    <n v="10205"/>
    <n v="56"/>
    <x v="0"/>
    <x v="3"/>
    <x v="4"/>
    <x v="3"/>
    <s v="Married"/>
    <n v="28687"/>
    <n v="4757"/>
    <x v="16"/>
    <x v="6"/>
    <n v="3"/>
    <s v="No"/>
    <n v="3"/>
    <x v="5"/>
    <n v="14"/>
    <x v="0"/>
    <n v="3"/>
    <x v="1"/>
  </r>
  <r>
    <n v="10206"/>
    <n v="38"/>
    <x v="0"/>
    <x v="3"/>
    <x v="4"/>
    <x v="2"/>
    <s v="Married"/>
    <n v="27294"/>
    <n v="43370"/>
    <x v="20"/>
    <x v="2"/>
    <n v="4"/>
    <s v="No"/>
    <n v="3"/>
    <x v="33"/>
    <n v="33"/>
    <x v="1"/>
    <n v="3"/>
    <x v="0"/>
  </r>
  <r>
    <n v="10207"/>
    <n v="48"/>
    <x v="0"/>
    <x v="0"/>
    <x v="1"/>
    <x v="2"/>
    <s v="Divorced"/>
    <n v="45204"/>
    <n v="6160"/>
    <x v="22"/>
    <x v="8"/>
    <n v="3"/>
    <s v="No"/>
    <n v="2"/>
    <x v="8"/>
    <n v="57"/>
    <x v="0"/>
    <n v="3"/>
    <x v="0"/>
  </r>
  <r>
    <n v="10208"/>
    <n v="45"/>
    <x v="1"/>
    <x v="3"/>
    <x v="0"/>
    <x v="2"/>
    <s v="Single"/>
    <n v="63700"/>
    <n v="39579"/>
    <x v="20"/>
    <x v="0"/>
    <n v="4"/>
    <s v="No"/>
    <n v="4"/>
    <x v="1"/>
    <n v="18"/>
    <x v="1"/>
    <n v="3"/>
    <x v="0"/>
  </r>
  <r>
    <n v="10209"/>
    <n v="59"/>
    <x v="0"/>
    <x v="5"/>
    <x v="1"/>
    <x v="0"/>
    <s v="Single"/>
    <n v="56181"/>
    <n v="41153"/>
    <x v="0"/>
    <x v="4"/>
    <n v="3"/>
    <s v="Yes"/>
    <n v="3"/>
    <x v="31"/>
    <n v="32"/>
    <x v="2"/>
    <n v="3"/>
    <x v="1"/>
  </r>
  <r>
    <n v="10210"/>
    <n v="48"/>
    <x v="0"/>
    <x v="1"/>
    <x v="1"/>
    <x v="2"/>
    <s v="Single"/>
    <n v="61915"/>
    <n v="8397"/>
    <x v="0"/>
    <x v="11"/>
    <n v="4"/>
    <s v="No"/>
    <n v="3"/>
    <x v="18"/>
    <n v="35"/>
    <x v="3"/>
    <n v="3"/>
    <x v="0"/>
  </r>
  <r>
    <n v="10211"/>
    <n v="53"/>
    <x v="0"/>
    <x v="2"/>
    <x v="1"/>
    <x v="3"/>
    <s v="Married"/>
    <n v="59683"/>
    <n v="48536"/>
    <x v="3"/>
    <x v="0"/>
    <n v="3"/>
    <s v="No"/>
    <n v="3"/>
    <x v="8"/>
    <n v="36"/>
    <x v="0"/>
    <n v="3"/>
    <x v="0"/>
  </r>
  <r>
    <n v="10212"/>
    <n v="47"/>
    <x v="0"/>
    <x v="2"/>
    <x v="1"/>
    <x v="2"/>
    <s v="Single"/>
    <n v="66062"/>
    <n v="28047"/>
    <x v="4"/>
    <x v="2"/>
    <n v="3"/>
    <s v="No"/>
    <n v="4"/>
    <x v="16"/>
    <n v="57"/>
    <x v="0"/>
    <n v="3"/>
    <x v="0"/>
  </r>
  <r>
    <n v="10213"/>
    <n v="59"/>
    <x v="0"/>
    <x v="2"/>
    <x v="0"/>
    <x v="2"/>
    <s v="Married"/>
    <n v="88167"/>
    <n v="10973"/>
    <x v="23"/>
    <x v="9"/>
    <n v="3"/>
    <s v="Yes"/>
    <n v="1"/>
    <x v="26"/>
    <n v="54"/>
    <x v="0"/>
    <n v="2"/>
    <x v="0"/>
  </r>
  <r>
    <n v="10214"/>
    <n v="22"/>
    <x v="0"/>
    <x v="5"/>
    <x v="0"/>
    <x v="3"/>
    <s v="Married"/>
    <n v="88453"/>
    <n v="13440"/>
    <x v="13"/>
    <x v="1"/>
    <n v="3"/>
    <s v="No"/>
    <n v="3"/>
    <x v="1"/>
    <n v="26"/>
    <x v="0"/>
    <n v="1"/>
    <x v="0"/>
  </r>
  <r>
    <n v="10215"/>
    <n v="56"/>
    <x v="0"/>
    <x v="5"/>
    <x v="1"/>
    <x v="3"/>
    <s v="Single"/>
    <n v="59295"/>
    <n v="29063"/>
    <x v="21"/>
    <x v="7"/>
    <n v="3"/>
    <s v="Yes"/>
    <n v="4"/>
    <x v="4"/>
    <n v="19"/>
    <x v="2"/>
    <n v="3"/>
    <x v="0"/>
  </r>
  <r>
    <n v="10216"/>
    <n v="48"/>
    <x v="0"/>
    <x v="2"/>
    <x v="4"/>
    <x v="2"/>
    <s v="Married"/>
    <n v="39010"/>
    <n v="32001"/>
    <x v="0"/>
    <x v="11"/>
    <n v="4"/>
    <s v="No"/>
    <n v="4"/>
    <x v="7"/>
    <n v="24"/>
    <x v="0"/>
    <n v="4"/>
    <x v="0"/>
  </r>
  <r>
    <n v="10217"/>
    <n v="34"/>
    <x v="1"/>
    <x v="1"/>
    <x v="0"/>
    <x v="2"/>
    <s v="Single"/>
    <n v="83386"/>
    <n v="35618"/>
    <x v="5"/>
    <x v="11"/>
    <n v="3"/>
    <s v="No"/>
    <n v="2"/>
    <x v="4"/>
    <n v="26"/>
    <x v="2"/>
    <n v="1"/>
    <x v="1"/>
  </r>
  <r>
    <n v="10218"/>
    <n v="54"/>
    <x v="0"/>
    <x v="5"/>
    <x v="0"/>
    <x v="3"/>
    <s v="Single"/>
    <n v="63839"/>
    <n v="27772"/>
    <x v="12"/>
    <x v="10"/>
    <n v="3"/>
    <s v="No"/>
    <n v="3"/>
    <x v="26"/>
    <n v="14"/>
    <x v="1"/>
    <n v="1"/>
    <x v="1"/>
  </r>
  <r>
    <n v="10219"/>
    <n v="24"/>
    <x v="0"/>
    <x v="3"/>
    <x v="3"/>
    <x v="1"/>
    <s v="Divorced"/>
    <n v="96838"/>
    <n v="14211"/>
    <x v="16"/>
    <x v="6"/>
    <n v="3"/>
    <s v="No"/>
    <n v="3"/>
    <x v="37"/>
    <n v="15"/>
    <x v="0"/>
    <n v="4"/>
    <x v="0"/>
  </r>
  <r>
    <n v="10220"/>
    <n v="44"/>
    <x v="0"/>
    <x v="0"/>
    <x v="4"/>
    <x v="2"/>
    <s v="Single"/>
    <n v="28716"/>
    <n v="10066"/>
    <x v="21"/>
    <x v="3"/>
    <n v="3"/>
    <s v="Yes"/>
    <n v="4"/>
    <x v="34"/>
    <n v="54"/>
    <x v="2"/>
    <n v="3"/>
    <x v="0"/>
  </r>
  <r>
    <n v="10221"/>
    <n v="34"/>
    <x v="1"/>
    <x v="5"/>
    <x v="2"/>
    <x v="3"/>
    <s v="Married"/>
    <n v="18566"/>
    <n v="47269"/>
    <x v="19"/>
    <x v="1"/>
    <n v="3"/>
    <s v="No"/>
    <n v="2"/>
    <x v="16"/>
    <n v="53"/>
    <x v="1"/>
    <n v="2"/>
    <x v="0"/>
  </r>
  <r>
    <n v="10222"/>
    <n v="48"/>
    <x v="1"/>
    <x v="1"/>
    <x v="1"/>
    <x v="2"/>
    <s v="Single"/>
    <n v="56413"/>
    <n v="21119"/>
    <x v="5"/>
    <x v="12"/>
    <n v="3"/>
    <s v="No"/>
    <n v="3"/>
    <x v="36"/>
    <n v="49"/>
    <x v="3"/>
    <n v="4"/>
    <x v="0"/>
  </r>
  <r>
    <n v="10223"/>
    <n v="39"/>
    <x v="0"/>
    <x v="3"/>
    <x v="3"/>
    <x v="2"/>
    <s v="Married"/>
    <n v="119768"/>
    <n v="39542"/>
    <x v="14"/>
    <x v="0"/>
    <n v="5"/>
    <s v="No"/>
    <n v="2"/>
    <x v="8"/>
    <n v="57"/>
    <x v="3"/>
    <n v="4"/>
    <x v="0"/>
  </r>
  <r>
    <n v="10224"/>
    <n v="26"/>
    <x v="0"/>
    <x v="5"/>
    <x v="3"/>
    <x v="2"/>
    <s v="Single"/>
    <n v="124314"/>
    <n v="26899"/>
    <x v="24"/>
    <x v="4"/>
    <n v="5"/>
    <s v="Yes"/>
    <n v="2"/>
    <x v="30"/>
    <n v="7"/>
    <x v="0"/>
    <n v="4"/>
    <x v="1"/>
  </r>
  <r>
    <n v="10225"/>
    <n v="27"/>
    <x v="0"/>
    <x v="2"/>
    <x v="2"/>
    <x v="2"/>
    <s v="Single"/>
    <n v="16026"/>
    <n v="17033"/>
    <x v="22"/>
    <x v="1"/>
    <n v="3"/>
    <s v="No"/>
    <n v="1"/>
    <x v="16"/>
    <n v="30"/>
    <x v="0"/>
    <n v="4"/>
    <x v="0"/>
  </r>
  <r>
    <n v="10226"/>
    <n v="50"/>
    <x v="0"/>
    <x v="2"/>
    <x v="3"/>
    <x v="2"/>
    <s v="Married"/>
    <n v="105830"/>
    <n v="10335"/>
    <x v="10"/>
    <x v="4"/>
    <n v="4"/>
    <s v="Yes"/>
    <n v="3"/>
    <x v="29"/>
    <n v="21"/>
    <x v="2"/>
    <n v="3"/>
    <x v="0"/>
  </r>
  <r>
    <n v="10227"/>
    <n v="32"/>
    <x v="0"/>
    <x v="1"/>
    <x v="0"/>
    <x v="2"/>
    <s v="Married"/>
    <n v="68417"/>
    <n v="45991"/>
    <x v="8"/>
    <x v="2"/>
    <n v="2"/>
    <s v="Yes"/>
    <n v="2"/>
    <x v="19"/>
    <n v="21"/>
    <x v="0"/>
    <n v="3"/>
    <x v="0"/>
  </r>
  <r>
    <n v="10228"/>
    <n v="57"/>
    <x v="0"/>
    <x v="1"/>
    <x v="1"/>
    <x v="3"/>
    <s v="Single"/>
    <n v="59536"/>
    <n v="32994"/>
    <x v="7"/>
    <x v="13"/>
    <n v="2"/>
    <s v="No"/>
    <n v="3"/>
    <x v="37"/>
    <n v="44"/>
    <x v="0"/>
    <n v="2"/>
    <x v="0"/>
  </r>
  <r>
    <n v="10229"/>
    <n v="23"/>
    <x v="0"/>
    <x v="1"/>
    <x v="1"/>
    <x v="1"/>
    <s v="Divorced"/>
    <n v="46881"/>
    <n v="43852"/>
    <x v="18"/>
    <x v="2"/>
    <n v="3"/>
    <s v="Yes"/>
    <n v="2"/>
    <x v="14"/>
    <n v="7"/>
    <x v="3"/>
    <n v="2"/>
    <x v="0"/>
  </r>
  <r>
    <n v="10230"/>
    <n v="25"/>
    <x v="1"/>
    <x v="5"/>
    <x v="3"/>
    <x v="2"/>
    <s v="Married"/>
    <n v="98263"/>
    <n v="20866"/>
    <x v="23"/>
    <x v="6"/>
    <n v="4"/>
    <s v="No"/>
    <n v="3"/>
    <x v="28"/>
    <n v="45"/>
    <x v="0"/>
    <n v="2"/>
    <x v="0"/>
  </r>
  <r>
    <n v="10231"/>
    <n v="39"/>
    <x v="0"/>
    <x v="4"/>
    <x v="1"/>
    <x v="2"/>
    <s v="Single"/>
    <n v="60916"/>
    <n v="19363"/>
    <x v="21"/>
    <x v="6"/>
    <n v="3"/>
    <s v="Yes"/>
    <n v="3"/>
    <x v="7"/>
    <n v="49"/>
    <x v="3"/>
    <n v="4"/>
    <x v="0"/>
  </r>
  <r>
    <n v="10232"/>
    <n v="44"/>
    <x v="1"/>
    <x v="3"/>
    <x v="0"/>
    <x v="3"/>
    <s v="Married"/>
    <n v="75588"/>
    <n v="10997"/>
    <x v="24"/>
    <x v="2"/>
    <n v="3"/>
    <s v="No"/>
    <n v="4"/>
    <x v="6"/>
    <n v="50"/>
    <x v="0"/>
    <n v="4"/>
    <x v="0"/>
  </r>
  <r>
    <n v="10233"/>
    <n v="28"/>
    <x v="0"/>
    <x v="2"/>
    <x v="4"/>
    <x v="2"/>
    <s v="Married"/>
    <n v="38778"/>
    <n v="12852"/>
    <x v="4"/>
    <x v="12"/>
    <n v="3"/>
    <s v="No"/>
    <n v="4"/>
    <x v="33"/>
    <n v="48"/>
    <x v="0"/>
    <n v="1"/>
    <x v="0"/>
  </r>
  <r>
    <n v="10234"/>
    <n v="27"/>
    <x v="1"/>
    <x v="0"/>
    <x v="2"/>
    <x v="2"/>
    <s v="Single"/>
    <n v="17117"/>
    <n v="25920"/>
    <x v="9"/>
    <x v="0"/>
    <n v="2"/>
    <s v="Yes"/>
    <n v="3"/>
    <x v="17"/>
    <n v="21"/>
    <x v="3"/>
    <n v="2"/>
    <x v="0"/>
  </r>
  <r>
    <n v="10235"/>
    <n v="27"/>
    <x v="1"/>
    <x v="3"/>
    <x v="3"/>
    <x v="3"/>
    <s v="Single"/>
    <n v="103233"/>
    <n v="26762"/>
    <x v="11"/>
    <x v="6"/>
    <n v="3"/>
    <s v="No"/>
    <n v="1"/>
    <x v="8"/>
    <n v="32"/>
    <x v="0"/>
    <n v="3"/>
    <x v="0"/>
  </r>
  <r>
    <n v="10236"/>
    <n v="23"/>
    <x v="0"/>
    <x v="3"/>
    <x v="4"/>
    <x v="2"/>
    <s v="Divorced"/>
    <n v="37580"/>
    <n v="11939"/>
    <x v="13"/>
    <x v="12"/>
    <n v="3"/>
    <s v="No"/>
    <n v="3"/>
    <x v="20"/>
    <n v="39"/>
    <x v="3"/>
    <n v="1"/>
    <x v="0"/>
  </r>
  <r>
    <n v="10237"/>
    <n v="27"/>
    <x v="1"/>
    <x v="2"/>
    <x v="4"/>
    <x v="3"/>
    <s v="Married"/>
    <n v="35848"/>
    <n v="20389"/>
    <x v="23"/>
    <x v="11"/>
    <n v="2"/>
    <s v="Yes"/>
    <n v="3"/>
    <x v="27"/>
    <n v="59"/>
    <x v="3"/>
    <n v="4"/>
    <x v="0"/>
  </r>
  <r>
    <n v="10238"/>
    <n v="39"/>
    <x v="0"/>
    <x v="0"/>
    <x v="4"/>
    <x v="3"/>
    <s v="Married"/>
    <n v="36241"/>
    <n v="8002"/>
    <x v="11"/>
    <x v="7"/>
    <n v="2"/>
    <s v="No"/>
    <n v="4"/>
    <x v="4"/>
    <n v="16"/>
    <x v="3"/>
    <n v="4"/>
    <x v="0"/>
  </r>
  <r>
    <n v="10239"/>
    <n v="42"/>
    <x v="1"/>
    <x v="2"/>
    <x v="3"/>
    <x v="2"/>
    <s v="Single"/>
    <n v="102427"/>
    <n v="42229"/>
    <x v="14"/>
    <x v="13"/>
    <n v="2"/>
    <s v="Yes"/>
    <n v="3"/>
    <x v="34"/>
    <n v="25"/>
    <x v="3"/>
    <n v="3"/>
    <x v="0"/>
  </r>
  <r>
    <n v="10240"/>
    <n v="44"/>
    <x v="0"/>
    <x v="4"/>
    <x v="1"/>
    <x v="0"/>
    <s v="Single"/>
    <n v="66427"/>
    <n v="16260"/>
    <x v="18"/>
    <x v="6"/>
    <n v="1"/>
    <s v="No"/>
    <n v="1"/>
    <x v="7"/>
    <n v="22"/>
    <x v="3"/>
    <n v="1"/>
    <x v="0"/>
  </r>
  <r>
    <n v="10241"/>
    <n v="27"/>
    <x v="0"/>
    <x v="5"/>
    <x v="0"/>
    <x v="3"/>
    <s v="Married"/>
    <n v="70377"/>
    <n v="34820"/>
    <x v="13"/>
    <x v="7"/>
    <n v="3"/>
    <s v="Yes"/>
    <n v="4"/>
    <x v="6"/>
    <n v="9"/>
    <x v="0"/>
    <n v="1"/>
    <x v="0"/>
  </r>
  <r>
    <n v="10242"/>
    <n v="58"/>
    <x v="1"/>
    <x v="3"/>
    <x v="2"/>
    <x v="0"/>
    <s v="Married"/>
    <n v="12011"/>
    <n v="6078"/>
    <x v="16"/>
    <x v="1"/>
    <n v="5"/>
    <s v="No"/>
    <n v="4"/>
    <x v="12"/>
    <n v="51"/>
    <x v="1"/>
    <n v="1"/>
    <x v="0"/>
  </r>
  <r>
    <n v="10243"/>
    <n v="40"/>
    <x v="0"/>
    <x v="2"/>
    <x v="1"/>
    <x v="3"/>
    <s v="Single"/>
    <n v="55350"/>
    <n v="43618"/>
    <x v="13"/>
    <x v="0"/>
    <n v="2"/>
    <s v="Yes"/>
    <n v="3"/>
    <x v="19"/>
    <n v="21"/>
    <x v="0"/>
    <n v="4"/>
    <x v="0"/>
  </r>
  <r>
    <n v="10244"/>
    <n v="46"/>
    <x v="0"/>
    <x v="0"/>
    <x v="1"/>
    <x v="3"/>
    <s v="Single"/>
    <n v="61455"/>
    <n v="33783"/>
    <x v="19"/>
    <x v="1"/>
    <n v="2"/>
    <s v="No"/>
    <n v="3"/>
    <x v="28"/>
    <n v="38"/>
    <x v="3"/>
    <n v="1"/>
    <x v="0"/>
  </r>
  <r>
    <n v="10245"/>
    <n v="33"/>
    <x v="0"/>
    <x v="4"/>
    <x v="4"/>
    <x v="3"/>
    <s v="Single"/>
    <n v="34603"/>
    <n v="29227"/>
    <x v="4"/>
    <x v="2"/>
    <n v="3"/>
    <s v="No"/>
    <n v="3"/>
    <x v="21"/>
    <n v="39"/>
    <x v="0"/>
    <n v="2"/>
    <x v="0"/>
  </r>
  <r>
    <n v="10246"/>
    <n v="20"/>
    <x v="0"/>
    <x v="3"/>
    <x v="3"/>
    <x v="2"/>
    <s v="Married"/>
    <n v="112908"/>
    <n v="47929"/>
    <x v="2"/>
    <x v="7"/>
    <n v="2"/>
    <s v="No"/>
    <n v="2"/>
    <x v="36"/>
    <n v="32"/>
    <x v="0"/>
    <n v="4"/>
    <x v="0"/>
  </r>
  <r>
    <n v="10247"/>
    <n v="43"/>
    <x v="0"/>
    <x v="2"/>
    <x v="1"/>
    <x v="1"/>
    <s v="Single"/>
    <n v="58058"/>
    <n v="3558"/>
    <x v="13"/>
    <x v="13"/>
    <n v="4"/>
    <s v="No"/>
    <n v="4"/>
    <x v="36"/>
    <n v="39"/>
    <x v="1"/>
    <n v="1"/>
    <x v="0"/>
  </r>
  <r>
    <n v="10248"/>
    <n v="42"/>
    <x v="0"/>
    <x v="2"/>
    <x v="0"/>
    <x v="3"/>
    <s v="Married"/>
    <n v="71873"/>
    <n v="1657"/>
    <x v="2"/>
    <x v="1"/>
    <n v="3"/>
    <s v="No"/>
    <n v="2"/>
    <x v="3"/>
    <n v="19"/>
    <x v="3"/>
    <n v="3"/>
    <x v="0"/>
  </r>
  <r>
    <n v="10249"/>
    <n v="30"/>
    <x v="0"/>
    <x v="4"/>
    <x v="1"/>
    <x v="3"/>
    <s v="Married"/>
    <n v="48962"/>
    <n v="21438"/>
    <x v="3"/>
    <x v="6"/>
    <n v="4"/>
    <s v="No"/>
    <n v="3"/>
    <x v="35"/>
    <n v="39"/>
    <x v="0"/>
    <n v="4"/>
    <x v="0"/>
  </r>
  <r>
    <n v="10250"/>
    <n v="42"/>
    <x v="0"/>
    <x v="0"/>
    <x v="4"/>
    <x v="2"/>
    <s v="Single"/>
    <n v="38704"/>
    <n v="14586"/>
    <x v="20"/>
    <x v="14"/>
    <n v="2"/>
    <s v="No"/>
    <n v="2"/>
    <x v="29"/>
    <n v="34"/>
    <x v="0"/>
    <n v="3"/>
    <x v="0"/>
  </r>
  <r>
    <n v="10251"/>
    <n v="49"/>
    <x v="0"/>
    <x v="2"/>
    <x v="1"/>
    <x v="0"/>
    <s v="Single"/>
    <n v="64945"/>
    <n v="25933"/>
    <x v="19"/>
    <x v="12"/>
    <n v="3"/>
    <s v="Yes"/>
    <n v="2"/>
    <x v="12"/>
    <n v="25"/>
    <x v="2"/>
    <n v="4"/>
    <x v="0"/>
  </r>
  <r>
    <n v="10252"/>
    <n v="30"/>
    <x v="0"/>
    <x v="2"/>
    <x v="4"/>
    <x v="2"/>
    <s v="Single"/>
    <n v="39456"/>
    <n v="8378"/>
    <x v="7"/>
    <x v="4"/>
    <n v="4"/>
    <s v="Yes"/>
    <n v="2"/>
    <x v="25"/>
    <n v="17"/>
    <x v="0"/>
    <n v="3"/>
    <x v="0"/>
  </r>
  <r>
    <n v="10253"/>
    <n v="59"/>
    <x v="0"/>
    <x v="2"/>
    <x v="1"/>
    <x v="0"/>
    <s v="Single"/>
    <n v="59407"/>
    <n v="28202"/>
    <x v="8"/>
    <x v="2"/>
    <n v="3"/>
    <s v="Yes"/>
    <n v="4"/>
    <x v="11"/>
    <n v="30"/>
    <x v="3"/>
    <n v="1"/>
    <x v="0"/>
  </r>
  <r>
    <n v="10254"/>
    <n v="26"/>
    <x v="0"/>
    <x v="4"/>
    <x v="3"/>
    <x v="0"/>
    <s v="Married"/>
    <n v="112927"/>
    <n v="23324"/>
    <x v="19"/>
    <x v="2"/>
    <n v="3"/>
    <s v="No"/>
    <n v="2"/>
    <x v="12"/>
    <n v="41"/>
    <x v="0"/>
    <n v="3"/>
    <x v="0"/>
  </r>
  <r>
    <n v="10255"/>
    <n v="37"/>
    <x v="0"/>
    <x v="2"/>
    <x v="4"/>
    <x v="0"/>
    <s v="Single"/>
    <n v="27965"/>
    <n v="16428"/>
    <x v="1"/>
    <x v="3"/>
    <n v="4"/>
    <s v="Yes"/>
    <n v="4"/>
    <x v="24"/>
    <n v="26"/>
    <x v="1"/>
    <n v="2"/>
    <x v="0"/>
  </r>
  <r>
    <n v="10256"/>
    <n v="39"/>
    <x v="0"/>
    <x v="2"/>
    <x v="4"/>
    <x v="2"/>
    <s v="Married"/>
    <n v="40475"/>
    <n v="18257"/>
    <x v="10"/>
    <x v="12"/>
    <n v="3"/>
    <s v="No"/>
    <n v="1"/>
    <x v="2"/>
    <n v="33"/>
    <x v="0"/>
    <n v="4"/>
    <x v="0"/>
  </r>
  <r>
    <n v="10257"/>
    <n v="54"/>
    <x v="0"/>
    <x v="2"/>
    <x v="1"/>
    <x v="2"/>
    <s v="Married"/>
    <n v="53681"/>
    <n v="46418"/>
    <x v="15"/>
    <x v="13"/>
    <n v="3"/>
    <s v="No"/>
    <n v="2"/>
    <x v="27"/>
    <n v="21"/>
    <x v="0"/>
    <n v="3"/>
    <x v="1"/>
  </r>
  <r>
    <n v="10258"/>
    <n v="23"/>
    <x v="0"/>
    <x v="3"/>
    <x v="1"/>
    <x v="2"/>
    <s v="Married"/>
    <n v="50002"/>
    <n v="35422"/>
    <x v="8"/>
    <x v="6"/>
    <n v="3"/>
    <s v="Yes"/>
    <n v="3"/>
    <x v="1"/>
    <n v="6"/>
    <x v="0"/>
    <n v="3"/>
    <x v="0"/>
  </r>
  <r>
    <n v="10259"/>
    <n v="31"/>
    <x v="0"/>
    <x v="4"/>
    <x v="4"/>
    <x v="0"/>
    <s v="Married"/>
    <n v="32498"/>
    <n v="18613"/>
    <x v="6"/>
    <x v="6"/>
    <n v="3"/>
    <s v="No"/>
    <n v="3"/>
    <x v="38"/>
    <n v="32"/>
    <x v="3"/>
    <n v="3"/>
    <x v="0"/>
  </r>
  <r>
    <n v="10260"/>
    <n v="56"/>
    <x v="0"/>
    <x v="2"/>
    <x v="4"/>
    <x v="2"/>
    <s v="Single"/>
    <n v="26384"/>
    <n v="20947"/>
    <x v="24"/>
    <x v="11"/>
    <n v="2"/>
    <s v="No"/>
    <n v="2"/>
    <x v="28"/>
    <n v="6"/>
    <x v="0"/>
    <n v="3"/>
    <x v="0"/>
  </r>
  <r>
    <n v="10261"/>
    <n v="21"/>
    <x v="0"/>
    <x v="2"/>
    <x v="1"/>
    <x v="2"/>
    <s v="Married"/>
    <n v="67191"/>
    <n v="44439"/>
    <x v="16"/>
    <x v="11"/>
    <n v="3"/>
    <s v="No"/>
    <n v="3"/>
    <x v="31"/>
    <n v="16"/>
    <x v="2"/>
    <n v="3"/>
    <x v="0"/>
  </r>
  <r>
    <n v="10262"/>
    <n v="31"/>
    <x v="0"/>
    <x v="2"/>
    <x v="4"/>
    <x v="0"/>
    <s v="Married"/>
    <n v="28981"/>
    <n v="13731"/>
    <x v="16"/>
    <x v="5"/>
    <n v="4"/>
    <s v="No"/>
    <n v="3"/>
    <x v="37"/>
    <n v="37"/>
    <x v="3"/>
    <n v="4"/>
    <x v="0"/>
  </r>
  <r>
    <n v="10263"/>
    <n v="23"/>
    <x v="0"/>
    <x v="3"/>
    <x v="4"/>
    <x v="2"/>
    <s v="Single"/>
    <n v="34615"/>
    <n v="34782"/>
    <x v="2"/>
    <x v="4"/>
    <n v="3"/>
    <s v="No"/>
    <n v="4"/>
    <x v="1"/>
    <n v="50"/>
    <x v="1"/>
    <n v="1"/>
    <x v="0"/>
  </r>
  <r>
    <n v="10264"/>
    <n v="59"/>
    <x v="1"/>
    <x v="2"/>
    <x v="3"/>
    <x v="2"/>
    <s v="Single"/>
    <n v="126634"/>
    <n v="45098"/>
    <x v="21"/>
    <x v="7"/>
    <n v="4"/>
    <s v="No"/>
    <n v="2"/>
    <x v="29"/>
    <n v="36"/>
    <x v="0"/>
    <n v="4"/>
    <x v="0"/>
  </r>
  <r>
    <n v="10265"/>
    <n v="24"/>
    <x v="1"/>
    <x v="1"/>
    <x v="1"/>
    <x v="2"/>
    <s v="Single"/>
    <n v="52774"/>
    <n v="42230"/>
    <x v="21"/>
    <x v="12"/>
    <n v="2"/>
    <s v="Yes"/>
    <n v="3"/>
    <x v="27"/>
    <n v="15"/>
    <x v="2"/>
    <n v="3"/>
    <x v="1"/>
  </r>
  <r>
    <n v="10266"/>
    <n v="36"/>
    <x v="0"/>
    <x v="5"/>
    <x v="1"/>
    <x v="2"/>
    <s v="Married"/>
    <n v="68988"/>
    <n v="4103"/>
    <x v="7"/>
    <x v="10"/>
    <n v="3"/>
    <s v="No"/>
    <n v="3"/>
    <x v="25"/>
    <n v="24"/>
    <x v="0"/>
    <n v="3"/>
    <x v="0"/>
  </r>
  <r>
    <n v="10267"/>
    <n v="32"/>
    <x v="0"/>
    <x v="5"/>
    <x v="1"/>
    <x v="0"/>
    <s v="Single"/>
    <n v="51828"/>
    <n v="43059"/>
    <x v="17"/>
    <x v="7"/>
    <n v="4"/>
    <s v="No"/>
    <n v="2"/>
    <x v="10"/>
    <n v="46"/>
    <x v="3"/>
    <n v="3"/>
    <x v="0"/>
  </r>
  <r>
    <n v="10268"/>
    <n v="31"/>
    <x v="0"/>
    <x v="2"/>
    <x v="4"/>
    <x v="2"/>
    <s v="Single"/>
    <n v="44183"/>
    <n v="10905"/>
    <x v="12"/>
    <x v="11"/>
    <n v="5"/>
    <s v="No"/>
    <n v="2"/>
    <x v="35"/>
    <n v="50"/>
    <x v="1"/>
    <n v="3"/>
    <x v="0"/>
  </r>
  <r>
    <n v="10269"/>
    <n v="26"/>
    <x v="0"/>
    <x v="3"/>
    <x v="5"/>
    <x v="2"/>
    <s v="Married"/>
    <n v="150771"/>
    <n v="42904"/>
    <x v="23"/>
    <x v="9"/>
    <n v="4"/>
    <s v="No"/>
    <n v="4"/>
    <x v="16"/>
    <n v="50"/>
    <x v="3"/>
    <n v="3"/>
    <x v="0"/>
  </r>
  <r>
    <n v="10270"/>
    <n v="51"/>
    <x v="1"/>
    <x v="1"/>
    <x v="3"/>
    <x v="3"/>
    <s v="Married"/>
    <n v="105989"/>
    <n v="10762"/>
    <x v="16"/>
    <x v="14"/>
    <n v="3"/>
    <s v="Yes"/>
    <n v="3"/>
    <x v="9"/>
    <n v="29"/>
    <x v="0"/>
    <n v="1"/>
    <x v="0"/>
  </r>
  <r>
    <n v="10271"/>
    <n v="49"/>
    <x v="0"/>
    <x v="2"/>
    <x v="4"/>
    <x v="3"/>
    <s v="Married"/>
    <n v="25272"/>
    <n v="14327"/>
    <x v="14"/>
    <x v="10"/>
    <n v="1"/>
    <s v="No"/>
    <n v="3"/>
    <x v="38"/>
    <n v="27"/>
    <x v="1"/>
    <n v="3"/>
    <x v="0"/>
  </r>
  <r>
    <n v="10272"/>
    <n v="57"/>
    <x v="0"/>
    <x v="3"/>
    <x v="4"/>
    <x v="3"/>
    <s v="Single"/>
    <n v="42848"/>
    <n v="5867"/>
    <x v="15"/>
    <x v="1"/>
    <n v="2"/>
    <s v="No"/>
    <n v="1"/>
    <x v="9"/>
    <n v="8"/>
    <x v="1"/>
    <n v="3"/>
    <x v="1"/>
  </r>
  <r>
    <n v="10273"/>
    <n v="46"/>
    <x v="1"/>
    <x v="3"/>
    <x v="0"/>
    <x v="2"/>
    <s v="Single"/>
    <n v="72242"/>
    <n v="507"/>
    <x v="7"/>
    <x v="10"/>
    <n v="2"/>
    <s v="No"/>
    <n v="3"/>
    <x v="21"/>
    <n v="43"/>
    <x v="1"/>
    <n v="4"/>
    <x v="0"/>
  </r>
  <r>
    <n v="10274"/>
    <n v="31"/>
    <x v="0"/>
    <x v="5"/>
    <x v="3"/>
    <x v="3"/>
    <s v="Married"/>
    <n v="97370"/>
    <n v="692"/>
    <x v="22"/>
    <x v="8"/>
    <n v="2"/>
    <s v="No"/>
    <n v="4"/>
    <x v="35"/>
    <n v="10"/>
    <x v="0"/>
    <n v="3"/>
    <x v="1"/>
  </r>
  <r>
    <n v="10275"/>
    <n v="52"/>
    <x v="0"/>
    <x v="5"/>
    <x v="1"/>
    <x v="0"/>
    <s v="Married"/>
    <n v="58853"/>
    <n v="8346"/>
    <x v="22"/>
    <x v="14"/>
    <n v="4"/>
    <s v="Yes"/>
    <n v="2"/>
    <x v="31"/>
    <n v="6"/>
    <x v="0"/>
    <n v="3"/>
    <x v="0"/>
  </r>
  <r>
    <n v="10276"/>
    <n v="52"/>
    <x v="1"/>
    <x v="0"/>
    <x v="1"/>
    <x v="3"/>
    <s v="Single"/>
    <n v="45421"/>
    <n v="15882"/>
    <x v="3"/>
    <x v="11"/>
    <n v="3"/>
    <s v="No"/>
    <n v="4"/>
    <x v="34"/>
    <n v="6"/>
    <x v="1"/>
    <n v="4"/>
    <x v="0"/>
  </r>
  <r>
    <n v="10277"/>
    <n v="58"/>
    <x v="1"/>
    <x v="3"/>
    <x v="0"/>
    <x v="2"/>
    <s v="Single"/>
    <n v="88815"/>
    <n v="42614"/>
    <x v="8"/>
    <x v="14"/>
    <n v="1"/>
    <s v="No"/>
    <n v="4"/>
    <x v="11"/>
    <n v="46"/>
    <x v="3"/>
    <n v="2"/>
    <x v="0"/>
  </r>
  <r>
    <n v="10278"/>
    <n v="38"/>
    <x v="0"/>
    <x v="5"/>
    <x v="4"/>
    <x v="3"/>
    <s v="Single"/>
    <n v="43554"/>
    <n v="8226"/>
    <x v="18"/>
    <x v="1"/>
    <n v="3"/>
    <s v="No"/>
    <n v="3"/>
    <x v="10"/>
    <n v="12"/>
    <x v="1"/>
    <n v="4"/>
    <x v="0"/>
  </r>
  <r>
    <n v="10279"/>
    <n v="28"/>
    <x v="0"/>
    <x v="2"/>
    <x v="4"/>
    <x v="2"/>
    <s v="Divorced"/>
    <n v="36279"/>
    <n v="17400"/>
    <x v="22"/>
    <x v="2"/>
    <n v="4"/>
    <s v="No"/>
    <n v="4"/>
    <x v="16"/>
    <n v="48"/>
    <x v="1"/>
    <n v="1"/>
    <x v="1"/>
  </r>
  <r>
    <n v="10280"/>
    <n v="45"/>
    <x v="1"/>
    <x v="1"/>
    <x v="4"/>
    <x v="3"/>
    <s v="Married"/>
    <n v="39347"/>
    <n v="2936"/>
    <x v="4"/>
    <x v="11"/>
    <n v="3"/>
    <s v="No"/>
    <n v="1"/>
    <x v="19"/>
    <n v="47"/>
    <x v="3"/>
    <n v="3"/>
    <x v="1"/>
  </r>
  <r>
    <n v="10281"/>
    <n v="59"/>
    <x v="0"/>
    <x v="2"/>
    <x v="1"/>
    <x v="2"/>
    <s v="Married"/>
    <n v="58983"/>
    <n v="7235"/>
    <x v="2"/>
    <x v="14"/>
    <n v="2"/>
    <s v="No"/>
    <n v="3"/>
    <x v="36"/>
    <n v="28"/>
    <x v="0"/>
    <n v="2"/>
    <x v="0"/>
  </r>
  <r>
    <n v="10282"/>
    <n v="29"/>
    <x v="1"/>
    <x v="0"/>
    <x v="2"/>
    <x v="2"/>
    <s v="Married"/>
    <n v="18558"/>
    <n v="42814"/>
    <x v="23"/>
    <x v="2"/>
    <n v="3"/>
    <s v="No"/>
    <n v="3"/>
    <x v="20"/>
    <n v="39"/>
    <x v="1"/>
    <n v="2"/>
    <x v="0"/>
  </r>
  <r>
    <n v="10283"/>
    <n v="41"/>
    <x v="1"/>
    <x v="3"/>
    <x v="0"/>
    <x v="0"/>
    <s v="Married"/>
    <n v="72992"/>
    <n v="42833"/>
    <x v="23"/>
    <x v="3"/>
    <n v="3"/>
    <s v="No"/>
    <n v="3"/>
    <x v="14"/>
    <n v="56"/>
    <x v="0"/>
    <n v="4"/>
    <x v="0"/>
  </r>
  <r>
    <n v="10284"/>
    <n v="42"/>
    <x v="0"/>
    <x v="2"/>
    <x v="4"/>
    <x v="2"/>
    <s v="Single"/>
    <n v="44023"/>
    <n v="23067"/>
    <x v="7"/>
    <x v="10"/>
    <n v="3"/>
    <s v="Yes"/>
    <n v="2"/>
    <x v="34"/>
    <n v="25"/>
    <x v="0"/>
    <n v="3"/>
    <x v="0"/>
  </r>
  <r>
    <n v="10285"/>
    <n v="49"/>
    <x v="0"/>
    <x v="2"/>
    <x v="4"/>
    <x v="3"/>
    <s v="Single"/>
    <n v="41234"/>
    <n v="19680"/>
    <x v="15"/>
    <x v="14"/>
    <n v="2"/>
    <s v="Yes"/>
    <n v="2"/>
    <x v="27"/>
    <n v="55"/>
    <x v="0"/>
    <n v="4"/>
    <x v="0"/>
  </r>
  <r>
    <n v="10286"/>
    <n v="50"/>
    <x v="0"/>
    <x v="2"/>
    <x v="2"/>
    <x v="0"/>
    <s v="Married"/>
    <n v="19562"/>
    <n v="48940"/>
    <x v="13"/>
    <x v="6"/>
    <n v="2"/>
    <s v="Yes"/>
    <n v="3"/>
    <x v="21"/>
    <n v="32"/>
    <x v="0"/>
    <n v="3"/>
    <x v="0"/>
  </r>
  <r>
    <n v="10287"/>
    <n v="30"/>
    <x v="0"/>
    <x v="2"/>
    <x v="1"/>
    <x v="2"/>
    <s v="Divorced"/>
    <n v="63981"/>
    <n v="5622"/>
    <x v="15"/>
    <x v="10"/>
    <n v="2"/>
    <s v="Yes"/>
    <n v="4"/>
    <x v="27"/>
    <n v="49"/>
    <x v="2"/>
    <n v="2"/>
    <x v="0"/>
  </r>
  <r>
    <n v="10288"/>
    <n v="53"/>
    <x v="0"/>
    <x v="3"/>
    <x v="0"/>
    <x v="2"/>
    <s v="Married"/>
    <n v="79937"/>
    <n v="7349"/>
    <x v="1"/>
    <x v="14"/>
    <n v="3"/>
    <s v="Yes"/>
    <n v="1"/>
    <x v="3"/>
    <n v="38"/>
    <x v="0"/>
    <n v="3"/>
    <x v="1"/>
  </r>
  <r>
    <n v="10289"/>
    <n v="29"/>
    <x v="0"/>
    <x v="3"/>
    <x v="2"/>
    <x v="2"/>
    <s v="Single"/>
    <n v="11514"/>
    <n v="21435"/>
    <x v="11"/>
    <x v="12"/>
    <n v="3"/>
    <s v="No"/>
    <n v="3"/>
    <x v="15"/>
    <n v="49"/>
    <x v="2"/>
    <n v="3"/>
    <x v="0"/>
  </r>
  <r>
    <n v="10290"/>
    <n v="37"/>
    <x v="0"/>
    <x v="1"/>
    <x v="4"/>
    <x v="3"/>
    <s v="Married"/>
    <n v="28332"/>
    <n v="39683"/>
    <x v="12"/>
    <x v="8"/>
    <n v="4"/>
    <s v="No"/>
    <n v="4"/>
    <x v="15"/>
    <n v="34"/>
    <x v="0"/>
    <n v="2"/>
    <x v="0"/>
  </r>
  <r>
    <n v="10291"/>
    <n v="28"/>
    <x v="0"/>
    <x v="2"/>
    <x v="3"/>
    <x v="3"/>
    <s v="Single"/>
    <n v="106932"/>
    <n v="32567"/>
    <x v="4"/>
    <x v="3"/>
    <n v="5"/>
    <s v="No"/>
    <n v="4"/>
    <x v="5"/>
    <n v="30"/>
    <x v="1"/>
    <n v="3"/>
    <x v="0"/>
  </r>
  <r>
    <n v="10292"/>
    <n v="44"/>
    <x v="0"/>
    <x v="5"/>
    <x v="5"/>
    <x v="3"/>
    <s v="Married"/>
    <n v="165264"/>
    <n v="1129"/>
    <x v="4"/>
    <x v="4"/>
    <n v="3"/>
    <s v="Yes"/>
    <n v="2"/>
    <x v="30"/>
    <n v="9"/>
    <x v="1"/>
    <n v="2"/>
    <x v="0"/>
  </r>
  <r>
    <n v="10293"/>
    <n v="34"/>
    <x v="1"/>
    <x v="0"/>
    <x v="4"/>
    <x v="3"/>
    <s v="Married"/>
    <n v="43647"/>
    <n v="39094"/>
    <x v="2"/>
    <x v="6"/>
    <n v="3"/>
    <s v="No"/>
    <n v="1"/>
    <x v="28"/>
    <n v="20"/>
    <x v="3"/>
    <n v="3"/>
    <x v="0"/>
  </r>
  <r>
    <n v="10294"/>
    <n v="32"/>
    <x v="0"/>
    <x v="2"/>
    <x v="4"/>
    <x v="3"/>
    <s v="Married"/>
    <n v="26577"/>
    <n v="6691"/>
    <x v="14"/>
    <x v="4"/>
    <n v="3"/>
    <s v="No"/>
    <n v="3"/>
    <x v="28"/>
    <n v="59"/>
    <x v="0"/>
    <n v="3"/>
    <x v="0"/>
  </r>
  <r>
    <n v="10295"/>
    <n v="33"/>
    <x v="0"/>
    <x v="3"/>
    <x v="4"/>
    <x v="2"/>
    <s v="Single"/>
    <n v="38386"/>
    <n v="21045"/>
    <x v="11"/>
    <x v="3"/>
    <n v="4"/>
    <s v="No"/>
    <n v="4"/>
    <x v="37"/>
    <n v="26"/>
    <x v="3"/>
    <n v="4"/>
    <x v="0"/>
  </r>
  <r>
    <n v="10296"/>
    <n v="22"/>
    <x v="1"/>
    <x v="2"/>
    <x v="0"/>
    <x v="0"/>
    <s v="Single"/>
    <n v="72995"/>
    <n v="463"/>
    <x v="18"/>
    <x v="3"/>
    <n v="3"/>
    <s v="Yes"/>
    <n v="4"/>
    <x v="13"/>
    <n v="54"/>
    <x v="0"/>
    <n v="3"/>
    <x v="0"/>
  </r>
  <r>
    <n v="10297"/>
    <n v="54"/>
    <x v="0"/>
    <x v="3"/>
    <x v="0"/>
    <x v="3"/>
    <s v="Married"/>
    <n v="69775"/>
    <n v="11516"/>
    <x v="8"/>
    <x v="1"/>
    <n v="4"/>
    <s v="Yes"/>
    <n v="3"/>
    <x v="5"/>
    <n v="54"/>
    <x v="3"/>
    <n v="1"/>
    <x v="0"/>
  </r>
  <r>
    <n v="10298"/>
    <n v="32"/>
    <x v="1"/>
    <x v="1"/>
    <x v="0"/>
    <x v="2"/>
    <s v="Married"/>
    <n v="80866"/>
    <n v="41311"/>
    <x v="5"/>
    <x v="6"/>
    <n v="3"/>
    <s v="Yes"/>
    <n v="2"/>
    <x v="5"/>
    <n v="33"/>
    <x v="0"/>
    <n v="3"/>
    <x v="0"/>
  </r>
  <r>
    <n v="10299"/>
    <n v="46"/>
    <x v="0"/>
    <x v="0"/>
    <x v="1"/>
    <x v="2"/>
    <s v="Single"/>
    <n v="66029"/>
    <n v="15960"/>
    <x v="11"/>
    <x v="5"/>
    <n v="3"/>
    <s v="No"/>
    <n v="4"/>
    <x v="4"/>
    <n v="41"/>
    <x v="2"/>
    <n v="4"/>
    <x v="0"/>
  </r>
  <r>
    <n v="10300"/>
    <n v="58"/>
    <x v="0"/>
    <x v="3"/>
    <x v="0"/>
    <x v="2"/>
    <s v="Married"/>
    <n v="64225"/>
    <n v="29670"/>
    <x v="14"/>
    <x v="7"/>
    <n v="3"/>
    <s v="Yes"/>
    <n v="3"/>
    <x v="16"/>
    <n v="44"/>
    <x v="3"/>
    <n v="3"/>
    <x v="0"/>
  </r>
  <r>
    <n v="10301"/>
    <n v="48"/>
    <x v="1"/>
    <x v="5"/>
    <x v="1"/>
    <x v="0"/>
    <s v="Single"/>
    <n v="69277"/>
    <n v="26950"/>
    <x v="21"/>
    <x v="2"/>
    <n v="3"/>
    <s v="Yes"/>
    <n v="3"/>
    <x v="3"/>
    <n v="31"/>
    <x v="3"/>
    <n v="2"/>
    <x v="0"/>
  </r>
  <r>
    <n v="10302"/>
    <n v="42"/>
    <x v="1"/>
    <x v="3"/>
    <x v="4"/>
    <x v="3"/>
    <s v="Single"/>
    <n v="43749"/>
    <n v="47116"/>
    <x v="11"/>
    <x v="13"/>
    <n v="3"/>
    <s v="No"/>
    <n v="2"/>
    <x v="21"/>
    <n v="19"/>
    <x v="2"/>
    <n v="3"/>
    <x v="1"/>
  </r>
  <r>
    <n v="10303"/>
    <n v="26"/>
    <x v="0"/>
    <x v="3"/>
    <x v="0"/>
    <x v="3"/>
    <s v="Single"/>
    <n v="62118"/>
    <n v="16576"/>
    <x v="3"/>
    <x v="5"/>
    <n v="3"/>
    <s v="No"/>
    <n v="1"/>
    <x v="9"/>
    <n v="18"/>
    <x v="1"/>
    <n v="4"/>
    <x v="1"/>
  </r>
  <r>
    <n v="10304"/>
    <n v="27"/>
    <x v="1"/>
    <x v="2"/>
    <x v="4"/>
    <x v="2"/>
    <s v="Single"/>
    <n v="31103"/>
    <n v="4631"/>
    <x v="17"/>
    <x v="3"/>
    <n v="2"/>
    <s v="No"/>
    <n v="1"/>
    <x v="4"/>
    <n v="34"/>
    <x v="2"/>
    <n v="3"/>
    <x v="1"/>
  </r>
  <r>
    <n v="10305"/>
    <n v="37"/>
    <x v="1"/>
    <x v="1"/>
    <x v="0"/>
    <x v="2"/>
    <s v="Single"/>
    <n v="66080"/>
    <n v="27094"/>
    <x v="14"/>
    <x v="2"/>
    <n v="4"/>
    <s v="Yes"/>
    <n v="3"/>
    <x v="20"/>
    <n v="48"/>
    <x v="3"/>
    <n v="1"/>
    <x v="0"/>
  </r>
  <r>
    <n v="10306"/>
    <n v="46"/>
    <x v="1"/>
    <x v="5"/>
    <x v="3"/>
    <x v="3"/>
    <s v="Single"/>
    <n v="96464"/>
    <n v="32634"/>
    <x v="16"/>
    <x v="0"/>
    <n v="3"/>
    <s v="Yes"/>
    <n v="3"/>
    <x v="21"/>
    <n v="27"/>
    <x v="3"/>
    <n v="4"/>
    <x v="1"/>
  </r>
  <r>
    <n v="10307"/>
    <n v="26"/>
    <x v="0"/>
    <x v="3"/>
    <x v="3"/>
    <x v="2"/>
    <s v="Married"/>
    <n v="111709"/>
    <n v="24700"/>
    <x v="8"/>
    <x v="7"/>
    <n v="4"/>
    <s v="No"/>
    <n v="3"/>
    <x v="33"/>
    <n v="58"/>
    <x v="0"/>
    <n v="1"/>
    <x v="0"/>
  </r>
  <r>
    <n v="10308"/>
    <n v="34"/>
    <x v="0"/>
    <x v="0"/>
    <x v="4"/>
    <x v="1"/>
    <s v="Single"/>
    <n v="30529"/>
    <n v="39886"/>
    <x v="3"/>
    <x v="8"/>
    <n v="4"/>
    <s v="Yes"/>
    <n v="4"/>
    <x v="26"/>
    <n v="59"/>
    <x v="1"/>
    <n v="4"/>
    <x v="0"/>
  </r>
  <r>
    <n v="10309"/>
    <n v="42"/>
    <x v="1"/>
    <x v="4"/>
    <x v="1"/>
    <x v="2"/>
    <s v="Married"/>
    <n v="56810"/>
    <n v="23110"/>
    <x v="19"/>
    <x v="9"/>
    <n v="3"/>
    <s v="No"/>
    <n v="1"/>
    <x v="33"/>
    <n v="18"/>
    <x v="0"/>
    <n v="3"/>
    <x v="0"/>
  </r>
  <r>
    <n v="10310"/>
    <n v="36"/>
    <x v="1"/>
    <x v="1"/>
    <x v="0"/>
    <x v="2"/>
    <s v="Divorced"/>
    <n v="73204"/>
    <n v="20462"/>
    <x v="12"/>
    <x v="10"/>
    <n v="3"/>
    <s v="No"/>
    <n v="3"/>
    <x v="31"/>
    <n v="31"/>
    <x v="0"/>
    <n v="3"/>
    <x v="0"/>
  </r>
  <r>
    <n v="10311"/>
    <n v="34"/>
    <x v="0"/>
    <x v="2"/>
    <x v="1"/>
    <x v="0"/>
    <s v="Single"/>
    <n v="67641"/>
    <n v="48639"/>
    <x v="21"/>
    <x v="11"/>
    <n v="2"/>
    <s v="No"/>
    <n v="2"/>
    <x v="38"/>
    <n v="45"/>
    <x v="3"/>
    <n v="1"/>
    <x v="0"/>
  </r>
  <r>
    <n v="10312"/>
    <n v="43"/>
    <x v="0"/>
    <x v="2"/>
    <x v="4"/>
    <x v="2"/>
    <s v="Divorced"/>
    <n v="44585"/>
    <n v="23345"/>
    <x v="7"/>
    <x v="5"/>
    <n v="3"/>
    <s v="No"/>
    <n v="3"/>
    <x v="6"/>
    <n v="28"/>
    <x v="0"/>
    <n v="1"/>
    <x v="0"/>
  </r>
  <r>
    <n v="10313"/>
    <n v="48"/>
    <x v="0"/>
    <x v="5"/>
    <x v="4"/>
    <x v="2"/>
    <s v="Divorced"/>
    <n v="26552"/>
    <n v="8055"/>
    <x v="17"/>
    <x v="11"/>
    <n v="2"/>
    <s v="No"/>
    <n v="3"/>
    <x v="14"/>
    <n v="41"/>
    <x v="0"/>
    <n v="4"/>
    <x v="0"/>
  </r>
  <r>
    <n v="10314"/>
    <n v="22"/>
    <x v="0"/>
    <x v="2"/>
    <x v="1"/>
    <x v="2"/>
    <s v="Divorced"/>
    <n v="60792"/>
    <n v="4368"/>
    <x v="23"/>
    <x v="6"/>
    <n v="3"/>
    <s v="Yes"/>
    <n v="4"/>
    <x v="9"/>
    <n v="39"/>
    <x v="0"/>
    <n v="4"/>
    <x v="0"/>
  </r>
  <r>
    <n v="10315"/>
    <n v="20"/>
    <x v="0"/>
    <x v="5"/>
    <x v="4"/>
    <x v="0"/>
    <s v="Single"/>
    <n v="26212"/>
    <n v="18895"/>
    <x v="7"/>
    <x v="9"/>
    <n v="3"/>
    <s v="No"/>
    <n v="3"/>
    <x v="30"/>
    <n v="20"/>
    <x v="3"/>
    <n v="3"/>
    <x v="0"/>
  </r>
  <r>
    <n v="10316"/>
    <n v="22"/>
    <x v="0"/>
    <x v="2"/>
    <x v="1"/>
    <x v="1"/>
    <s v="Married"/>
    <n v="64576"/>
    <n v="34305"/>
    <x v="2"/>
    <x v="1"/>
    <n v="3"/>
    <s v="No"/>
    <n v="3"/>
    <x v="19"/>
    <n v="18"/>
    <x v="0"/>
    <n v="2"/>
    <x v="0"/>
  </r>
  <r>
    <n v="10317"/>
    <n v="42"/>
    <x v="1"/>
    <x v="0"/>
    <x v="4"/>
    <x v="2"/>
    <s v="Married"/>
    <n v="42985"/>
    <n v="15613"/>
    <x v="7"/>
    <x v="1"/>
    <n v="4"/>
    <s v="No"/>
    <n v="4"/>
    <x v="25"/>
    <n v="44"/>
    <x v="2"/>
    <n v="3"/>
    <x v="1"/>
  </r>
  <r>
    <n v="10318"/>
    <n v="41"/>
    <x v="1"/>
    <x v="1"/>
    <x v="4"/>
    <x v="0"/>
    <s v="Married"/>
    <n v="26996"/>
    <n v="30429"/>
    <x v="15"/>
    <x v="10"/>
    <n v="2"/>
    <s v="No"/>
    <n v="3"/>
    <x v="30"/>
    <n v="31"/>
    <x v="3"/>
    <n v="4"/>
    <x v="0"/>
  </r>
  <r>
    <n v="10319"/>
    <n v="42"/>
    <x v="0"/>
    <x v="2"/>
    <x v="1"/>
    <x v="3"/>
    <s v="Single"/>
    <n v="46410"/>
    <n v="22469"/>
    <x v="8"/>
    <x v="9"/>
    <n v="1"/>
    <s v="Yes"/>
    <n v="3"/>
    <x v="10"/>
    <n v="46"/>
    <x v="1"/>
    <n v="3"/>
    <x v="0"/>
  </r>
  <r>
    <n v="10320"/>
    <n v="53"/>
    <x v="0"/>
    <x v="0"/>
    <x v="0"/>
    <x v="0"/>
    <s v="Married"/>
    <n v="60363"/>
    <n v="46736"/>
    <x v="19"/>
    <x v="5"/>
    <n v="4"/>
    <s v="No"/>
    <n v="1"/>
    <x v="19"/>
    <n v="38"/>
    <x v="2"/>
    <n v="2"/>
    <x v="0"/>
  </r>
  <r>
    <n v="10321"/>
    <n v="25"/>
    <x v="1"/>
    <x v="3"/>
    <x v="0"/>
    <x v="0"/>
    <s v="Married"/>
    <n v="81584"/>
    <n v="27518"/>
    <x v="23"/>
    <x v="14"/>
    <n v="3"/>
    <s v="No"/>
    <n v="2"/>
    <x v="24"/>
    <n v="14"/>
    <x v="3"/>
    <n v="4"/>
    <x v="0"/>
  </r>
  <r>
    <n v="10322"/>
    <n v="41"/>
    <x v="1"/>
    <x v="2"/>
    <x v="4"/>
    <x v="2"/>
    <s v="Single"/>
    <n v="38749"/>
    <n v="27302"/>
    <x v="5"/>
    <x v="0"/>
    <n v="3"/>
    <s v="Yes"/>
    <n v="4"/>
    <x v="38"/>
    <n v="58"/>
    <x v="3"/>
    <n v="4"/>
    <x v="0"/>
  </r>
  <r>
    <n v="10323"/>
    <n v="29"/>
    <x v="1"/>
    <x v="2"/>
    <x v="2"/>
    <x v="2"/>
    <s v="Single"/>
    <n v="18433"/>
    <n v="16453"/>
    <x v="15"/>
    <x v="14"/>
    <n v="3"/>
    <s v="No"/>
    <n v="2"/>
    <x v="14"/>
    <n v="56"/>
    <x v="2"/>
    <n v="4"/>
    <x v="1"/>
  </r>
  <r>
    <n v="10324"/>
    <n v="44"/>
    <x v="0"/>
    <x v="2"/>
    <x v="1"/>
    <x v="0"/>
    <s v="Single"/>
    <n v="59879"/>
    <n v="41139"/>
    <x v="0"/>
    <x v="5"/>
    <n v="3"/>
    <s v="No"/>
    <n v="3"/>
    <x v="13"/>
    <n v="25"/>
    <x v="3"/>
    <n v="2"/>
    <x v="0"/>
  </r>
  <r>
    <n v="10325"/>
    <n v="43"/>
    <x v="0"/>
    <x v="2"/>
    <x v="1"/>
    <x v="2"/>
    <s v="Married"/>
    <n v="68548"/>
    <n v="16692"/>
    <x v="12"/>
    <x v="3"/>
    <n v="4"/>
    <s v="No"/>
    <n v="4"/>
    <x v="24"/>
    <n v="37"/>
    <x v="0"/>
    <n v="3"/>
    <x v="0"/>
  </r>
  <r>
    <n v="10326"/>
    <n v="35"/>
    <x v="0"/>
    <x v="3"/>
    <x v="0"/>
    <x v="2"/>
    <s v="Divorced"/>
    <n v="69145"/>
    <n v="46900"/>
    <x v="14"/>
    <x v="0"/>
    <n v="2"/>
    <s v="No"/>
    <n v="2"/>
    <x v="19"/>
    <n v="23"/>
    <x v="3"/>
    <n v="2"/>
    <x v="0"/>
  </r>
  <r>
    <n v="10327"/>
    <n v="32"/>
    <x v="0"/>
    <x v="5"/>
    <x v="1"/>
    <x v="3"/>
    <s v="Married"/>
    <n v="62515"/>
    <n v="31358"/>
    <x v="10"/>
    <x v="3"/>
    <n v="5"/>
    <s v="No"/>
    <n v="1"/>
    <x v="15"/>
    <n v="36"/>
    <x v="3"/>
    <n v="2"/>
    <x v="1"/>
  </r>
  <r>
    <n v="10328"/>
    <n v="26"/>
    <x v="0"/>
    <x v="4"/>
    <x v="0"/>
    <x v="3"/>
    <s v="Married"/>
    <n v="89873"/>
    <n v="8446"/>
    <x v="17"/>
    <x v="12"/>
    <n v="4"/>
    <s v="No"/>
    <n v="2"/>
    <x v="9"/>
    <n v="41"/>
    <x v="3"/>
    <n v="4"/>
    <x v="0"/>
  </r>
  <r>
    <n v="10329"/>
    <n v="35"/>
    <x v="0"/>
    <x v="4"/>
    <x v="1"/>
    <x v="2"/>
    <s v="Divorced"/>
    <n v="63892"/>
    <n v="4711"/>
    <x v="7"/>
    <x v="2"/>
    <n v="1"/>
    <s v="Yes"/>
    <n v="3"/>
    <x v="16"/>
    <n v="52"/>
    <x v="1"/>
    <n v="1"/>
    <x v="0"/>
  </r>
  <r>
    <n v="10330"/>
    <n v="53"/>
    <x v="0"/>
    <x v="4"/>
    <x v="0"/>
    <x v="3"/>
    <s v="Divorced"/>
    <n v="76482"/>
    <n v="2637"/>
    <x v="9"/>
    <x v="9"/>
    <n v="3"/>
    <s v="No"/>
    <n v="2"/>
    <x v="10"/>
    <n v="41"/>
    <x v="1"/>
    <n v="4"/>
    <x v="0"/>
  </r>
  <r>
    <n v="10331"/>
    <n v="29"/>
    <x v="1"/>
    <x v="2"/>
    <x v="0"/>
    <x v="2"/>
    <s v="Divorced"/>
    <n v="63666"/>
    <n v="3985"/>
    <x v="7"/>
    <x v="0"/>
    <n v="3"/>
    <s v="No"/>
    <n v="1"/>
    <x v="16"/>
    <n v="7"/>
    <x v="2"/>
    <n v="3"/>
    <x v="1"/>
  </r>
  <r>
    <n v="10332"/>
    <n v="23"/>
    <x v="0"/>
    <x v="5"/>
    <x v="1"/>
    <x v="2"/>
    <s v="Single"/>
    <n v="53417"/>
    <n v="25009"/>
    <x v="17"/>
    <x v="1"/>
    <n v="3"/>
    <s v="Yes"/>
    <n v="2"/>
    <x v="33"/>
    <n v="43"/>
    <x v="3"/>
    <n v="3"/>
    <x v="0"/>
  </r>
  <r>
    <n v="10333"/>
    <n v="41"/>
    <x v="1"/>
    <x v="2"/>
    <x v="3"/>
    <x v="0"/>
    <s v="Single"/>
    <n v="95565"/>
    <n v="835"/>
    <x v="22"/>
    <x v="3"/>
    <n v="1"/>
    <s v="No"/>
    <n v="3"/>
    <x v="17"/>
    <n v="51"/>
    <x v="0"/>
    <n v="2"/>
    <x v="0"/>
  </r>
  <r>
    <n v="10334"/>
    <n v="32"/>
    <x v="0"/>
    <x v="1"/>
    <x v="1"/>
    <x v="3"/>
    <s v="Married"/>
    <n v="51617"/>
    <n v="46015"/>
    <x v="23"/>
    <x v="5"/>
    <n v="5"/>
    <s v="No"/>
    <n v="1"/>
    <x v="25"/>
    <n v="59"/>
    <x v="0"/>
    <n v="1"/>
    <x v="0"/>
  </r>
  <r>
    <n v="10335"/>
    <n v="47"/>
    <x v="1"/>
    <x v="3"/>
    <x v="4"/>
    <x v="2"/>
    <s v="Single"/>
    <n v="36347"/>
    <n v="15504"/>
    <x v="24"/>
    <x v="7"/>
    <n v="4"/>
    <s v="No"/>
    <n v="1"/>
    <x v="24"/>
    <n v="40"/>
    <x v="2"/>
    <n v="3"/>
    <x v="1"/>
  </r>
  <r>
    <n v="10336"/>
    <n v="24"/>
    <x v="0"/>
    <x v="1"/>
    <x v="2"/>
    <x v="0"/>
    <s v="Married"/>
    <n v="17674"/>
    <n v="29992"/>
    <x v="13"/>
    <x v="3"/>
    <n v="4"/>
    <s v="No"/>
    <n v="3"/>
    <x v="12"/>
    <n v="12"/>
    <x v="3"/>
    <n v="1"/>
    <x v="1"/>
  </r>
  <r>
    <n v="10337"/>
    <n v="50"/>
    <x v="1"/>
    <x v="1"/>
    <x v="0"/>
    <x v="2"/>
    <s v="Divorced"/>
    <n v="61168"/>
    <n v="30270"/>
    <x v="1"/>
    <x v="12"/>
    <n v="3"/>
    <s v="Yes"/>
    <n v="2"/>
    <x v="6"/>
    <n v="47"/>
    <x v="0"/>
    <n v="3"/>
    <x v="1"/>
  </r>
  <r>
    <n v="10338"/>
    <n v="47"/>
    <x v="0"/>
    <x v="4"/>
    <x v="3"/>
    <x v="3"/>
    <s v="Divorced"/>
    <n v="94025"/>
    <n v="9174"/>
    <x v="5"/>
    <x v="12"/>
    <n v="3"/>
    <s v="No"/>
    <n v="2"/>
    <x v="12"/>
    <n v="22"/>
    <x v="0"/>
    <n v="2"/>
    <x v="0"/>
  </r>
  <r>
    <n v="10339"/>
    <n v="59"/>
    <x v="1"/>
    <x v="1"/>
    <x v="0"/>
    <x v="0"/>
    <s v="Single"/>
    <n v="79881"/>
    <n v="33765"/>
    <x v="13"/>
    <x v="3"/>
    <n v="2"/>
    <s v="Yes"/>
    <n v="4"/>
    <x v="29"/>
    <n v="10"/>
    <x v="0"/>
    <n v="2"/>
    <x v="0"/>
  </r>
  <r>
    <n v="10340"/>
    <n v="39"/>
    <x v="1"/>
    <x v="3"/>
    <x v="2"/>
    <x v="3"/>
    <s v="Single"/>
    <n v="16354"/>
    <n v="24833"/>
    <x v="3"/>
    <x v="10"/>
    <n v="4"/>
    <s v="No"/>
    <n v="2"/>
    <x v="1"/>
    <n v="21"/>
    <x v="0"/>
    <n v="4"/>
    <x v="0"/>
  </r>
  <r>
    <n v="10341"/>
    <n v="28"/>
    <x v="0"/>
    <x v="2"/>
    <x v="4"/>
    <x v="2"/>
    <s v="Single"/>
    <n v="39531"/>
    <n v="21560"/>
    <x v="1"/>
    <x v="1"/>
    <n v="2"/>
    <s v="No"/>
    <n v="3"/>
    <x v="29"/>
    <n v="21"/>
    <x v="1"/>
    <n v="4"/>
    <x v="1"/>
  </r>
  <r>
    <n v="10342"/>
    <n v="38"/>
    <x v="0"/>
    <x v="2"/>
    <x v="2"/>
    <x v="2"/>
    <s v="Married"/>
    <n v="10418"/>
    <n v="19156"/>
    <x v="8"/>
    <x v="8"/>
    <n v="3"/>
    <s v="Yes"/>
    <n v="1"/>
    <x v="8"/>
    <n v="26"/>
    <x v="0"/>
    <n v="3"/>
    <x v="0"/>
  </r>
  <r>
    <n v="10343"/>
    <n v="27"/>
    <x v="1"/>
    <x v="1"/>
    <x v="3"/>
    <x v="2"/>
    <s v="Married"/>
    <n v="123756"/>
    <n v="16198"/>
    <x v="3"/>
    <x v="13"/>
    <n v="2"/>
    <s v="No"/>
    <n v="2"/>
    <x v="15"/>
    <n v="50"/>
    <x v="2"/>
    <n v="1"/>
    <x v="1"/>
  </r>
  <r>
    <n v="10344"/>
    <n v="44"/>
    <x v="0"/>
    <x v="3"/>
    <x v="0"/>
    <x v="3"/>
    <s v="Single"/>
    <n v="66310"/>
    <n v="19149"/>
    <x v="16"/>
    <x v="2"/>
    <n v="3"/>
    <s v="No"/>
    <n v="1"/>
    <x v="2"/>
    <n v="19"/>
    <x v="3"/>
    <n v="2"/>
    <x v="0"/>
  </r>
  <r>
    <n v="10345"/>
    <n v="31"/>
    <x v="1"/>
    <x v="0"/>
    <x v="1"/>
    <x v="2"/>
    <s v="Married"/>
    <n v="65657"/>
    <n v="22990"/>
    <x v="23"/>
    <x v="9"/>
    <n v="4"/>
    <s v="No"/>
    <n v="1"/>
    <x v="8"/>
    <n v="59"/>
    <x v="2"/>
    <n v="1"/>
    <x v="0"/>
  </r>
  <r>
    <n v="10346"/>
    <n v="56"/>
    <x v="1"/>
    <x v="4"/>
    <x v="4"/>
    <x v="2"/>
    <s v="Single"/>
    <n v="37046"/>
    <n v="18645"/>
    <x v="16"/>
    <x v="9"/>
    <n v="2"/>
    <s v="Yes"/>
    <n v="3"/>
    <x v="21"/>
    <n v="11"/>
    <x v="2"/>
    <n v="2"/>
    <x v="0"/>
  </r>
  <r>
    <n v="10347"/>
    <n v="29"/>
    <x v="1"/>
    <x v="5"/>
    <x v="0"/>
    <x v="0"/>
    <s v="Married"/>
    <n v="84274"/>
    <n v="28948"/>
    <x v="11"/>
    <x v="4"/>
    <n v="5"/>
    <s v="No"/>
    <n v="4"/>
    <x v="16"/>
    <n v="44"/>
    <x v="0"/>
    <n v="3"/>
    <x v="0"/>
  </r>
  <r>
    <n v="10348"/>
    <n v="25"/>
    <x v="1"/>
    <x v="0"/>
    <x v="1"/>
    <x v="2"/>
    <s v="Single"/>
    <n v="45845"/>
    <n v="33122"/>
    <x v="8"/>
    <x v="14"/>
    <n v="5"/>
    <s v="No"/>
    <n v="1"/>
    <x v="14"/>
    <n v="47"/>
    <x v="2"/>
    <n v="4"/>
    <x v="1"/>
  </r>
  <r>
    <n v="10349"/>
    <n v="39"/>
    <x v="1"/>
    <x v="0"/>
    <x v="3"/>
    <x v="3"/>
    <s v="Single"/>
    <n v="108827"/>
    <n v="43700"/>
    <x v="13"/>
    <x v="1"/>
    <n v="3"/>
    <s v="No"/>
    <n v="3"/>
    <x v="36"/>
    <n v="49"/>
    <x v="3"/>
    <n v="1"/>
    <x v="0"/>
  </r>
  <r>
    <n v="10350"/>
    <n v="53"/>
    <x v="0"/>
    <x v="2"/>
    <x v="0"/>
    <x v="2"/>
    <s v="Single"/>
    <n v="86505"/>
    <n v="15596"/>
    <x v="22"/>
    <x v="8"/>
    <n v="3"/>
    <s v="Yes"/>
    <n v="3"/>
    <x v="22"/>
    <n v="54"/>
    <x v="0"/>
    <n v="3"/>
    <x v="0"/>
  </r>
  <r>
    <n v="10351"/>
    <n v="25"/>
    <x v="0"/>
    <x v="3"/>
    <x v="0"/>
    <x v="2"/>
    <s v="Married"/>
    <n v="63990"/>
    <n v="18259"/>
    <x v="14"/>
    <x v="2"/>
    <n v="3"/>
    <s v="No"/>
    <n v="2"/>
    <x v="13"/>
    <n v="26"/>
    <x v="2"/>
    <n v="4"/>
    <x v="1"/>
  </r>
  <r>
    <n v="10352"/>
    <n v="29"/>
    <x v="1"/>
    <x v="2"/>
    <x v="4"/>
    <x v="2"/>
    <s v="Single"/>
    <n v="37018"/>
    <n v="46379"/>
    <x v="24"/>
    <x v="3"/>
    <n v="2"/>
    <s v="Yes"/>
    <n v="2"/>
    <x v="14"/>
    <n v="6"/>
    <x v="1"/>
    <n v="3"/>
    <x v="0"/>
  </r>
  <r>
    <n v="10353"/>
    <n v="46"/>
    <x v="0"/>
    <x v="4"/>
    <x v="0"/>
    <x v="2"/>
    <s v="Married"/>
    <n v="79091"/>
    <n v="10367"/>
    <x v="22"/>
    <x v="9"/>
    <n v="4"/>
    <s v="Yes"/>
    <n v="3"/>
    <x v="14"/>
    <n v="38"/>
    <x v="0"/>
    <n v="4"/>
    <x v="0"/>
  </r>
  <r>
    <n v="10354"/>
    <n v="58"/>
    <x v="0"/>
    <x v="4"/>
    <x v="1"/>
    <x v="1"/>
    <s v="Single"/>
    <n v="49732"/>
    <n v="6207"/>
    <x v="5"/>
    <x v="11"/>
    <n v="1"/>
    <s v="No"/>
    <n v="4"/>
    <x v="12"/>
    <n v="43"/>
    <x v="1"/>
    <n v="4"/>
    <x v="0"/>
  </r>
  <r>
    <n v="10355"/>
    <n v="54"/>
    <x v="0"/>
    <x v="1"/>
    <x v="0"/>
    <x v="2"/>
    <s v="Divorced"/>
    <n v="74016"/>
    <n v="39978"/>
    <x v="18"/>
    <x v="12"/>
    <n v="1"/>
    <s v="No"/>
    <n v="4"/>
    <x v="32"/>
    <n v="9"/>
    <x v="0"/>
    <n v="4"/>
    <x v="0"/>
  </r>
  <r>
    <n v="10356"/>
    <n v="25"/>
    <x v="1"/>
    <x v="4"/>
    <x v="5"/>
    <x v="3"/>
    <s v="Divorced"/>
    <n v="167779"/>
    <n v="28036"/>
    <x v="2"/>
    <x v="9"/>
    <n v="3"/>
    <s v="No"/>
    <n v="4"/>
    <x v="9"/>
    <n v="12"/>
    <x v="0"/>
    <n v="2"/>
    <x v="0"/>
  </r>
  <r>
    <n v="10357"/>
    <n v="35"/>
    <x v="0"/>
    <x v="3"/>
    <x v="2"/>
    <x v="2"/>
    <s v="Single"/>
    <n v="14958"/>
    <n v="16821"/>
    <x v="18"/>
    <x v="9"/>
    <n v="3"/>
    <s v="No"/>
    <n v="3"/>
    <x v="18"/>
    <n v="12"/>
    <x v="3"/>
    <n v="2"/>
    <x v="1"/>
  </r>
  <r>
    <n v="10358"/>
    <n v="39"/>
    <x v="0"/>
    <x v="3"/>
    <x v="4"/>
    <x v="2"/>
    <s v="Married"/>
    <n v="43366"/>
    <n v="13560"/>
    <x v="7"/>
    <x v="14"/>
    <n v="2"/>
    <s v="No"/>
    <n v="3"/>
    <x v="36"/>
    <n v="40"/>
    <x v="2"/>
    <n v="2"/>
    <x v="0"/>
  </r>
  <r>
    <n v="10359"/>
    <n v="57"/>
    <x v="0"/>
    <x v="2"/>
    <x v="1"/>
    <x v="2"/>
    <s v="Divorced"/>
    <n v="62231"/>
    <n v="48632"/>
    <x v="20"/>
    <x v="14"/>
    <n v="3"/>
    <s v="Yes"/>
    <n v="1"/>
    <x v="14"/>
    <n v="32"/>
    <x v="0"/>
    <n v="3"/>
    <x v="0"/>
  </r>
  <r>
    <n v="10360"/>
    <n v="44"/>
    <x v="1"/>
    <x v="3"/>
    <x v="0"/>
    <x v="3"/>
    <s v="Married"/>
    <n v="61081"/>
    <n v="15958"/>
    <x v="12"/>
    <x v="9"/>
    <n v="2"/>
    <s v="Yes"/>
    <n v="4"/>
    <x v="35"/>
    <n v="57"/>
    <x v="1"/>
    <n v="3"/>
    <x v="0"/>
  </r>
  <r>
    <n v="10361"/>
    <n v="20"/>
    <x v="1"/>
    <x v="3"/>
    <x v="2"/>
    <x v="0"/>
    <s v="Single"/>
    <n v="14631"/>
    <n v="30836"/>
    <x v="5"/>
    <x v="8"/>
    <n v="3"/>
    <s v="Yes"/>
    <n v="4"/>
    <x v="18"/>
    <n v="28"/>
    <x v="1"/>
    <n v="2"/>
    <x v="0"/>
  </r>
  <r>
    <n v="10362"/>
    <n v="35"/>
    <x v="1"/>
    <x v="4"/>
    <x v="4"/>
    <x v="2"/>
    <s v="Married"/>
    <n v="42943"/>
    <n v="30962"/>
    <x v="16"/>
    <x v="2"/>
    <n v="2"/>
    <s v="No"/>
    <n v="3"/>
    <x v="31"/>
    <n v="30"/>
    <x v="0"/>
    <n v="2"/>
    <x v="0"/>
  </r>
  <r>
    <n v="10363"/>
    <n v="42"/>
    <x v="0"/>
    <x v="0"/>
    <x v="5"/>
    <x v="3"/>
    <s v="Married"/>
    <n v="129318"/>
    <n v="20171"/>
    <x v="22"/>
    <x v="6"/>
    <n v="4"/>
    <s v="Yes"/>
    <n v="3"/>
    <x v="1"/>
    <n v="36"/>
    <x v="3"/>
    <n v="4"/>
    <x v="0"/>
  </r>
  <r>
    <n v="10364"/>
    <n v="49"/>
    <x v="1"/>
    <x v="4"/>
    <x v="0"/>
    <x v="0"/>
    <s v="Single"/>
    <n v="66199"/>
    <n v="1752"/>
    <x v="7"/>
    <x v="9"/>
    <n v="3"/>
    <s v="Yes"/>
    <n v="3"/>
    <x v="27"/>
    <n v="47"/>
    <x v="2"/>
    <n v="3"/>
    <x v="0"/>
  </r>
  <r>
    <n v="10365"/>
    <n v="37"/>
    <x v="0"/>
    <x v="5"/>
    <x v="2"/>
    <x v="2"/>
    <s v="Married"/>
    <n v="17633"/>
    <n v="35199"/>
    <x v="23"/>
    <x v="3"/>
    <n v="1"/>
    <s v="Yes"/>
    <n v="2"/>
    <x v="21"/>
    <n v="20"/>
    <x v="0"/>
    <n v="3"/>
    <x v="0"/>
  </r>
  <r>
    <n v="10366"/>
    <n v="52"/>
    <x v="0"/>
    <x v="2"/>
    <x v="4"/>
    <x v="1"/>
    <s v="Married"/>
    <n v="25237"/>
    <n v="35310"/>
    <x v="1"/>
    <x v="12"/>
    <n v="3"/>
    <s v="Yes"/>
    <n v="4"/>
    <x v="3"/>
    <n v="20"/>
    <x v="0"/>
    <n v="3"/>
    <x v="0"/>
  </r>
  <r>
    <n v="10367"/>
    <n v="29"/>
    <x v="0"/>
    <x v="4"/>
    <x v="4"/>
    <x v="3"/>
    <s v="Divorced"/>
    <n v="33697"/>
    <n v="20104"/>
    <x v="8"/>
    <x v="6"/>
    <n v="3"/>
    <s v="No"/>
    <n v="2"/>
    <x v="6"/>
    <n v="54"/>
    <x v="3"/>
    <n v="3"/>
    <x v="0"/>
  </r>
  <r>
    <n v="10368"/>
    <n v="58"/>
    <x v="1"/>
    <x v="2"/>
    <x v="2"/>
    <x v="2"/>
    <s v="Married"/>
    <n v="15560"/>
    <n v="31345"/>
    <x v="12"/>
    <x v="4"/>
    <n v="1"/>
    <s v="No"/>
    <n v="2"/>
    <x v="28"/>
    <n v="42"/>
    <x v="2"/>
    <n v="1"/>
    <x v="0"/>
  </r>
  <r>
    <n v="10369"/>
    <n v="24"/>
    <x v="0"/>
    <x v="0"/>
    <x v="4"/>
    <x v="1"/>
    <s v="Divorced"/>
    <n v="32265"/>
    <n v="9247"/>
    <x v="21"/>
    <x v="5"/>
    <n v="3"/>
    <s v="No"/>
    <n v="3"/>
    <x v="9"/>
    <n v="34"/>
    <x v="0"/>
    <n v="1"/>
    <x v="1"/>
  </r>
  <r>
    <n v="10370"/>
    <n v="42"/>
    <x v="0"/>
    <x v="0"/>
    <x v="1"/>
    <x v="2"/>
    <s v="Single"/>
    <n v="60078"/>
    <n v="808"/>
    <x v="23"/>
    <x v="2"/>
    <n v="3"/>
    <s v="No"/>
    <n v="3"/>
    <x v="11"/>
    <n v="46"/>
    <x v="3"/>
    <n v="3"/>
    <x v="0"/>
  </r>
  <r>
    <n v="10371"/>
    <n v="22"/>
    <x v="0"/>
    <x v="3"/>
    <x v="1"/>
    <x v="1"/>
    <s v="Married"/>
    <n v="56334"/>
    <n v="6269"/>
    <x v="11"/>
    <x v="7"/>
    <n v="3"/>
    <s v="No"/>
    <n v="4"/>
    <x v="25"/>
    <n v="53"/>
    <x v="1"/>
    <n v="3"/>
    <x v="0"/>
  </r>
  <r>
    <n v="10372"/>
    <n v="41"/>
    <x v="1"/>
    <x v="2"/>
    <x v="4"/>
    <x v="2"/>
    <s v="Single"/>
    <n v="25947"/>
    <n v="16874"/>
    <x v="0"/>
    <x v="13"/>
    <n v="2"/>
    <s v="No"/>
    <n v="4"/>
    <x v="28"/>
    <n v="23"/>
    <x v="2"/>
    <n v="3"/>
    <x v="0"/>
  </r>
  <r>
    <n v="10373"/>
    <n v="38"/>
    <x v="1"/>
    <x v="5"/>
    <x v="2"/>
    <x v="2"/>
    <s v="Single"/>
    <n v="12073"/>
    <n v="12454"/>
    <x v="20"/>
    <x v="6"/>
    <n v="3"/>
    <s v="No"/>
    <n v="1"/>
    <x v="29"/>
    <n v="11"/>
    <x v="1"/>
    <n v="3"/>
    <x v="1"/>
  </r>
  <r>
    <n v="10374"/>
    <n v="34"/>
    <x v="0"/>
    <x v="2"/>
    <x v="1"/>
    <x v="3"/>
    <s v="Married"/>
    <n v="50401"/>
    <n v="47894"/>
    <x v="21"/>
    <x v="11"/>
    <n v="4"/>
    <s v="Yes"/>
    <n v="4"/>
    <x v="19"/>
    <n v="43"/>
    <x v="0"/>
    <n v="3"/>
    <x v="0"/>
  </r>
  <r>
    <n v="10375"/>
    <n v="43"/>
    <x v="1"/>
    <x v="0"/>
    <x v="4"/>
    <x v="2"/>
    <s v="Married"/>
    <n v="39385"/>
    <n v="13275"/>
    <x v="12"/>
    <x v="6"/>
    <n v="3"/>
    <s v="No"/>
    <n v="4"/>
    <x v="34"/>
    <n v="58"/>
    <x v="0"/>
    <n v="4"/>
    <x v="0"/>
  </r>
  <r>
    <n v="10376"/>
    <n v="44"/>
    <x v="1"/>
    <x v="4"/>
    <x v="1"/>
    <x v="2"/>
    <s v="Single"/>
    <n v="65934"/>
    <n v="1524"/>
    <x v="4"/>
    <x v="11"/>
    <n v="2"/>
    <s v="No"/>
    <n v="4"/>
    <x v="22"/>
    <n v="55"/>
    <x v="1"/>
    <n v="4"/>
    <x v="0"/>
  </r>
  <r>
    <n v="10377"/>
    <n v="22"/>
    <x v="0"/>
    <x v="2"/>
    <x v="2"/>
    <x v="2"/>
    <s v="Single"/>
    <n v="18895"/>
    <n v="38347"/>
    <x v="10"/>
    <x v="10"/>
    <n v="3"/>
    <s v="No"/>
    <n v="4"/>
    <x v="7"/>
    <n v="32"/>
    <x v="0"/>
    <n v="3"/>
    <x v="0"/>
  </r>
  <r>
    <n v="10378"/>
    <n v="55"/>
    <x v="1"/>
    <x v="5"/>
    <x v="4"/>
    <x v="1"/>
    <s v="Married"/>
    <n v="40383"/>
    <n v="28"/>
    <x v="19"/>
    <x v="4"/>
    <n v="1"/>
    <s v="No"/>
    <n v="4"/>
    <x v="36"/>
    <n v="14"/>
    <x v="0"/>
    <n v="1"/>
    <x v="0"/>
  </r>
  <r>
    <n v="10379"/>
    <n v="48"/>
    <x v="0"/>
    <x v="3"/>
    <x v="4"/>
    <x v="0"/>
    <s v="Married"/>
    <n v="26906"/>
    <n v="15128"/>
    <x v="7"/>
    <x v="6"/>
    <n v="2"/>
    <s v="No"/>
    <n v="4"/>
    <x v="38"/>
    <n v="27"/>
    <x v="0"/>
    <n v="1"/>
    <x v="0"/>
  </r>
  <r>
    <n v="10380"/>
    <n v="36"/>
    <x v="1"/>
    <x v="2"/>
    <x v="4"/>
    <x v="3"/>
    <s v="Single"/>
    <n v="41939"/>
    <n v="1779"/>
    <x v="19"/>
    <x v="1"/>
    <n v="4"/>
    <s v="Yes"/>
    <n v="3"/>
    <x v="29"/>
    <n v="34"/>
    <x v="0"/>
    <n v="1"/>
    <x v="0"/>
  </r>
  <r>
    <n v="10381"/>
    <n v="49"/>
    <x v="0"/>
    <x v="1"/>
    <x v="1"/>
    <x v="2"/>
    <s v="Divorced"/>
    <n v="48998"/>
    <n v="8123"/>
    <x v="9"/>
    <x v="3"/>
    <n v="3"/>
    <s v="No"/>
    <n v="1"/>
    <x v="26"/>
    <n v="43"/>
    <x v="0"/>
    <n v="3"/>
    <x v="0"/>
  </r>
  <r>
    <n v="10382"/>
    <n v="44"/>
    <x v="1"/>
    <x v="2"/>
    <x v="3"/>
    <x v="2"/>
    <s v="Married"/>
    <n v="126901"/>
    <n v="453"/>
    <x v="20"/>
    <x v="14"/>
    <n v="4"/>
    <s v="No"/>
    <n v="4"/>
    <x v="20"/>
    <n v="16"/>
    <x v="0"/>
    <n v="3"/>
    <x v="0"/>
  </r>
  <r>
    <n v="10383"/>
    <n v="22"/>
    <x v="0"/>
    <x v="2"/>
    <x v="0"/>
    <x v="2"/>
    <s v="Divorced"/>
    <n v="76230"/>
    <n v="28740"/>
    <x v="11"/>
    <x v="0"/>
    <n v="4"/>
    <s v="Yes"/>
    <n v="3"/>
    <x v="36"/>
    <n v="54"/>
    <x v="1"/>
    <n v="2"/>
    <x v="0"/>
  </r>
  <r>
    <n v="10384"/>
    <n v="28"/>
    <x v="0"/>
    <x v="2"/>
    <x v="5"/>
    <x v="0"/>
    <s v="Single"/>
    <n v="168893"/>
    <n v="10929"/>
    <x v="13"/>
    <x v="1"/>
    <n v="3"/>
    <s v="No"/>
    <n v="2"/>
    <x v="11"/>
    <n v="26"/>
    <x v="1"/>
    <n v="2"/>
    <x v="0"/>
  </r>
  <r>
    <n v="10385"/>
    <n v="48"/>
    <x v="0"/>
    <x v="5"/>
    <x v="4"/>
    <x v="3"/>
    <s v="Single"/>
    <n v="34215"/>
    <n v="25008"/>
    <x v="21"/>
    <x v="14"/>
    <n v="2"/>
    <s v="No"/>
    <n v="3"/>
    <x v="5"/>
    <n v="33"/>
    <x v="1"/>
    <n v="2"/>
    <x v="0"/>
  </r>
  <r>
    <n v="10386"/>
    <n v="37"/>
    <x v="0"/>
    <x v="5"/>
    <x v="1"/>
    <x v="2"/>
    <s v="Divorced"/>
    <n v="68328"/>
    <n v="10165"/>
    <x v="8"/>
    <x v="10"/>
    <n v="3"/>
    <s v="No"/>
    <n v="3"/>
    <x v="30"/>
    <n v="29"/>
    <x v="3"/>
    <n v="1"/>
    <x v="0"/>
  </r>
  <r>
    <n v="10387"/>
    <n v="35"/>
    <x v="1"/>
    <x v="2"/>
    <x v="4"/>
    <x v="2"/>
    <s v="Married"/>
    <n v="34980"/>
    <n v="10255"/>
    <x v="0"/>
    <x v="5"/>
    <n v="3"/>
    <s v="No"/>
    <n v="4"/>
    <x v="24"/>
    <n v="52"/>
    <x v="0"/>
    <n v="2"/>
    <x v="0"/>
  </r>
  <r>
    <n v="10388"/>
    <n v="57"/>
    <x v="0"/>
    <x v="2"/>
    <x v="0"/>
    <x v="2"/>
    <s v="Married"/>
    <n v="88251"/>
    <n v="13280"/>
    <x v="4"/>
    <x v="6"/>
    <n v="5"/>
    <s v="No"/>
    <n v="3"/>
    <x v="9"/>
    <n v="18"/>
    <x v="0"/>
    <n v="3"/>
    <x v="0"/>
  </r>
  <r>
    <n v="10389"/>
    <n v="36"/>
    <x v="1"/>
    <x v="2"/>
    <x v="1"/>
    <x v="2"/>
    <s v="Single"/>
    <n v="69348"/>
    <n v="3513"/>
    <x v="7"/>
    <x v="0"/>
    <n v="5"/>
    <s v="No"/>
    <n v="3"/>
    <x v="37"/>
    <n v="56"/>
    <x v="1"/>
    <n v="3"/>
    <x v="0"/>
  </r>
  <r>
    <n v="10390"/>
    <n v="41"/>
    <x v="1"/>
    <x v="2"/>
    <x v="1"/>
    <x v="0"/>
    <s v="Single"/>
    <n v="54107"/>
    <n v="46314"/>
    <x v="9"/>
    <x v="2"/>
    <n v="4"/>
    <s v="No"/>
    <n v="4"/>
    <x v="20"/>
    <n v="16"/>
    <x v="3"/>
    <n v="3"/>
    <x v="0"/>
  </r>
  <r>
    <n v="10391"/>
    <n v="34"/>
    <x v="0"/>
    <x v="3"/>
    <x v="3"/>
    <x v="2"/>
    <s v="Married"/>
    <n v="93435"/>
    <n v="32826"/>
    <x v="1"/>
    <x v="11"/>
    <n v="3"/>
    <s v="No"/>
    <n v="3"/>
    <x v="18"/>
    <n v="41"/>
    <x v="2"/>
    <n v="3"/>
    <x v="1"/>
  </r>
  <r>
    <n v="10392"/>
    <n v="31"/>
    <x v="0"/>
    <x v="2"/>
    <x v="1"/>
    <x v="0"/>
    <s v="Married"/>
    <n v="57682"/>
    <n v="41034"/>
    <x v="22"/>
    <x v="14"/>
    <n v="4"/>
    <s v="No"/>
    <n v="2"/>
    <x v="34"/>
    <n v="25"/>
    <x v="0"/>
    <n v="2"/>
    <x v="0"/>
  </r>
  <r>
    <n v="10393"/>
    <n v="37"/>
    <x v="0"/>
    <x v="2"/>
    <x v="4"/>
    <x v="0"/>
    <s v="Married"/>
    <n v="37388"/>
    <n v="20991"/>
    <x v="8"/>
    <x v="11"/>
    <n v="2"/>
    <s v="No"/>
    <n v="1"/>
    <x v="25"/>
    <n v="40"/>
    <x v="0"/>
    <n v="3"/>
    <x v="0"/>
  </r>
  <r>
    <n v="10394"/>
    <n v="49"/>
    <x v="1"/>
    <x v="2"/>
    <x v="1"/>
    <x v="3"/>
    <s v="Married"/>
    <n v="63653"/>
    <n v="14706"/>
    <x v="11"/>
    <x v="4"/>
    <n v="3"/>
    <s v="Yes"/>
    <n v="2"/>
    <x v="38"/>
    <n v="38"/>
    <x v="3"/>
    <n v="4"/>
    <x v="0"/>
  </r>
  <r>
    <n v="10395"/>
    <n v="59"/>
    <x v="0"/>
    <x v="2"/>
    <x v="4"/>
    <x v="3"/>
    <s v="Single"/>
    <n v="30432"/>
    <n v="48801"/>
    <x v="9"/>
    <x v="4"/>
    <n v="3"/>
    <s v="No"/>
    <n v="4"/>
    <x v="3"/>
    <n v="18"/>
    <x v="3"/>
    <n v="3"/>
    <x v="0"/>
  </r>
  <r>
    <n v="10396"/>
    <n v="52"/>
    <x v="0"/>
    <x v="2"/>
    <x v="4"/>
    <x v="3"/>
    <s v="Single"/>
    <n v="32642"/>
    <n v="19558"/>
    <x v="17"/>
    <x v="9"/>
    <n v="2"/>
    <s v="No"/>
    <n v="4"/>
    <x v="14"/>
    <n v="43"/>
    <x v="3"/>
    <n v="2"/>
    <x v="0"/>
  </r>
  <r>
    <n v="10397"/>
    <n v="44"/>
    <x v="0"/>
    <x v="2"/>
    <x v="4"/>
    <x v="2"/>
    <s v="Divorced"/>
    <n v="43385"/>
    <n v="29506"/>
    <x v="23"/>
    <x v="2"/>
    <n v="3"/>
    <s v="No"/>
    <n v="2"/>
    <x v="18"/>
    <n v="44"/>
    <x v="0"/>
    <n v="4"/>
    <x v="0"/>
  </r>
  <r>
    <n v="10398"/>
    <n v="37"/>
    <x v="0"/>
    <x v="5"/>
    <x v="2"/>
    <x v="0"/>
    <s v="Single"/>
    <n v="12105"/>
    <n v="33560"/>
    <x v="5"/>
    <x v="5"/>
    <n v="2"/>
    <s v="No"/>
    <n v="2"/>
    <x v="36"/>
    <n v="31"/>
    <x v="0"/>
    <n v="1"/>
    <x v="0"/>
  </r>
  <r>
    <n v="10399"/>
    <n v="29"/>
    <x v="0"/>
    <x v="0"/>
    <x v="1"/>
    <x v="2"/>
    <s v="Married"/>
    <n v="57270"/>
    <n v="38756"/>
    <x v="20"/>
    <x v="13"/>
    <n v="4"/>
    <s v="No"/>
    <n v="4"/>
    <x v="6"/>
    <n v="34"/>
    <x v="3"/>
    <n v="3"/>
    <x v="0"/>
  </r>
  <r>
    <n v="10400"/>
    <n v="52"/>
    <x v="0"/>
    <x v="3"/>
    <x v="3"/>
    <x v="3"/>
    <s v="Single"/>
    <n v="112372"/>
    <n v="40039"/>
    <x v="13"/>
    <x v="10"/>
    <n v="3"/>
    <s v="Yes"/>
    <n v="3"/>
    <x v="37"/>
    <n v="9"/>
    <x v="0"/>
    <n v="1"/>
    <x v="0"/>
  </r>
  <r>
    <n v="10401"/>
    <n v="39"/>
    <x v="0"/>
    <x v="4"/>
    <x v="1"/>
    <x v="2"/>
    <s v="Single"/>
    <n v="46777"/>
    <n v="41661"/>
    <x v="4"/>
    <x v="5"/>
    <n v="4"/>
    <s v="No"/>
    <n v="4"/>
    <x v="10"/>
    <n v="43"/>
    <x v="3"/>
    <n v="3"/>
    <x v="0"/>
  </r>
  <r>
    <n v="10402"/>
    <n v="34"/>
    <x v="1"/>
    <x v="5"/>
    <x v="1"/>
    <x v="3"/>
    <s v="Single"/>
    <n v="46831"/>
    <n v="36526"/>
    <x v="2"/>
    <x v="12"/>
    <n v="4"/>
    <s v="No"/>
    <n v="3"/>
    <x v="6"/>
    <n v="17"/>
    <x v="0"/>
    <n v="3"/>
    <x v="0"/>
  </r>
  <r>
    <n v="10403"/>
    <n v="27"/>
    <x v="0"/>
    <x v="3"/>
    <x v="0"/>
    <x v="0"/>
    <s v="Divorced"/>
    <n v="76448"/>
    <n v="35010"/>
    <x v="9"/>
    <x v="1"/>
    <n v="4"/>
    <s v="No"/>
    <n v="4"/>
    <x v="24"/>
    <n v="43"/>
    <x v="2"/>
    <n v="3"/>
    <x v="0"/>
  </r>
  <r>
    <n v="10404"/>
    <n v="54"/>
    <x v="0"/>
    <x v="2"/>
    <x v="1"/>
    <x v="2"/>
    <s v="Married"/>
    <n v="68804"/>
    <n v="36074"/>
    <x v="4"/>
    <x v="12"/>
    <n v="4"/>
    <s v="No"/>
    <n v="3"/>
    <x v="13"/>
    <n v="33"/>
    <x v="1"/>
    <n v="4"/>
    <x v="0"/>
  </r>
  <r>
    <n v="10405"/>
    <n v="53"/>
    <x v="0"/>
    <x v="2"/>
    <x v="4"/>
    <x v="3"/>
    <s v="Married"/>
    <n v="35471"/>
    <n v="15651"/>
    <x v="14"/>
    <x v="0"/>
    <n v="5"/>
    <s v="No"/>
    <n v="3"/>
    <x v="14"/>
    <n v="31"/>
    <x v="3"/>
    <n v="3"/>
    <x v="0"/>
  </r>
  <r>
    <n v="10406"/>
    <n v="33"/>
    <x v="0"/>
    <x v="4"/>
    <x v="5"/>
    <x v="2"/>
    <s v="Single"/>
    <n v="133334"/>
    <n v="26708"/>
    <x v="13"/>
    <x v="2"/>
    <n v="5"/>
    <s v="Yes"/>
    <n v="2"/>
    <x v="19"/>
    <n v="32"/>
    <x v="3"/>
    <n v="3"/>
    <x v="0"/>
  </r>
  <r>
    <n v="10407"/>
    <n v="56"/>
    <x v="1"/>
    <x v="3"/>
    <x v="0"/>
    <x v="3"/>
    <s v="Single"/>
    <n v="72349"/>
    <n v="33159"/>
    <x v="8"/>
    <x v="12"/>
    <n v="4"/>
    <s v="No"/>
    <n v="4"/>
    <x v="7"/>
    <n v="52"/>
    <x v="3"/>
    <n v="3"/>
    <x v="0"/>
  </r>
  <r>
    <n v="10408"/>
    <n v="35"/>
    <x v="0"/>
    <x v="1"/>
    <x v="1"/>
    <x v="3"/>
    <s v="Single"/>
    <n v="51163"/>
    <n v="26149"/>
    <x v="15"/>
    <x v="8"/>
    <n v="5"/>
    <s v="Yes"/>
    <n v="3"/>
    <x v="25"/>
    <n v="59"/>
    <x v="3"/>
    <n v="2"/>
    <x v="0"/>
  </r>
  <r>
    <n v="10409"/>
    <n v="25"/>
    <x v="0"/>
    <x v="2"/>
    <x v="4"/>
    <x v="1"/>
    <s v="Married"/>
    <n v="33593"/>
    <n v="44194"/>
    <x v="6"/>
    <x v="4"/>
    <n v="3"/>
    <s v="Yes"/>
    <n v="4"/>
    <x v="36"/>
    <n v="12"/>
    <x v="3"/>
    <n v="3"/>
    <x v="0"/>
  </r>
  <r>
    <n v="10410"/>
    <n v="47"/>
    <x v="0"/>
    <x v="4"/>
    <x v="0"/>
    <x v="2"/>
    <s v="Married"/>
    <n v="75992"/>
    <n v="47752"/>
    <x v="7"/>
    <x v="4"/>
    <n v="3"/>
    <s v="Yes"/>
    <n v="4"/>
    <x v="5"/>
    <n v="43"/>
    <x v="0"/>
    <n v="1"/>
    <x v="0"/>
  </r>
  <r>
    <n v="10411"/>
    <n v="26"/>
    <x v="1"/>
    <x v="1"/>
    <x v="1"/>
    <x v="0"/>
    <s v="Single"/>
    <n v="46963"/>
    <n v="38934"/>
    <x v="2"/>
    <x v="0"/>
    <n v="2"/>
    <s v="No"/>
    <n v="3"/>
    <x v="38"/>
    <n v="24"/>
    <x v="3"/>
    <n v="2"/>
    <x v="0"/>
  </r>
  <r>
    <n v="10412"/>
    <n v="46"/>
    <x v="0"/>
    <x v="2"/>
    <x v="3"/>
    <x v="0"/>
    <s v="Divorced"/>
    <n v="105187"/>
    <n v="39139"/>
    <x v="4"/>
    <x v="9"/>
    <n v="3"/>
    <s v="No"/>
    <n v="3"/>
    <x v="22"/>
    <n v="40"/>
    <x v="3"/>
    <n v="3"/>
    <x v="0"/>
  </r>
  <r>
    <n v="10413"/>
    <n v="38"/>
    <x v="0"/>
    <x v="2"/>
    <x v="4"/>
    <x v="1"/>
    <s v="Single"/>
    <n v="35833"/>
    <n v="48367"/>
    <x v="24"/>
    <x v="12"/>
    <n v="3"/>
    <s v="No"/>
    <n v="4"/>
    <x v="25"/>
    <n v="49"/>
    <x v="0"/>
    <n v="2"/>
    <x v="0"/>
  </r>
  <r>
    <n v="10414"/>
    <n v="26"/>
    <x v="1"/>
    <x v="0"/>
    <x v="5"/>
    <x v="2"/>
    <s v="Married"/>
    <n v="165591"/>
    <n v="14429"/>
    <x v="22"/>
    <x v="6"/>
    <n v="5"/>
    <s v="No"/>
    <n v="1"/>
    <x v="4"/>
    <n v="8"/>
    <x v="0"/>
    <n v="3"/>
    <x v="0"/>
  </r>
  <r>
    <n v="10415"/>
    <n v="53"/>
    <x v="1"/>
    <x v="1"/>
    <x v="0"/>
    <x v="3"/>
    <s v="Married"/>
    <n v="77487"/>
    <n v="29823"/>
    <x v="13"/>
    <x v="2"/>
    <n v="4"/>
    <s v="No"/>
    <n v="1"/>
    <x v="8"/>
    <n v="8"/>
    <x v="0"/>
    <n v="2"/>
    <x v="1"/>
  </r>
  <r>
    <n v="10416"/>
    <n v="57"/>
    <x v="1"/>
    <x v="5"/>
    <x v="2"/>
    <x v="2"/>
    <s v="Married"/>
    <n v="15755"/>
    <n v="19965"/>
    <x v="9"/>
    <x v="0"/>
    <n v="3"/>
    <s v="No"/>
    <n v="4"/>
    <x v="20"/>
    <n v="10"/>
    <x v="3"/>
    <n v="3"/>
    <x v="0"/>
  </r>
  <r>
    <n v="10417"/>
    <n v="47"/>
    <x v="1"/>
    <x v="2"/>
    <x v="1"/>
    <x v="2"/>
    <s v="Divorced"/>
    <n v="48896"/>
    <n v="38014"/>
    <x v="21"/>
    <x v="10"/>
    <n v="3"/>
    <s v="No"/>
    <n v="4"/>
    <x v="33"/>
    <n v="17"/>
    <x v="3"/>
    <n v="3"/>
    <x v="0"/>
  </r>
  <r>
    <n v="10418"/>
    <n v="45"/>
    <x v="0"/>
    <x v="2"/>
    <x v="2"/>
    <x v="2"/>
    <s v="Single"/>
    <n v="10604"/>
    <n v="23704"/>
    <x v="6"/>
    <x v="3"/>
    <n v="3"/>
    <s v="Yes"/>
    <n v="4"/>
    <x v="12"/>
    <n v="17"/>
    <x v="1"/>
    <n v="3"/>
    <x v="0"/>
  </r>
  <r>
    <n v="10419"/>
    <n v="40"/>
    <x v="1"/>
    <x v="2"/>
    <x v="1"/>
    <x v="1"/>
    <s v="Married"/>
    <n v="62463"/>
    <n v="45687"/>
    <x v="5"/>
    <x v="8"/>
    <n v="3"/>
    <s v="No"/>
    <n v="4"/>
    <x v="13"/>
    <n v="6"/>
    <x v="3"/>
    <n v="3"/>
    <x v="0"/>
  </r>
  <r>
    <n v="10420"/>
    <n v="33"/>
    <x v="0"/>
    <x v="2"/>
    <x v="1"/>
    <x v="2"/>
    <s v="Single"/>
    <n v="53780"/>
    <n v="26205"/>
    <x v="19"/>
    <x v="2"/>
    <n v="2"/>
    <s v="Yes"/>
    <n v="4"/>
    <x v="21"/>
    <n v="44"/>
    <x v="3"/>
    <n v="3"/>
    <x v="0"/>
  </r>
  <r>
    <n v="10421"/>
    <n v="25"/>
    <x v="0"/>
    <x v="3"/>
    <x v="3"/>
    <x v="3"/>
    <s v="Married"/>
    <n v="102489"/>
    <n v="2934"/>
    <x v="4"/>
    <x v="11"/>
    <n v="4"/>
    <s v="No"/>
    <n v="1"/>
    <x v="35"/>
    <n v="54"/>
    <x v="1"/>
    <n v="3"/>
    <x v="0"/>
  </r>
  <r>
    <n v="10422"/>
    <n v="25"/>
    <x v="0"/>
    <x v="2"/>
    <x v="1"/>
    <x v="2"/>
    <s v="Married"/>
    <n v="59511"/>
    <n v="5435"/>
    <x v="2"/>
    <x v="12"/>
    <n v="3"/>
    <s v="Yes"/>
    <n v="3"/>
    <x v="8"/>
    <n v="11"/>
    <x v="0"/>
    <n v="3"/>
    <x v="0"/>
  </r>
  <r>
    <n v="10423"/>
    <n v="50"/>
    <x v="0"/>
    <x v="2"/>
    <x v="1"/>
    <x v="2"/>
    <s v="Single"/>
    <n v="50783"/>
    <n v="23227"/>
    <x v="6"/>
    <x v="4"/>
    <n v="3"/>
    <s v="No"/>
    <n v="3"/>
    <x v="18"/>
    <n v="19"/>
    <x v="0"/>
    <n v="2"/>
    <x v="0"/>
  </r>
  <r>
    <n v="10424"/>
    <n v="43"/>
    <x v="0"/>
    <x v="3"/>
    <x v="3"/>
    <x v="2"/>
    <s v="Married"/>
    <n v="111390"/>
    <n v="42026"/>
    <x v="22"/>
    <x v="4"/>
    <n v="2"/>
    <s v="No"/>
    <n v="3"/>
    <x v="33"/>
    <n v="23"/>
    <x v="3"/>
    <n v="2"/>
    <x v="0"/>
  </r>
  <r>
    <n v="10425"/>
    <n v="20"/>
    <x v="1"/>
    <x v="3"/>
    <x v="0"/>
    <x v="0"/>
    <s v="Single"/>
    <n v="77173"/>
    <n v="38157"/>
    <x v="3"/>
    <x v="7"/>
    <n v="1"/>
    <s v="No"/>
    <n v="3"/>
    <x v="36"/>
    <n v="28"/>
    <x v="0"/>
    <n v="3"/>
    <x v="0"/>
  </r>
  <r>
    <n v="10426"/>
    <n v="48"/>
    <x v="1"/>
    <x v="5"/>
    <x v="4"/>
    <x v="2"/>
    <s v="Single"/>
    <n v="39922"/>
    <n v="29990"/>
    <x v="12"/>
    <x v="1"/>
    <n v="3"/>
    <s v="No"/>
    <n v="4"/>
    <x v="5"/>
    <n v="16"/>
    <x v="3"/>
    <n v="3"/>
    <x v="0"/>
  </r>
  <r>
    <n v="10427"/>
    <n v="21"/>
    <x v="0"/>
    <x v="5"/>
    <x v="0"/>
    <x v="2"/>
    <s v="Single"/>
    <n v="60055"/>
    <n v="33734"/>
    <x v="5"/>
    <x v="11"/>
    <n v="3"/>
    <s v="No"/>
    <n v="4"/>
    <x v="15"/>
    <n v="24"/>
    <x v="0"/>
    <n v="3"/>
    <x v="0"/>
  </r>
  <r>
    <n v="10428"/>
    <n v="58"/>
    <x v="1"/>
    <x v="3"/>
    <x v="2"/>
    <x v="2"/>
    <s v="Single"/>
    <n v="10145"/>
    <n v="29309"/>
    <x v="17"/>
    <x v="3"/>
    <n v="3"/>
    <s v="No"/>
    <n v="4"/>
    <x v="8"/>
    <n v="23"/>
    <x v="3"/>
    <n v="3"/>
    <x v="0"/>
  </r>
  <r>
    <n v="10429"/>
    <n v="49"/>
    <x v="0"/>
    <x v="2"/>
    <x v="0"/>
    <x v="2"/>
    <s v="Single"/>
    <n v="68572"/>
    <n v="43209"/>
    <x v="11"/>
    <x v="0"/>
    <n v="2"/>
    <s v="No"/>
    <n v="4"/>
    <x v="3"/>
    <n v="28"/>
    <x v="3"/>
    <n v="4"/>
    <x v="1"/>
  </r>
  <r>
    <n v="10430"/>
    <n v="40"/>
    <x v="0"/>
    <x v="2"/>
    <x v="1"/>
    <x v="2"/>
    <s v="Married"/>
    <n v="69188"/>
    <n v="47074"/>
    <x v="14"/>
    <x v="7"/>
    <n v="3"/>
    <s v="No"/>
    <n v="3"/>
    <x v="1"/>
    <n v="27"/>
    <x v="3"/>
    <n v="4"/>
    <x v="0"/>
  </r>
  <r>
    <n v="10431"/>
    <n v="25"/>
    <x v="0"/>
    <x v="2"/>
    <x v="3"/>
    <x v="0"/>
    <s v="Divorced"/>
    <n v="97036"/>
    <n v="35901"/>
    <x v="2"/>
    <x v="12"/>
    <n v="3"/>
    <s v="No"/>
    <n v="3"/>
    <x v="12"/>
    <n v="32"/>
    <x v="1"/>
    <n v="4"/>
    <x v="0"/>
  </r>
  <r>
    <n v="10432"/>
    <n v="37"/>
    <x v="0"/>
    <x v="2"/>
    <x v="0"/>
    <x v="2"/>
    <s v="Single"/>
    <n v="61124"/>
    <n v="23296"/>
    <x v="22"/>
    <x v="7"/>
    <n v="3"/>
    <s v="Yes"/>
    <n v="4"/>
    <x v="32"/>
    <n v="27"/>
    <x v="0"/>
    <n v="4"/>
    <x v="0"/>
  </r>
  <r>
    <n v="10433"/>
    <n v="20"/>
    <x v="0"/>
    <x v="5"/>
    <x v="1"/>
    <x v="2"/>
    <s v="Single"/>
    <n v="55067"/>
    <n v="33307"/>
    <x v="4"/>
    <x v="8"/>
    <n v="2"/>
    <s v="No"/>
    <n v="1"/>
    <x v="18"/>
    <n v="32"/>
    <x v="0"/>
    <n v="2"/>
    <x v="0"/>
  </r>
  <r>
    <n v="10434"/>
    <n v="32"/>
    <x v="0"/>
    <x v="4"/>
    <x v="0"/>
    <x v="2"/>
    <s v="Married"/>
    <n v="72809"/>
    <n v="40477"/>
    <x v="8"/>
    <x v="11"/>
    <n v="4"/>
    <s v="No"/>
    <n v="2"/>
    <x v="2"/>
    <n v="40"/>
    <x v="3"/>
    <n v="4"/>
    <x v="0"/>
  </r>
  <r>
    <n v="10435"/>
    <n v="41"/>
    <x v="0"/>
    <x v="5"/>
    <x v="1"/>
    <x v="2"/>
    <s v="Married"/>
    <n v="53234"/>
    <n v="32449"/>
    <x v="12"/>
    <x v="1"/>
    <n v="5"/>
    <s v="No"/>
    <n v="4"/>
    <x v="31"/>
    <n v="57"/>
    <x v="3"/>
    <n v="2"/>
    <x v="0"/>
  </r>
  <r>
    <n v="10436"/>
    <n v="39"/>
    <x v="0"/>
    <x v="1"/>
    <x v="1"/>
    <x v="3"/>
    <s v="Single"/>
    <n v="51772"/>
    <n v="2889"/>
    <x v="6"/>
    <x v="9"/>
    <n v="3"/>
    <s v="No"/>
    <n v="3"/>
    <x v="2"/>
    <n v="10"/>
    <x v="2"/>
    <n v="1"/>
    <x v="1"/>
  </r>
  <r>
    <n v="10437"/>
    <n v="48"/>
    <x v="1"/>
    <x v="2"/>
    <x v="3"/>
    <x v="2"/>
    <s v="Single"/>
    <n v="121472"/>
    <n v="44135"/>
    <x v="9"/>
    <x v="3"/>
    <n v="2"/>
    <s v="No"/>
    <n v="4"/>
    <x v="9"/>
    <n v="46"/>
    <x v="1"/>
    <n v="3"/>
    <x v="0"/>
  </r>
  <r>
    <n v="10438"/>
    <n v="32"/>
    <x v="0"/>
    <x v="2"/>
    <x v="4"/>
    <x v="3"/>
    <s v="Single"/>
    <n v="33859"/>
    <n v="27105"/>
    <x v="0"/>
    <x v="11"/>
    <n v="3"/>
    <s v="Yes"/>
    <n v="2"/>
    <x v="14"/>
    <n v="41"/>
    <x v="1"/>
    <n v="3"/>
    <x v="0"/>
  </r>
  <r>
    <n v="10439"/>
    <n v="36"/>
    <x v="0"/>
    <x v="2"/>
    <x v="1"/>
    <x v="0"/>
    <s v="Married"/>
    <n v="47317"/>
    <n v="48380"/>
    <x v="20"/>
    <x v="10"/>
    <n v="3"/>
    <s v="No"/>
    <n v="4"/>
    <x v="17"/>
    <n v="44"/>
    <x v="1"/>
    <n v="1"/>
    <x v="0"/>
  </r>
  <r>
    <n v="10440"/>
    <n v="22"/>
    <x v="0"/>
    <x v="2"/>
    <x v="4"/>
    <x v="2"/>
    <s v="Single"/>
    <n v="41091"/>
    <n v="30160"/>
    <x v="3"/>
    <x v="6"/>
    <n v="4"/>
    <s v="No"/>
    <n v="4"/>
    <x v="25"/>
    <n v="41"/>
    <x v="0"/>
    <n v="1"/>
    <x v="0"/>
  </r>
  <r>
    <n v="10441"/>
    <n v="59"/>
    <x v="1"/>
    <x v="1"/>
    <x v="4"/>
    <x v="0"/>
    <s v="Married"/>
    <n v="32171"/>
    <n v="45615"/>
    <x v="7"/>
    <x v="11"/>
    <n v="3"/>
    <s v="No"/>
    <n v="3"/>
    <x v="19"/>
    <n v="13"/>
    <x v="3"/>
    <n v="2"/>
    <x v="0"/>
  </r>
  <r>
    <n v="10442"/>
    <n v="38"/>
    <x v="1"/>
    <x v="2"/>
    <x v="3"/>
    <x v="0"/>
    <s v="Single"/>
    <n v="129462"/>
    <n v="11340"/>
    <x v="15"/>
    <x v="13"/>
    <n v="3"/>
    <s v="Yes"/>
    <n v="4"/>
    <x v="13"/>
    <n v="18"/>
    <x v="0"/>
    <n v="3"/>
    <x v="0"/>
  </r>
  <r>
    <n v="10443"/>
    <n v="35"/>
    <x v="0"/>
    <x v="2"/>
    <x v="0"/>
    <x v="3"/>
    <s v="Married"/>
    <n v="70892"/>
    <n v="43271"/>
    <x v="5"/>
    <x v="10"/>
    <n v="3"/>
    <s v="No"/>
    <n v="3"/>
    <x v="13"/>
    <n v="34"/>
    <x v="3"/>
    <n v="4"/>
    <x v="0"/>
  </r>
  <r>
    <n v="10444"/>
    <n v="26"/>
    <x v="0"/>
    <x v="3"/>
    <x v="4"/>
    <x v="0"/>
    <s v="Single"/>
    <n v="41172"/>
    <n v="30783"/>
    <x v="18"/>
    <x v="5"/>
    <n v="3"/>
    <s v="No"/>
    <n v="3"/>
    <x v="17"/>
    <n v="29"/>
    <x v="0"/>
    <n v="2"/>
    <x v="0"/>
  </r>
  <r>
    <n v="10445"/>
    <n v="42"/>
    <x v="0"/>
    <x v="2"/>
    <x v="1"/>
    <x v="3"/>
    <s v="Single"/>
    <n v="59893"/>
    <n v="34311"/>
    <x v="7"/>
    <x v="4"/>
    <n v="1"/>
    <s v="No"/>
    <n v="2"/>
    <x v="34"/>
    <n v="7"/>
    <x v="0"/>
    <n v="1"/>
    <x v="0"/>
  </r>
  <r>
    <n v="10446"/>
    <n v="20"/>
    <x v="1"/>
    <x v="1"/>
    <x v="0"/>
    <x v="0"/>
    <s v="Single"/>
    <n v="64144"/>
    <n v="34416"/>
    <x v="10"/>
    <x v="3"/>
    <n v="3"/>
    <s v="No"/>
    <n v="3"/>
    <x v="16"/>
    <n v="59"/>
    <x v="3"/>
    <n v="2"/>
    <x v="0"/>
  </r>
  <r>
    <n v="10447"/>
    <n v="40"/>
    <x v="0"/>
    <x v="2"/>
    <x v="0"/>
    <x v="0"/>
    <s v="Divorced"/>
    <n v="62689"/>
    <n v="11162"/>
    <x v="1"/>
    <x v="12"/>
    <n v="3"/>
    <s v="No"/>
    <n v="3"/>
    <x v="15"/>
    <n v="17"/>
    <x v="3"/>
    <n v="3"/>
    <x v="0"/>
  </r>
  <r>
    <n v="10448"/>
    <n v="29"/>
    <x v="0"/>
    <x v="4"/>
    <x v="5"/>
    <x v="2"/>
    <s v="Married"/>
    <n v="148067"/>
    <n v="25964"/>
    <x v="23"/>
    <x v="11"/>
    <n v="4"/>
    <s v="No"/>
    <n v="3"/>
    <x v="16"/>
    <n v="24"/>
    <x v="2"/>
    <n v="2"/>
    <x v="0"/>
  </r>
  <r>
    <n v="10449"/>
    <n v="51"/>
    <x v="0"/>
    <x v="3"/>
    <x v="2"/>
    <x v="0"/>
    <s v="Single"/>
    <n v="19304"/>
    <n v="28952"/>
    <x v="0"/>
    <x v="7"/>
    <n v="3"/>
    <s v="No"/>
    <n v="3"/>
    <x v="0"/>
    <n v="54"/>
    <x v="0"/>
    <n v="4"/>
    <x v="0"/>
  </r>
  <r>
    <n v="10450"/>
    <n v="35"/>
    <x v="0"/>
    <x v="4"/>
    <x v="1"/>
    <x v="3"/>
    <s v="Single"/>
    <n v="66337"/>
    <n v="21686"/>
    <x v="17"/>
    <x v="10"/>
    <n v="3"/>
    <s v="No"/>
    <n v="4"/>
    <x v="29"/>
    <n v="53"/>
    <x v="1"/>
    <n v="1"/>
    <x v="0"/>
  </r>
  <r>
    <n v="10451"/>
    <n v="51"/>
    <x v="1"/>
    <x v="2"/>
    <x v="4"/>
    <x v="3"/>
    <s v="Married"/>
    <n v="33515"/>
    <n v="48230"/>
    <x v="4"/>
    <x v="12"/>
    <n v="3"/>
    <s v="No"/>
    <n v="3"/>
    <x v="27"/>
    <n v="49"/>
    <x v="0"/>
    <n v="3"/>
    <x v="0"/>
  </r>
  <r>
    <n v="10452"/>
    <n v="20"/>
    <x v="0"/>
    <x v="3"/>
    <x v="2"/>
    <x v="0"/>
    <s v="Single"/>
    <n v="19267"/>
    <n v="48356"/>
    <x v="24"/>
    <x v="2"/>
    <n v="3"/>
    <s v="No"/>
    <n v="1"/>
    <x v="5"/>
    <n v="48"/>
    <x v="0"/>
    <n v="4"/>
    <x v="1"/>
  </r>
  <r>
    <n v="10453"/>
    <n v="58"/>
    <x v="0"/>
    <x v="2"/>
    <x v="1"/>
    <x v="3"/>
    <s v="Single"/>
    <n v="52689"/>
    <n v="44098"/>
    <x v="24"/>
    <x v="11"/>
    <n v="2"/>
    <s v="No"/>
    <n v="4"/>
    <x v="2"/>
    <n v="51"/>
    <x v="3"/>
    <n v="1"/>
    <x v="0"/>
  </r>
  <r>
    <n v="10454"/>
    <n v="45"/>
    <x v="0"/>
    <x v="3"/>
    <x v="3"/>
    <x v="2"/>
    <s v="Single"/>
    <n v="128699"/>
    <n v="27632"/>
    <x v="14"/>
    <x v="5"/>
    <n v="2"/>
    <s v="No"/>
    <n v="4"/>
    <x v="10"/>
    <n v="10"/>
    <x v="0"/>
    <n v="3"/>
    <x v="1"/>
  </r>
  <r>
    <n v="10455"/>
    <n v="32"/>
    <x v="1"/>
    <x v="5"/>
    <x v="3"/>
    <x v="3"/>
    <s v="Married"/>
    <n v="104110"/>
    <n v="12638"/>
    <x v="5"/>
    <x v="13"/>
    <n v="5"/>
    <s v="No"/>
    <n v="4"/>
    <x v="35"/>
    <n v="49"/>
    <x v="0"/>
    <n v="1"/>
    <x v="0"/>
  </r>
  <r>
    <n v="10456"/>
    <n v="33"/>
    <x v="0"/>
    <x v="2"/>
    <x v="4"/>
    <x v="2"/>
    <s v="Single"/>
    <n v="41865"/>
    <n v="6533"/>
    <x v="5"/>
    <x v="14"/>
    <n v="3"/>
    <s v="No"/>
    <n v="3"/>
    <x v="14"/>
    <n v="59"/>
    <x v="1"/>
    <n v="3"/>
    <x v="0"/>
  </r>
  <r>
    <n v="10457"/>
    <n v="32"/>
    <x v="0"/>
    <x v="3"/>
    <x v="4"/>
    <x v="3"/>
    <s v="Single"/>
    <n v="40545"/>
    <n v="148"/>
    <x v="1"/>
    <x v="0"/>
    <n v="3"/>
    <s v="No"/>
    <n v="4"/>
    <x v="24"/>
    <n v="46"/>
    <x v="1"/>
    <n v="2"/>
    <x v="0"/>
  </r>
  <r>
    <n v="10458"/>
    <n v="21"/>
    <x v="0"/>
    <x v="1"/>
    <x v="4"/>
    <x v="2"/>
    <s v="Married"/>
    <n v="36672"/>
    <n v="25287"/>
    <x v="19"/>
    <x v="11"/>
    <n v="3"/>
    <s v="No"/>
    <n v="2"/>
    <x v="8"/>
    <n v="7"/>
    <x v="3"/>
    <n v="3"/>
    <x v="0"/>
  </r>
  <r>
    <n v="10459"/>
    <n v="57"/>
    <x v="1"/>
    <x v="2"/>
    <x v="3"/>
    <x v="0"/>
    <s v="Divorced"/>
    <n v="105321"/>
    <n v="4893"/>
    <x v="10"/>
    <x v="3"/>
    <n v="3"/>
    <s v="No"/>
    <n v="3"/>
    <x v="8"/>
    <n v="28"/>
    <x v="3"/>
    <n v="4"/>
    <x v="0"/>
  </r>
  <r>
    <n v="10460"/>
    <n v="26"/>
    <x v="1"/>
    <x v="5"/>
    <x v="3"/>
    <x v="3"/>
    <s v="Divorced"/>
    <n v="123092"/>
    <n v="44653"/>
    <x v="13"/>
    <x v="11"/>
    <n v="3"/>
    <s v="No"/>
    <n v="2"/>
    <x v="6"/>
    <n v="13"/>
    <x v="3"/>
    <n v="3"/>
    <x v="0"/>
  </r>
  <r>
    <n v="10461"/>
    <n v="28"/>
    <x v="0"/>
    <x v="3"/>
    <x v="0"/>
    <x v="3"/>
    <s v="Single"/>
    <n v="71878"/>
    <n v="7928"/>
    <x v="19"/>
    <x v="4"/>
    <n v="4"/>
    <s v="No"/>
    <n v="2"/>
    <x v="27"/>
    <n v="18"/>
    <x v="2"/>
    <n v="4"/>
    <x v="1"/>
  </r>
  <r>
    <n v="10462"/>
    <n v="20"/>
    <x v="0"/>
    <x v="2"/>
    <x v="4"/>
    <x v="3"/>
    <s v="Married"/>
    <n v="28006"/>
    <n v="14080"/>
    <x v="9"/>
    <x v="13"/>
    <n v="5"/>
    <s v="No"/>
    <n v="1"/>
    <x v="21"/>
    <n v="40"/>
    <x v="1"/>
    <n v="4"/>
    <x v="1"/>
  </r>
  <r>
    <n v="10463"/>
    <n v="32"/>
    <x v="1"/>
    <x v="1"/>
    <x v="0"/>
    <x v="2"/>
    <s v="Married"/>
    <n v="89056"/>
    <n v="13092"/>
    <x v="17"/>
    <x v="11"/>
    <n v="3"/>
    <s v="No"/>
    <n v="3"/>
    <x v="11"/>
    <n v="40"/>
    <x v="0"/>
    <n v="1"/>
    <x v="0"/>
  </r>
  <r>
    <n v="10464"/>
    <n v="52"/>
    <x v="0"/>
    <x v="2"/>
    <x v="4"/>
    <x v="2"/>
    <s v="Single"/>
    <n v="25256"/>
    <n v="48698"/>
    <x v="21"/>
    <x v="7"/>
    <n v="3"/>
    <s v="No"/>
    <n v="3"/>
    <x v="10"/>
    <n v="53"/>
    <x v="3"/>
    <n v="4"/>
    <x v="0"/>
  </r>
  <r>
    <n v="10465"/>
    <n v="22"/>
    <x v="0"/>
    <x v="5"/>
    <x v="2"/>
    <x v="0"/>
    <s v="Married"/>
    <n v="10256"/>
    <n v="2460"/>
    <x v="24"/>
    <x v="13"/>
    <n v="4"/>
    <s v="No"/>
    <n v="1"/>
    <x v="21"/>
    <n v="53"/>
    <x v="2"/>
    <n v="1"/>
    <x v="1"/>
  </r>
  <r>
    <n v="10466"/>
    <n v="34"/>
    <x v="1"/>
    <x v="1"/>
    <x v="4"/>
    <x v="3"/>
    <s v="Single"/>
    <n v="32345"/>
    <n v="8983"/>
    <x v="16"/>
    <x v="5"/>
    <n v="2"/>
    <s v="No"/>
    <n v="4"/>
    <x v="25"/>
    <n v="21"/>
    <x v="1"/>
    <n v="3"/>
    <x v="0"/>
  </r>
  <r>
    <n v="10467"/>
    <n v="46"/>
    <x v="1"/>
    <x v="0"/>
    <x v="0"/>
    <x v="0"/>
    <s v="Married"/>
    <n v="62108"/>
    <n v="29672"/>
    <x v="13"/>
    <x v="10"/>
    <n v="3"/>
    <s v="No"/>
    <n v="2"/>
    <x v="1"/>
    <n v="8"/>
    <x v="3"/>
    <n v="2"/>
    <x v="0"/>
  </r>
  <r>
    <n v="10468"/>
    <n v="36"/>
    <x v="0"/>
    <x v="3"/>
    <x v="3"/>
    <x v="2"/>
    <s v="Single"/>
    <n v="91845"/>
    <n v="42856"/>
    <x v="18"/>
    <x v="4"/>
    <n v="3"/>
    <s v="No"/>
    <n v="3"/>
    <x v="4"/>
    <n v="8"/>
    <x v="0"/>
    <n v="2"/>
    <x v="0"/>
  </r>
  <r>
    <n v="10469"/>
    <n v="47"/>
    <x v="0"/>
    <x v="1"/>
    <x v="0"/>
    <x v="2"/>
    <s v="Married"/>
    <n v="84217"/>
    <n v="26020"/>
    <x v="6"/>
    <x v="6"/>
    <n v="4"/>
    <s v="Yes"/>
    <n v="4"/>
    <x v="18"/>
    <n v="20"/>
    <x v="1"/>
    <n v="4"/>
    <x v="0"/>
  </r>
  <r>
    <n v="10470"/>
    <n v="43"/>
    <x v="0"/>
    <x v="3"/>
    <x v="2"/>
    <x v="2"/>
    <s v="Single"/>
    <n v="11848"/>
    <n v="17682"/>
    <x v="22"/>
    <x v="14"/>
    <n v="3"/>
    <s v="No"/>
    <n v="4"/>
    <x v="29"/>
    <n v="6"/>
    <x v="1"/>
    <n v="3"/>
    <x v="0"/>
  </r>
  <r>
    <n v="10471"/>
    <n v="50"/>
    <x v="0"/>
    <x v="2"/>
    <x v="5"/>
    <x v="0"/>
    <s v="Married"/>
    <n v="165439"/>
    <n v="12334"/>
    <x v="2"/>
    <x v="1"/>
    <n v="4"/>
    <s v="No"/>
    <n v="2"/>
    <x v="9"/>
    <n v="10"/>
    <x v="3"/>
    <n v="3"/>
    <x v="0"/>
  </r>
  <r>
    <n v="10472"/>
    <n v="55"/>
    <x v="0"/>
    <x v="2"/>
    <x v="4"/>
    <x v="2"/>
    <s v="Single"/>
    <n v="34156"/>
    <n v="41616"/>
    <x v="22"/>
    <x v="9"/>
    <n v="3"/>
    <s v="No"/>
    <n v="3"/>
    <x v="20"/>
    <n v="25"/>
    <x v="0"/>
    <n v="3"/>
    <x v="0"/>
  </r>
  <r>
    <n v="10473"/>
    <n v="47"/>
    <x v="1"/>
    <x v="5"/>
    <x v="4"/>
    <x v="2"/>
    <s v="Married"/>
    <n v="28022"/>
    <n v="9475"/>
    <x v="17"/>
    <x v="6"/>
    <n v="4"/>
    <s v="Yes"/>
    <n v="3"/>
    <x v="29"/>
    <n v="22"/>
    <x v="1"/>
    <n v="2"/>
    <x v="1"/>
  </r>
  <r>
    <n v="10474"/>
    <n v="48"/>
    <x v="0"/>
    <x v="2"/>
    <x v="0"/>
    <x v="0"/>
    <s v="Single"/>
    <n v="67234"/>
    <n v="9180"/>
    <x v="3"/>
    <x v="6"/>
    <n v="2"/>
    <s v="No"/>
    <n v="3"/>
    <x v="23"/>
    <n v="27"/>
    <x v="1"/>
    <n v="3"/>
    <x v="0"/>
  </r>
  <r>
    <n v="10475"/>
    <n v="43"/>
    <x v="0"/>
    <x v="2"/>
    <x v="4"/>
    <x v="2"/>
    <s v="Single"/>
    <n v="30241"/>
    <n v="22331"/>
    <x v="19"/>
    <x v="6"/>
    <n v="5"/>
    <s v="Yes"/>
    <n v="4"/>
    <x v="34"/>
    <n v="18"/>
    <x v="1"/>
    <n v="3"/>
    <x v="0"/>
  </r>
  <r>
    <n v="10476"/>
    <n v="57"/>
    <x v="1"/>
    <x v="2"/>
    <x v="1"/>
    <x v="2"/>
    <s v="Single"/>
    <n v="54611"/>
    <n v="39236"/>
    <x v="18"/>
    <x v="2"/>
    <n v="4"/>
    <s v="No"/>
    <n v="3"/>
    <x v="19"/>
    <n v="56"/>
    <x v="0"/>
    <n v="3"/>
    <x v="0"/>
  </r>
  <r>
    <n v="10477"/>
    <n v="38"/>
    <x v="1"/>
    <x v="2"/>
    <x v="1"/>
    <x v="2"/>
    <s v="Single"/>
    <n v="49001"/>
    <n v="43744"/>
    <x v="6"/>
    <x v="6"/>
    <n v="4"/>
    <s v="No"/>
    <n v="4"/>
    <x v="1"/>
    <n v="28"/>
    <x v="3"/>
    <n v="4"/>
    <x v="0"/>
  </r>
  <r>
    <n v="10478"/>
    <n v="24"/>
    <x v="0"/>
    <x v="3"/>
    <x v="4"/>
    <x v="3"/>
    <s v="Divorced"/>
    <n v="31452"/>
    <n v="4019"/>
    <x v="3"/>
    <x v="13"/>
    <n v="5"/>
    <s v="No"/>
    <n v="3"/>
    <x v="9"/>
    <n v="5"/>
    <x v="2"/>
    <n v="3"/>
    <x v="1"/>
  </r>
  <r>
    <n v="10479"/>
    <n v="45"/>
    <x v="0"/>
    <x v="2"/>
    <x v="3"/>
    <x v="2"/>
    <s v="Married"/>
    <n v="90916"/>
    <n v="37696"/>
    <x v="12"/>
    <x v="14"/>
    <n v="2"/>
    <s v="No"/>
    <n v="3"/>
    <x v="36"/>
    <n v="28"/>
    <x v="0"/>
    <n v="4"/>
    <x v="0"/>
  </r>
  <r>
    <n v="10480"/>
    <n v="40"/>
    <x v="0"/>
    <x v="5"/>
    <x v="4"/>
    <x v="0"/>
    <s v="Single"/>
    <n v="25897"/>
    <n v="16799"/>
    <x v="15"/>
    <x v="3"/>
    <n v="2"/>
    <s v="No"/>
    <n v="4"/>
    <x v="28"/>
    <n v="29"/>
    <x v="1"/>
    <n v="4"/>
    <x v="0"/>
  </r>
  <r>
    <n v="10481"/>
    <n v="57"/>
    <x v="0"/>
    <x v="5"/>
    <x v="0"/>
    <x v="3"/>
    <s v="Married"/>
    <n v="62576"/>
    <n v="43094"/>
    <x v="1"/>
    <x v="13"/>
    <n v="3"/>
    <s v="No"/>
    <n v="3"/>
    <x v="17"/>
    <n v="41"/>
    <x v="3"/>
    <n v="3"/>
    <x v="0"/>
  </r>
  <r>
    <n v="10482"/>
    <n v="56"/>
    <x v="0"/>
    <x v="2"/>
    <x v="1"/>
    <x v="0"/>
    <s v="Married"/>
    <n v="50591"/>
    <n v="41340"/>
    <x v="23"/>
    <x v="11"/>
    <n v="5"/>
    <s v="Yes"/>
    <n v="4"/>
    <x v="34"/>
    <n v="38"/>
    <x v="2"/>
    <n v="2"/>
    <x v="0"/>
  </r>
  <r>
    <n v="10483"/>
    <n v="47"/>
    <x v="0"/>
    <x v="4"/>
    <x v="0"/>
    <x v="3"/>
    <s v="Divorced"/>
    <n v="80157"/>
    <n v="28083"/>
    <x v="21"/>
    <x v="10"/>
    <n v="3"/>
    <s v="Yes"/>
    <n v="1"/>
    <x v="21"/>
    <n v="48"/>
    <x v="2"/>
    <n v="3"/>
    <x v="1"/>
  </r>
  <r>
    <n v="10484"/>
    <n v="35"/>
    <x v="0"/>
    <x v="0"/>
    <x v="1"/>
    <x v="3"/>
    <s v="Single"/>
    <n v="59120"/>
    <n v="14674"/>
    <x v="16"/>
    <x v="8"/>
    <n v="3"/>
    <s v="No"/>
    <n v="3"/>
    <x v="20"/>
    <n v="22"/>
    <x v="0"/>
    <n v="3"/>
    <x v="1"/>
  </r>
  <r>
    <n v="10485"/>
    <n v="57"/>
    <x v="1"/>
    <x v="2"/>
    <x v="0"/>
    <x v="3"/>
    <s v="Married"/>
    <n v="66142"/>
    <n v="2484"/>
    <x v="7"/>
    <x v="14"/>
    <n v="4"/>
    <s v="No"/>
    <n v="1"/>
    <x v="6"/>
    <n v="20"/>
    <x v="0"/>
    <n v="1"/>
    <x v="0"/>
  </r>
  <r>
    <n v="10486"/>
    <n v="52"/>
    <x v="1"/>
    <x v="1"/>
    <x v="4"/>
    <x v="2"/>
    <s v="Married"/>
    <n v="31312"/>
    <n v="36331"/>
    <x v="20"/>
    <x v="14"/>
    <n v="3"/>
    <s v="Yes"/>
    <n v="3"/>
    <x v="21"/>
    <n v="38"/>
    <x v="3"/>
    <n v="4"/>
    <x v="0"/>
  </r>
  <r>
    <n v="10487"/>
    <n v="29"/>
    <x v="0"/>
    <x v="5"/>
    <x v="3"/>
    <x v="2"/>
    <s v="Single"/>
    <n v="127820"/>
    <n v="22113"/>
    <x v="4"/>
    <x v="7"/>
    <n v="2"/>
    <s v="No"/>
    <n v="2"/>
    <x v="24"/>
    <n v="53"/>
    <x v="2"/>
    <n v="2"/>
    <x v="1"/>
  </r>
  <r>
    <n v="10488"/>
    <n v="20"/>
    <x v="0"/>
    <x v="3"/>
    <x v="4"/>
    <x v="3"/>
    <s v="Married"/>
    <n v="26868"/>
    <n v="18526"/>
    <x v="20"/>
    <x v="11"/>
    <n v="4"/>
    <s v="No"/>
    <n v="3"/>
    <x v="11"/>
    <n v="21"/>
    <x v="0"/>
    <n v="2"/>
    <x v="1"/>
  </r>
  <r>
    <n v="10489"/>
    <n v="32"/>
    <x v="0"/>
    <x v="3"/>
    <x v="0"/>
    <x v="0"/>
    <s v="Single"/>
    <n v="70532"/>
    <n v="3271"/>
    <x v="9"/>
    <x v="13"/>
    <n v="3"/>
    <s v="No"/>
    <n v="4"/>
    <x v="6"/>
    <n v="9"/>
    <x v="0"/>
    <n v="1"/>
    <x v="0"/>
  </r>
  <r>
    <n v="10490"/>
    <n v="49"/>
    <x v="1"/>
    <x v="2"/>
    <x v="1"/>
    <x v="3"/>
    <s v="Married"/>
    <n v="52399"/>
    <n v="45541"/>
    <x v="0"/>
    <x v="6"/>
    <n v="3"/>
    <s v="No"/>
    <n v="2"/>
    <x v="23"/>
    <n v="40"/>
    <x v="3"/>
    <n v="3"/>
    <x v="0"/>
  </r>
  <r>
    <n v="10491"/>
    <n v="52"/>
    <x v="0"/>
    <x v="2"/>
    <x v="0"/>
    <x v="0"/>
    <s v="Single"/>
    <n v="64576"/>
    <n v="20054"/>
    <x v="2"/>
    <x v="0"/>
    <n v="1"/>
    <s v="Yes"/>
    <n v="3"/>
    <x v="2"/>
    <n v="34"/>
    <x v="1"/>
    <n v="3"/>
    <x v="0"/>
  </r>
  <r>
    <n v="10492"/>
    <n v="56"/>
    <x v="1"/>
    <x v="5"/>
    <x v="4"/>
    <x v="0"/>
    <s v="Married"/>
    <n v="33009"/>
    <n v="22465"/>
    <x v="13"/>
    <x v="8"/>
    <n v="5"/>
    <s v="No"/>
    <n v="4"/>
    <x v="37"/>
    <n v="26"/>
    <x v="2"/>
    <n v="3"/>
    <x v="0"/>
  </r>
  <r>
    <n v="10493"/>
    <n v="27"/>
    <x v="0"/>
    <x v="1"/>
    <x v="1"/>
    <x v="0"/>
    <s v="Divorced"/>
    <n v="58746"/>
    <n v="1160"/>
    <x v="6"/>
    <x v="2"/>
    <n v="3"/>
    <s v="No"/>
    <n v="2"/>
    <x v="14"/>
    <n v="12"/>
    <x v="0"/>
    <n v="1"/>
    <x v="0"/>
  </r>
  <r>
    <n v="10494"/>
    <n v="21"/>
    <x v="0"/>
    <x v="3"/>
    <x v="0"/>
    <x v="0"/>
    <s v="Married"/>
    <n v="79231"/>
    <n v="9001"/>
    <x v="21"/>
    <x v="12"/>
    <n v="2"/>
    <s v="No"/>
    <n v="2"/>
    <x v="14"/>
    <n v="42"/>
    <x v="0"/>
    <n v="2"/>
    <x v="0"/>
  </r>
  <r>
    <n v="10495"/>
    <n v="27"/>
    <x v="0"/>
    <x v="3"/>
    <x v="3"/>
    <x v="2"/>
    <s v="Divorced"/>
    <n v="123359"/>
    <n v="31740"/>
    <x v="14"/>
    <x v="3"/>
    <n v="3"/>
    <s v="No"/>
    <n v="3"/>
    <x v="19"/>
    <n v="51"/>
    <x v="0"/>
    <n v="2"/>
    <x v="0"/>
  </r>
  <r>
    <n v="10496"/>
    <n v="38"/>
    <x v="1"/>
    <x v="4"/>
    <x v="4"/>
    <x v="2"/>
    <s v="Married"/>
    <n v="30794"/>
    <n v="684"/>
    <x v="13"/>
    <x v="9"/>
    <n v="3"/>
    <s v="Yes"/>
    <n v="4"/>
    <x v="1"/>
    <n v="50"/>
    <x v="2"/>
    <n v="2"/>
    <x v="0"/>
  </r>
  <r>
    <n v="10497"/>
    <n v="23"/>
    <x v="0"/>
    <x v="5"/>
    <x v="0"/>
    <x v="2"/>
    <s v="Divorced"/>
    <n v="69596"/>
    <n v="41029"/>
    <x v="18"/>
    <x v="3"/>
    <n v="3"/>
    <s v="Yes"/>
    <n v="2"/>
    <x v="27"/>
    <n v="9"/>
    <x v="1"/>
    <n v="4"/>
    <x v="0"/>
  </r>
  <r>
    <n v="10498"/>
    <n v="46"/>
    <x v="0"/>
    <x v="2"/>
    <x v="4"/>
    <x v="0"/>
    <s v="Single"/>
    <n v="25797"/>
    <n v="40818"/>
    <x v="24"/>
    <x v="6"/>
    <n v="3"/>
    <s v="No"/>
    <n v="3"/>
    <x v="26"/>
    <n v="37"/>
    <x v="0"/>
    <n v="3"/>
    <x v="0"/>
  </r>
  <r>
    <n v="10499"/>
    <n v="54"/>
    <x v="0"/>
    <x v="2"/>
    <x v="5"/>
    <x v="3"/>
    <s v="Divorced"/>
    <n v="168710"/>
    <n v="37180"/>
    <x v="23"/>
    <x v="14"/>
    <n v="3"/>
    <s v="No"/>
    <n v="2"/>
    <x v="17"/>
    <n v="8"/>
    <x v="3"/>
    <n v="1"/>
    <x v="0"/>
  </r>
  <r>
    <n v="10500"/>
    <n v="33"/>
    <x v="1"/>
    <x v="4"/>
    <x v="4"/>
    <x v="2"/>
    <s v="Single"/>
    <n v="35559"/>
    <n v="44706"/>
    <x v="9"/>
    <x v="13"/>
    <n v="3"/>
    <s v="No"/>
    <n v="2"/>
    <x v="36"/>
    <n v="22"/>
    <x v="0"/>
    <n v="1"/>
    <x v="0"/>
  </r>
  <r>
    <n v="10501"/>
    <n v="21"/>
    <x v="0"/>
    <x v="2"/>
    <x v="1"/>
    <x v="2"/>
    <s v="Single"/>
    <n v="52634"/>
    <n v="42215"/>
    <x v="20"/>
    <x v="11"/>
    <n v="2"/>
    <s v="Yes"/>
    <n v="2"/>
    <x v="35"/>
    <n v="32"/>
    <x v="0"/>
    <n v="4"/>
    <x v="0"/>
  </r>
  <r>
    <n v="10502"/>
    <n v="59"/>
    <x v="0"/>
    <x v="2"/>
    <x v="4"/>
    <x v="3"/>
    <s v="Married"/>
    <n v="43922"/>
    <n v="5229"/>
    <x v="24"/>
    <x v="12"/>
    <n v="3"/>
    <s v="No"/>
    <n v="2"/>
    <x v="9"/>
    <n v="15"/>
    <x v="0"/>
    <n v="1"/>
    <x v="1"/>
  </r>
  <r>
    <n v="10503"/>
    <n v="56"/>
    <x v="0"/>
    <x v="4"/>
    <x v="1"/>
    <x v="2"/>
    <s v="Single"/>
    <n v="54422"/>
    <n v="29430"/>
    <x v="19"/>
    <x v="12"/>
    <n v="4"/>
    <s v="No"/>
    <n v="4"/>
    <x v="38"/>
    <n v="13"/>
    <x v="0"/>
    <n v="2"/>
    <x v="0"/>
  </r>
  <r>
    <n v="10504"/>
    <n v="20"/>
    <x v="0"/>
    <x v="0"/>
    <x v="4"/>
    <x v="1"/>
    <s v="Single"/>
    <n v="28030"/>
    <n v="9624"/>
    <x v="4"/>
    <x v="3"/>
    <n v="2"/>
    <s v="No"/>
    <n v="3"/>
    <x v="18"/>
    <n v="7"/>
    <x v="3"/>
    <n v="3"/>
    <x v="0"/>
  </r>
  <r>
    <n v="10505"/>
    <n v="57"/>
    <x v="0"/>
    <x v="3"/>
    <x v="0"/>
    <x v="2"/>
    <s v="Married"/>
    <n v="66572"/>
    <n v="1909"/>
    <x v="5"/>
    <x v="3"/>
    <n v="5"/>
    <s v="No"/>
    <n v="4"/>
    <x v="7"/>
    <n v="57"/>
    <x v="1"/>
    <n v="3"/>
    <x v="0"/>
  </r>
  <r>
    <n v="10506"/>
    <n v="52"/>
    <x v="1"/>
    <x v="2"/>
    <x v="0"/>
    <x v="0"/>
    <s v="Married"/>
    <n v="84439"/>
    <n v="43036"/>
    <x v="18"/>
    <x v="2"/>
    <n v="3"/>
    <s v="No"/>
    <n v="3"/>
    <x v="21"/>
    <n v="53"/>
    <x v="2"/>
    <n v="4"/>
    <x v="0"/>
  </r>
  <r>
    <n v="10507"/>
    <n v="26"/>
    <x v="1"/>
    <x v="1"/>
    <x v="0"/>
    <x v="0"/>
    <s v="Married"/>
    <n v="78177"/>
    <n v="41509"/>
    <x v="19"/>
    <x v="4"/>
    <n v="3"/>
    <s v="No"/>
    <n v="4"/>
    <x v="0"/>
    <n v="47"/>
    <x v="3"/>
    <n v="1"/>
    <x v="0"/>
  </r>
  <r>
    <n v="10508"/>
    <n v="48"/>
    <x v="1"/>
    <x v="5"/>
    <x v="2"/>
    <x v="2"/>
    <s v="Married"/>
    <n v="15724"/>
    <n v="40146"/>
    <x v="10"/>
    <x v="11"/>
    <n v="2"/>
    <s v="No"/>
    <n v="1"/>
    <x v="1"/>
    <n v="53"/>
    <x v="1"/>
    <n v="4"/>
    <x v="0"/>
  </r>
  <r>
    <n v="10509"/>
    <n v="46"/>
    <x v="0"/>
    <x v="5"/>
    <x v="0"/>
    <x v="2"/>
    <s v="Single"/>
    <n v="62268"/>
    <n v="17801"/>
    <x v="13"/>
    <x v="2"/>
    <n v="4"/>
    <s v="No"/>
    <n v="3"/>
    <x v="17"/>
    <n v="45"/>
    <x v="3"/>
    <n v="3"/>
    <x v="0"/>
  </r>
  <r>
    <n v="10510"/>
    <n v="23"/>
    <x v="1"/>
    <x v="1"/>
    <x v="1"/>
    <x v="2"/>
    <s v="Married"/>
    <n v="48970"/>
    <n v="37528"/>
    <x v="24"/>
    <x v="9"/>
    <n v="3"/>
    <s v="No"/>
    <n v="2"/>
    <x v="29"/>
    <n v="56"/>
    <x v="1"/>
    <n v="3"/>
    <x v="0"/>
  </r>
  <r>
    <n v="10511"/>
    <n v="55"/>
    <x v="0"/>
    <x v="2"/>
    <x v="2"/>
    <x v="2"/>
    <s v="Married"/>
    <n v="14867"/>
    <n v="35318"/>
    <x v="0"/>
    <x v="13"/>
    <n v="4"/>
    <s v="Yes"/>
    <n v="4"/>
    <x v="32"/>
    <n v="27"/>
    <x v="3"/>
    <n v="4"/>
    <x v="0"/>
  </r>
  <r>
    <n v="10512"/>
    <n v="26"/>
    <x v="0"/>
    <x v="5"/>
    <x v="4"/>
    <x v="3"/>
    <s v="Single"/>
    <n v="33252"/>
    <n v="10482"/>
    <x v="12"/>
    <x v="14"/>
    <n v="2"/>
    <s v="No"/>
    <n v="1"/>
    <x v="3"/>
    <n v="28"/>
    <x v="3"/>
    <n v="4"/>
    <x v="0"/>
  </r>
  <r>
    <n v="10513"/>
    <n v="52"/>
    <x v="1"/>
    <x v="2"/>
    <x v="5"/>
    <x v="0"/>
    <s v="Married"/>
    <n v="155953"/>
    <n v="5154"/>
    <x v="21"/>
    <x v="0"/>
    <n v="4"/>
    <s v="No"/>
    <n v="2"/>
    <x v="37"/>
    <n v="16"/>
    <x v="3"/>
    <n v="3"/>
    <x v="0"/>
  </r>
  <r>
    <n v="10514"/>
    <n v="23"/>
    <x v="1"/>
    <x v="5"/>
    <x v="4"/>
    <x v="2"/>
    <s v="Divorced"/>
    <n v="34691"/>
    <n v="19194"/>
    <x v="15"/>
    <x v="7"/>
    <n v="2"/>
    <s v="Yes"/>
    <n v="2"/>
    <x v="36"/>
    <n v="21"/>
    <x v="3"/>
    <n v="2"/>
    <x v="0"/>
  </r>
  <r>
    <n v="10515"/>
    <n v="41"/>
    <x v="0"/>
    <x v="2"/>
    <x v="0"/>
    <x v="2"/>
    <s v="Married"/>
    <n v="64414"/>
    <n v="38665"/>
    <x v="17"/>
    <x v="9"/>
    <n v="3"/>
    <s v="Yes"/>
    <n v="1"/>
    <x v="15"/>
    <n v="54"/>
    <x v="0"/>
    <n v="1"/>
    <x v="1"/>
  </r>
  <r>
    <n v="10516"/>
    <n v="41"/>
    <x v="1"/>
    <x v="3"/>
    <x v="5"/>
    <x v="2"/>
    <s v="Single"/>
    <n v="177417"/>
    <n v="9436"/>
    <x v="18"/>
    <x v="9"/>
    <n v="3"/>
    <s v="No"/>
    <n v="1"/>
    <x v="33"/>
    <n v="56"/>
    <x v="1"/>
    <n v="4"/>
    <x v="0"/>
  </r>
  <r>
    <n v="10517"/>
    <n v="55"/>
    <x v="0"/>
    <x v="1"/>
    <x v="2"/>
    <x v="3"/>
    <s v="Married"/>
    <n v="16025"/>
    <n v="35343"/>
    <x v="16"/>
    <x v="11"/>
    <n v="1"/>
    <s v="No"/>
    <n v="3"/>
    <x v="26"/>
    <n v="43"/>
    <x v="1"/>
    <n v="2"/>
    <x v="0"/>
  </r>
  <r>
    <n v="10518"/>
    <n v="23"/>
    <x v="0"/>
    <x v="5"/>
    <x v="0"/>
    <x v="2"/>
    <s v="Single"/>
    <n v="81076"/>
    <n v="27258"/>
    <x v="14"/>
    <x v="8"/>
    <n v="1"/>
    <s v="No"/>
    <n v="3"/>
    <x v="38"/>
    <n v="9"/>
    <x v="1"/>
    <n v="3"/>
    <x v="0"/>
  </r>
  <r>
    <n v="10519"/>
    <n v="29"/>
    <x v="1"/>
    <x v="5"/>
    <x v="4"/>
    <x v="3"/>
    <s v="Single"/>
    <n v="37380"/>
    <n v="22076"/>
    <x v="1"/>
    <x v="9"/>
    <n v="3"/>
    <s v="No"/>
    <n v="1"/>
    <x v="28"/>
    <n v="55"/>
    <x v="0"/>
    <n v="3"/>
    <x v="0"/>
  </r>
  <r>
    <n v="10520"/>
    <n v="25"/>
    <x v="1"/>
    <x v="2"/>
    <x v="4"/>
    <x v="2"/>
    <s v="Married"/>
    <n v="35057"/>
    <n v="4276"/>
    <x v="1"/>
    <x v="13"/>
    <n v="3"/>
    <s v="No"/>
    <n v="4"/>
    <x v="0"/>
    <n v="43"/>
    <x v="3"/>
    <n v="1"/>
    <x v="0"/>
  </r>
  <r>
    <n v="10521"/>
    <n v="59"/>
    <x v="1"/>
    <x v="5"/>
    <x v="5"/>
    <x v="2"/>
    <s v="Married"/>
    <n v="131803"/>
    <n v="22149"/>
    <x v="21"/>
    <x v="0"/>
    <n v="2"/>
    <s v="Yes"/>
    <n v="1"/>
    <x v="20"/>
    <n v="33"/>
    <x v="3"/>
    <n v="4"/>
    <x v="0"/>
  </r>
  <r>
    <n v="10522"/>
    <n v="50"/>
    <x v="0"/>
    <x v="2"/>
    <x v="4"/>
    <x v="3"/>
    <s v="Single"/>
    <n v="39457"/>
    <n v="7972"/>
    <x v="24"/>
    <x v="5"/>
    <n v="3"/>
    <s v="No"/>
    <n v="4"/>
    <x v="19"/>
    <n v="33"/>
    <x v="0"/>
    <n v="3"/>
    <x v="0"/>
  </r>
  <r>
    <n v="10523"/>
    <n v="56"/>
    <x v="1"/>
    <x v="3"/>
    <x v="2"/>
    <x v="3"/>
    <s v="Single"/>
    <n v="11188"/>
    <n v="17920"/>
    <x v="14"/>
    <x v="13"/>
    <n v="4"/>
    <s v="No"/>
    <n v="4"/>
    <x v="36"/>
    <n v="41"/>
    <x v="0"/>
    <n v="4"/>
    <x v="0"/>
  </r>
  <r>
    <n v="10524"/>
    <n v="53"/>
    <x v="0"/>
    <x v="3"/>
    <x v="4"/>
    <x v="0"/>
    <s v="Married"/>
    <n v="29846"/>
    <n v="49088"/>
    <x v="19"/>
    <x v="14"/>
    <n v="3"/>
    <s v="Yes"/>
    <n v="3"/>
    <x v="35"/>
    <n v="56"/>
    <x v="1"/>
    <n v="2"/>
    <x v="0"/>
  </r>
  <r>
    <n v="10525"/>
    <n v="24"/>
    <x v="1"/>
    <x v="4"/>
    <x v="1"/>
    <x v="0"/>
    <s v="Single"/>
    <n v="53991"/>
    <n v="17634"/>
    <x v="8"/>
    <x v="13"/>
    <n v="3"/>
    <s v="Yes"/>
    <n v="3"/>
    <x v="31"/>
    <n v="9"/>
    <x v="1"/>
    <n v="2"/>
    <x v="0"/>
  </r>
  <r>
    <n v="10526"/>
    <n v="37"/>
    <x v="0"/>
    <x v="3"/>
    <x v="1"/>
    <x v="2"/>
    <s v="Single"/>
    <n v="64867"/>
    <n v="43967"/>
    <x v="7"/>
    <x v="0"/>
    <n v="2"/>
    <s v="Yes"/>
    <n v="3"/>
    <x v="17"/>
    <n v="16"/>
    <x v="3"/>
    <n v="1"/>
    <x v="0"/>
  </r>
  <r>
    <n v="10527"/>
    <n v="33"/>
    <x v="1"/>
    <x v="5"/>
    <x v="0"/>
    <x v="2"/>
    <s v="Single"/>
    <n v="87951"/>
    <n v="23644"/>
    <x v="20"/>
    <x v="12"/>
    <n v="4"/>
    <s v="No"/>
    <n v="3"/>
    <x v="15"/>
    <n v="49"/>
    <x v="3"/>
    <n v="1"/>
    <x v="0"/>
  </r>
  <r>
    <n v="10528"/>
    <n v="31"/>
    <x v="1"/>
    <x v="2"/>
    <x v="3"/>
    <x v="3"/>
    <s v="Married"/>
    <n v="105858"/>
    <n v="28555"/>
    <x v="15"/>
    <x v="9"/>
    <n v="3"/>
    <s v="No"/>
    <n v="1"/>
    <x v="16"/>
    <n v="16"/>
    <x v="3"/>
    <n v="4"/>
    <x v="0"/>
  </r>
  <r>
    <n v="10529"/>
    <n v="41"/>
    <x v="1"/>
    <x v="1"/>
    <x v="4"/>
    <x v="2"/>
    <s v="Single"/>
    <n v="33328"/>
    <n v="44843"/>
    <x v="16"/>
    <x v="4"/>
    <n v="5"/>
    <s v="No"/>
    <n v="3"/>
    <x v="29"/>
    <n v="46"/>
    <x v="1"/>
    <n v="4"/>
    <x v="1"/>
  </r>
  <r>
    <n v="10530"/>
    <n v="46"/>
    <x v="1"/>
    <x v="3"/>
    <x v="3"/>
    <x v="0"/>
    <s v="Single"/>
    <n v="118546"/>
    <n v="19251"/>
    <x v="22"/>
    <x v="14"/>
    <n v="3"/>
    <s v="No"/>
    <n v="3"/>
    <x v="0"/>
    <n v="57"/>
    <x v="3"/>
    <n v="4"/>
    <x v="0"/>
  </r>
  <r>
    <n v="10531"/>
    <n v="23"/>
    <x v="1"/>
    <x v="2"/>
    <x v="3"/>
    <x v="3"/>
    <s v="Married"/>
    <n v="113949"/>
    <n v="14193"/>
    <x v="15"/>
    <x v="14"/>
    <n v="3"/>
    <s v="Yes"/>
    <n v="2"/>
    <x v="36"/>
    <n v="59"/>
    <x v="1"/>
    <n v="1"/>
    <x v="0"/>
  </r>
  <r>
    <n v="10532"/>
    <n v="33"/>
    <x v="1"/>
    <x v="5"/>
    <x v="0"/>
    <x v="1"/>
    <s v="Married"/>
    <n v="80897"/>
    <n v="15945"/>
    <x v="8"/>
    <x v="1"/>
    <n v="4"/>
    <s v="No"/>
    <n v="4"/>
    <x v="6"/>
    <n v="10"/>
    <x v="0"/>
    <n v="3"/>
    <x v="0"/>
  </r>
  <r>
    <n v="10533"/>
    <n v="47"/>
    <x v="1"/>
    <x v="1"/>
    <x v="4"/>
    <x v="2"/>
    <s v="Married"/>
    <n v="27260"/>
    <n v="41542"/>
    <x v="16"/>
    <x v="10"/>
    <n v="2"/>
    <s v="No"/>
    <n v="1"/>
    <x v="31"/>
    <n v="22"/>
    <x v="0"/>
    <n v="3"/>
    <x v="1"/>
  </r>
  <r>
    <n v="10534"/>
    <n v="43"/>
    <x v="1"/>
    <x v="0"/>
    <x v="4"/>
    <x v="2"/>
    <s v="Married"/>
    <n v="35482"/>
    <n v="21213"/>
    <x v="16"/>
    <x v="1"/>
    <n v="4"/>
    <s v="No"/>
    <n v="3"/>
    <x v="1"/>
    <n v="49"/>
    <x v="0"/>
    <n v="1"/>
    <x v="0"/>
  </r>
  <r>
    <n v="10535"/>
    <n v="43"/>
    <x v="1"/>
    <x v="1"/>
    <x v="0"/>
    <x v="3"/>
    <s v="Single"/>
    <n v="69895"/>
    <n v="5289"/>
    <x v="4"/>
    <x v="8"/>
    <n v="4"/>
    <s v="No"/>
    <n v="4"/>
    <x v="35"/>
    <n v="11"/>
    <x v="0"/>
    <n v="3"/>
    <x v="0"/>
  </r>
  <r>
    <n v="10536"/>
    <n v="42"/>
    <x v="0"/>
    <x v="2"/>
    <x v="1"/>
    <x v="3"/>
    <s v="Divorced"/>
    <n v="47347"/>
    <n v="15611"/>
    <x v="0"/>
    <x v="11"/>
    <n v="4"/>
    <s v="Yes"/>
    <n v="3"/>
    <x v="5"/>
    <n v="36"/>
    <x v="0"/>
    <n v="4"/>
    <x v="0"/>
  </r>
  <r>
    <n v="10537"/>
    <n v="20"/>
    <x v="0"/>
    <x v="0"/>
    <x v="4"/>
    <x v="0"/>
    <s v="Married"/>
    <n v="25588"/>
    <n v="37812"/>
    <x v="0"/>
    <x v="14"/>
    <n v="4"/>
    <s v="No"/>
    <n v="2"/>
    <x v="23"/>
    <n v="40"/>
    <x v="0"/>
    <n v="1"/>
    <x v="0"/>
  </r>
  <r>
    <n v="10538"/>
    <n v="52"/>
    <x v="0"/>
    <x v="3"/>
    <x v="4"/>
    <x v="2"/>
    <s v="Married"/>
    <n v="28688"/>
    <n v="8640"/>
    <x v="7"/>
    <x v="13"/>
    <n v="3"/>
    <s v="Yes"/>
    <n v="2"/>
    <x v="19"/>
    <n v="13"/>
    <x v="1"/>
    <n v="4"/>
    <x v="1"/>
  </r>
  <r>
    <n v="10539"/>
    <n v="33"/>
    <x v="0"/>
    <x v="3"/>
    <x v="3"/>
    <x v="1"/>
    <s v="Single"/>
    <n v="125367"/>
    <n v="41190"/>
    <x v="17"/>
    <x v="10"/>
    <n v="1"/>
    <s v="No"/>
    <n v="1"/>
    <x v="25"/>
    <n v="24"/>
    <x v="2"/>
    <n v="2"/>
    <x v="1"/>
  </r>
  <r>
    <n v="10540"/>
    <n v="48"/>
    <x v="0"/>
    <x v="5"/>
    <x v="2"/>
    <x v="0"/>
    <s v="Single"/>
    <n v="12036"/>
    <n v="48648"/>
    <x v="11"/>
    <x v="2"/>
    <n v="3"/>
    <s v="Yes"/>
    <n v="2"/>
    <x v="10"/>
    <n v="41"/>
    <x v="1"/>
    <n v="1"/>
    <x v="0"/>
  </r>
  <r>
    <n v="10541"/>
    <n v="46"/>
    <x v="0"/>
    <x v="1"/>
    <x v="0"/>
    <x v="2"/>
    <s v="Single"/>
    <n v="77140"/>
    <n v="6487"/>
    <x v="15"/>
    <x v="6"/>
    <n v="2"/>
    <s v="No"/>
    <n v="3"/>
    <x v="31"/>
    <n v="35"/>
    <x v="3"/>
    <n v="2"/>
    <x v="0"/>
  </r>
  <r>
    <n v="10542"/>
    <n v="43"/>
    <x v="0"/>
    <x v="1"/>
    <x v="0"/>
    <x v="2"/>
    <s v="Single"/>
    <n v="88020"/>
    <n v="31921"/>
    <x v="9"/>
    <x v="0"/>
    <n v="4"/>
    <s v="Yes"/>
    <n v="1"/>
    <x v="12"/>
    <n v="22"/>
    <x v="2"/>
    <n v="2"/>
    <x v="1"/>
  </r>
  <r>
    <n v="10543"/>
    <n v="27"/>
    <x v="1"/>
    <x v="0"/>
    <x v="1"/>
    <x v="2"/>
    <s v="Married"/>
    <n v="62862"/>
    <n v="32670"/>
    <x v="15"/>
    <x v="0"/>
    <n v="5"/>
    <s v="Yes"/>
    <n v="3"/>
    <x v="16"/>
    <n v="46"/>
    <x v="0"/>
    <n v="2"/>
    <x v="0"/>
  </r>
  <r>
    <n v="10544"/>
    <n v="49"/>
    <x v="1"/>
    <x v="2"/>
    <x v="1"/>
    <x v="3"/>
    <s v="Married"/>
    <n v="54107"/>
    <n v="7971"/>
    <x v="18"/>
    <x v="12"/>
    <n v="4"/>
    <s v="No"/>
    <n v="2"/>
    <x v="31"/>
    <n v="33"/>
    <x v="0"/>
    <n v="1"/>
    <x v="0"/>
  </r>
  <r>
    <n v="10545"/>
    <n v="23"/>
    <x v="0"/>
    <x v="3"/>
    <x v="1"/>
    <x v="3"/>
    <s v="Married"/>
    <n v="48598"/>
    <n v="51"/>
    <x v="20"/>
    <x v="7"/>
    <n v="3"/>
    <s v="No"/>
    <n v="2"/>
    <x v="2"/>
    <n v="9"/>
    <x v="0"/>
    <n v="2"/>
    <x v="0"/>
  </r>
  <r>
    <n v="10546"/>
    <n v="22"/>
    <x v="1"/>
    <x v="2"/>
    <x v="1"/>
    <x v="1"/>
    <s v="Single"/>
    <n v="62662"/>
    <n v="23284"/>
    <x v="24"/>
    <x v="1"/>
    <n v="3"/>
    <s v="Yes"/>
    <n v="2"/>
    <x v="20"/>
    <n v="7"/>
    <x v="1"/>
    <n v="4"/>
    <x v="0"/>
  </r>
  <r>
    <n v="10547"/>
    <n v="34"/>
    <x v="0"/>
    <x v="2"/>
    <x v="1"/>
    <x v="2"/>
    <s v="Married"/>
    <n v="64560"/>
    <n v="9474"/>
    <x v="18"/>
    <x v="12"/>
    <n v="3"/>
    <s v="No"/>
    <n v="1"/>
    <x v="18"/>
    <n v="41"/>
    <x v="3"/>
    <n v="1"/>
    <x v="0"/>
  </r>
  <r>
    <n v="10548"/>
    <n v="29"/>
    <x v="0"/>
    <x v="0"/>
    <x v="2"/>
    <x v="3"/>
    <s v="Married"/>
    <n v="15913"/>
    <n v="24469"/>
    <x v="17"/>
    <x v="11"/>
    <n v="3"/>
    <s v="No"/>
    <n v="4"/>
    <x v="29"/>
    <n v="57"/>
    <x v="3"/>
    <n v="3"/>
    <x v="0"/>
  </r>
  <r>
    <n v="10549"/>
    <n v="34"/>
    <x v="1"/>
    <x v="3"/>
    <x v="1"/>
    <x v="2"/>
    <s v="Single"/>
    <n v="55649"/>
    <n v="36923"/>
    <x v="9"/>
    <x v="1"/>
    <n v="3"/>
    <s v="No"/>
    <n v="1"/>
    <x v="22"/>
    <n v="36"/>
    <x v="2"/>
    <n v="2"/>
    <x v="0"/>
  </r>
  <r>
    <n v="10550"/>
    <n v="57"/>
    <x v="1"/>
    <x v="5"/>
    <x v="0"/>
    <x v="2"/>
    <s v="Single"/>
    <n v="79733"/>
    <n v="10858"/>
    <x v="19"/>
    <x v="10"/>
    <n v="3"/>
    <s v="No"/>
    <n v="3"/>
    <x v="27"/>
    <n v="17"/>
    <x v="3"/>
    <n v="3"/>
    <x v="0"/>
  </r>
  <r>
    <n v="10551"/>
    <n v="31"/>
    <x v="0"/>
    <x v="4"/>
    <x v="1"/>
    <x v="2"/>
    <s v="Married"/>
    <n v="63118"/>
    <n v="18105"/>
    <x v="23"/>
    <x v="1"/>
    <n v="3"/>
    <s v="No"/>
    <n v="3"/>
    <x v="9"/>
    <n v="20"/>
    <x v="0"/>
    <n v="4"/>
    <x v="0"/>
  </r>
  <r>
    <n v="10552"/>
    <n v="22"/>
    <x v="1"/>
    <x v="4"/>
    <x v="2"/>
    <x v="3"/>
    <s v="Single"/>
    <n v="14359"/>
    <n v="45590"/>
    <x v="24"/>
    <x v="5"/>
    <n v="2"/>
    <s v="No"/>
    <n v="3"/>
    <x v="26"/>
    <n v="7"/>
    <x v="3"/>
    <n v="1"/>
    <x v="0"/>
  </r>
  <r>
    <n v="10553"/>
    <n v="32"/>
    <x v="0"/>
    <x v="2"/>
    <x v="0"/>
    <x v="3"/>
    <s v="Single"/>
    <n v="81988"/>
    <n v="910"/>
    <x v="8"/>
    <x v="4"/>
    <n v="3"/>
    <s v="No"/>
    <n v="3"/>
    <x v="16"/>
    <n v="43"/>
    <x v="3"/>
    <n v="2"/>
    <x v="0"/>
  </r>
  <r>
    <n v="10554"/>
    <n v="45"/>
    <x v="0"/>
    <x v="0"/>
    <x v="4"/>
    <x v="1"/>
    <s v="Married"/>
    <n v="30193"/>
    <n v="29410"/>
    <x v="8"/>
    <x v="1"/>
    <n v="3"/>
    <s v="No"/>
    <n v="3"/>
    <x v="13"/>
    <n v="26"/>
    <x v="2"/>
    <n v="3"/>
    <x v="1"/>
  </r>
  <r>
    <n v="10555"/>
    <n v="53"/>
    <x v="1"/>
    <x v="1"/>
    <x v="0"/>
    <x v="2"/>
    <s v="Single"/>
    <n v="63809"/>
    <n v="21353"/>
    <x v="1"/>
    <x v="0"/>
    <n v="2"/>
    <s v="Yes"/>
    <n v="2"/>
    <x v="28"/>
    <n v="40"/>
    <x v="0"/>
    <n v="2"/>
    <x v="0"/>
  </r>
  <r>
    <n v="10556"/>
    <n v="43"/>
    <x v="1"/>
    <x v="5"/>
    <x v="4"/>
    <x v="2"/>
    <s v="Single"/>
    <n v="40883"/>
    <n v="12300"/>
    <x v="0"/>
    <x v="9"/>
    <n v="3"/>
    <s v="No"/>
    <n v="3"/>
    <x v="1"/>
    <n v="18"/>
    <x v="0"/>
    <n v="2"/>
    <x v="0"/>
  </r>
  <r>
    <n v="10557"/>
    <n v="34"/>
    <x v="0"/>
    <x v="2"/>
    <x v="1"/>
    <x v="0"/>
    <s v="Married"/>
    <n v="63966"/>
    <n v="39743"/>
    <x v="14"/>
    <x v="12"/>
    <n v="4"/>
    <s v="No"/>
    <n v="4"/>
    <x v="20"/>
    <n v="6"/>
    <x v="1"/>
    <n v="3"/>
    <x v="0"/>
  </r>
  <r>
    <n v="10558"/>
    <n v="44"/>
    <x v="1"/>
    <x v="2"/>
    <x v="0"/>
    <x v="2"/>
    <s v="Married"/>
    <n v="73731"/>
    <n v="37085"/>
    <x v="15"/>
    <x v="5"/>
    <n v="3"/>
    <s v="No"/>
    <n v="2"/>
    <x v="34"/>
    <n v="25"/>
    <x v="0"/>
    <n v="3"/>
    <x v="0"/>
  </r>
  <r>
    <n v="10559"/>
    <n v="41"/>
    <x v="0"/>
    <x v="2"/>
    <x v="4"/>
    <x v="2"/>
    <s v="Divorced"/>
    <n v="31630"/>
    <n v="31887"/>
    <x v="10"/>
    <x v="14"/>
    <n v="3"/>
    <s v="No"/>
    <n v="3"/>
    <x v="0"/>
    <n v="56"/>
    <x v="0"/>
    <n v="2"/>
    <x v="0"/>
  </r>
  <r>
    <n v="10560"/>
    <n v="54"/>
    <x v="0"/>
    <x v="2"/>
    <x v="1"/>
    <x v="2"/>
    <s v="Married"/>
    <n v="55857"/>
    <n v="13584"/>
    <x v="18"/>
    <x v="9"/>
    <n v="4"/>
    <s v="No"/>
    <n v="2"/>
    <x v="26"/>
    <n v="24"/>
    <x v="0"/>
    <n v="3"/>
    <x v="1"/>
  </r>
  <r>
    <n v="10561"/>
    <n v="27"/>
    <x v="0"/>
    <x v="2"/>
    <x v="0"/>
    <x v="3"/>
    <s v="Single"/>
    <n v="79819"/>
    <n v="34948"/>
    <x v="20"/>
    <x v="0"/>
    <n v="2"/>
    <s v="No"/>
    <n v="3"/>
    <x v="1"/>
    <n v="31"/>
    <x v="1"/>
    <n v="1"/>
    <x v="0"/>
  </r>
  <r>
    <n v="10562"/>
    <n v="58"/>
    <x v="0"/>
    <x v="3"/>
    <x v="2"/>
    <x v="0"/>
    <s v="Divorced"/>
    <n v="11183"/>
    <n v="1903"/>
    <x v="11"/>
    <x v="0"/>
    <n v="4"/>
    <s v="Yes"/>
    <n v="3"/>
    <x v="37"/>
    <n v="49"/>
    <x v="0"/>
    <n v="3"/>
    <x v="0"/>
  </r>
  <r>
    <n v="10563"/>
    <n v="58"/>
    <x v="0"/>
    <x v="5"/>
    <x v="2"/>
    <x v="2"/>
    <s v="Single"/>
    <n v="12365"/>
    <n v="40551"/>
    <x v="15"/>
    <x v="6"/>
    <n v="3"/>
    <s v="No"/>
    <n v="3"/>
    <x v="28"/>
    <n v="6"/>
    <x v="3"/>
    <n v="1"/>
    <x v="0"/>
  </r>
  <r>
    <n v="10564"/>
    <n v="41"/>
    <x v="1"/>
    <x v="3"/>
    <x v="0"/>
    <x v="2"/>
    <s v="Single"/>
    <n v="81140"/>
    <n v="44971"/>
    <x v="2"/>
    <x v="5"/>
    <n v="5"/>
    <s v="No"/>
    <n v="3"/>
    <x v="0"/>
    <n v="11"/>
    <x v="2"/>
    <n v="2"/>
    <x v="0"/>
  </r>
  <r>
    <n v="10565"/>
    <n v="48"/>
    <x v="0"/>
    <x v="5"/>
    <x v="3"/>
    <x v="2"/>
    <s v="Divorced"/>
    <n v="123607"/>
    <n v="11596"/>
    <x v="23"/>
    <x v="2"/>
    <n v="2"/>
    <s v="No"/>
    <n v="3"/>
    <x v="18"/>
    <n v="51"/>
    <x v="0"/>
    <n v="2"/>
    <x v="0"/>
  </r>
  <r>
    <n v="10566"/>
    <n v="34"/>
    <x v="1"/>
    <x v="0"/>
    <x v="1"/>
    <x v="3"/>
    <s v="Married"/>
    <n v="60136"/>
    <n v="8933"/>
    <x v="18"/>
    <x v="1"/>
    <n v="3"/>
    <s v="No"/>
    <n v="2"/>
    <x v="0"/>
    <n v="38"/>
    <x v="3"/>
    <n v="2"/>
    <x v="0"/>
  </r>
  <r>
    <n v="10567"/>
    <n v="42"/>
    <x v="1"/>
    <x v="5"/>
    <x v="1"/>
    <x v="2"/>
    <s v="Single"/>
    <n v="54415"/>
    <n v="7820"/>
    <x v="3"/>
    <x v="12"/>
    <n v="3"/>
    <s v="No"/>
    <n v="4"/>
    <x v="6"/>
    <n v="12"/>
    <x v="0"/>
    <n v="1"/>
    <x v="0"/>
  </r>
  <r>
    <n v="10568"/>
    <n v="50"/>
    <x v="0"/>
    <x v="2"/>
    <x v="4"/>
    <x v="0"/>
    <s v="Divorced"/>
    <n v="35985"/>
    <n v="31499"/>
    <x v="8"/>
    <x v="8"/>
    <n v="3"/>
    <s v="No"/>
    <n v="1"/>
    <x v="16"/>
    <n v="29"/>
    <x v="2"/>
    <n v="4"/>
    <x v="1"/>
  </r>
  <r>
    <n v="10569"/>
    <n v="31"/>
    <x v="0"/>
    <x v="2"/>
    <x v="1"/>
    <x v="2"/>
    <s v="Married"/>
    <n v="65246"/>
    <n v="6021"/>
    <x v="18"/>
    <x v="13"/>
    <n v="3"/>
    <s v="Yes"/>
    <n v="4"/>
    <x v="13"/>
    <n v="38"/>
    <x v="0"/>
    <n v="3"/>
    <x v="0"/>
  </r>
  <r>
    <n v="10570"/>
    <n v="50"/>
    <x v="0"/>
    <x v="1"/>
    <x v="4"/>
    <x v="1"/>
    <s v="Married"/>
    <n v="34394"/>
    <n v="13280"/>
    <x v="7"/>
    <x v="5"/>
    <n v="4"/>
    <s v="Yes"/>
    <n v="3"/>
    <x v="16"/>
    <n v="8"/>
    <x v="3"/>
    <n v="1"/>
    <x v="0"/>
  </r>
  <r>
    <n v="10571"/>
    <n v="28"/>
    <x v="0"/>
    <x v="3"/>
    <x v="1"/>
    <x v="2"/>
    <s v="Divorced"/>
    <n v="52694"/>
    <n v="43132"/>
    <x v="8"/>
    <x v="7"/>
    <n v="3"/>
    <s v="Yes"/>
    <n v="3"/>
    <x v="29"/>
    <n v="53"/>
    <x v="0"/>
    <n v="3"/>
    <x v="0"/>
  </r>
  <r>
    <n v="10572"/>
    <n v="32"/>
    <x v="0"/>
    <x v="3"/>
    <x v="4"/>
    <x v="2"/>
    <s v="Single"/>
    <n v="37899"/>
    <n v="21354"/>
    <x v="20"/>
    <x v="14"/>
    <n v="4"/>
    <s v="No"/>
    <n v="2"/>
    <x v="25"/>
    <n v="35"/>
    <x v="1"/>
    <n v="2"/>
    <x v="1"/>
  </r>
  <r>
    <n v="10573"/>
    <n v="23"/>
    <x v="1"/>
    <x v="1"/>
    <x v="1"/>
    <x v="2"/>
    <s v="Single"/>
    <n v="66170"/>
    <n v="27467"/>
    <x v="15"/>
    <x v="7"/>
    <n v="4"/>
    <s v="No"/>
    <n v="3"/>
    <x v="37"/>
    <n v="41"/>
    <x v="0"/>
    <n v="1"/>
    <x v="0"/>
  </r>
  <r>
    <n v="10574"/>
    <n v="42"/>
    <x v="0"/>
    <x v="2"/>
    <x v="3"/>
    <x v="3"/>
    <s v="Divorced"/>
    <n v="121688"/>
    <n v="3216"/>
    <x v="14"/>
    <x v="10"/>
    <n v="2"/>
    <s v="Yes"/>
    <n v="1"/>
    <x v="35"/>
    <n v="37"/>
    <x v="0"/>
    <n v="3"/>
    <x v="0"/>
  </r>
  <r>
    <n v="10575"/>
    <n v="46"/>
    <x v="0"/>
    <x v="2"/>
    <x v="0"/>
    <x v="2"/>
    <s v="Married"/>
    <n v="83619"/>
    <n v="1701"/>
    <x v="22"/>
    <x v="8"/>
    <n v="1"/>
    <s v="Yes"/>
    <n v="1"/>
    <x v="20"/>
    <n v="13"/>
    <x v="2"/>
    <n v="1"/>
    <x v="1"/>
  </r>
  <r>
    <n v="10576"/>
    <n v="51"/>
    <x v="0"/>
    <x v="4"/>
    <x v="1"/>
    <x v="0"/>
    <s v="Single"/>
    <n v="67923"/>
    <n v="46353"/>
    <x v="6"/>
    <x v="1"/>
    <n v="3"/>
    <s v="No"/>
    <n v="3"/>
    <x v="14"/>
    <n v="40"/>
    <x v="1"/>
    <n v="4"/>
    <x v="0"/>
  </r>
  <r>
    <n v="10577"/>
    <n v="36"/>
    <x v="0"/>
    <x v="1"/>
    <x v="4"/>
    <x v="2"/>
    <s v="Divorced"/>
    <n v="28239"/>
    <n v="38294"/>
    <x v="2"/>
    <x v="3"/>
    <n v="3"/>
    <s v="No"/>
    <n v="4"/>
    <x v="14"/>
    <n v="20"/>
    <x v="0"/>
    <n v="3"/>
    <x v="0"/>
  </r>
  <r>
    <n v="10578"/>
    <n v="36"/>
    <x v="0"/>
    <x v="4"/>
    <x v="1"/>
    <x v="3"/>
    <s v="Single"/>
    <n v="66256"/>
    <n v="36210"/>
    <x v="11"/>
    <x v="3"/>
    <n v="4"/>
    <s v="No"/>
    <n v="1"/>
    <x v="13"/>
    <n v="17"/>
    <x v="0"/>
    <n v="2"/>
    <x v="1"/>
  </r>
  <r>
    <n v="10579"/>
    <n v="24"/>
    <x v="0"/>
    <x v="4"/>
    <x v="0"/>
    <x v="3"/>
    <s v="Single"/>
    <n v="71652"/>
    <n v="48791"/>
    <x v="24"/>
    <x v="7"/>
    <n v="3"/>
    <s v="No"/>
    <n v="3"/>
    <x v="28"/>
    <n v="56"/>
    <x v="0"/>
    <n v="2"/>
    <x v="0"/>
  </r>
  <r>
    <n v="10580"/>
    <n v="58"/>
    <x v="1"/>
    <x v="2"/>
    <x v="4"/>
    <x v="3"/>
    <s v="Single"/>
    <n v="39235"/>
    <n v="14849"/>
    <x v="11"/>
    <x v="6"/>
    <n v="4"/>
    <s v="No"/>
    <n v="3"/>
    <x v="6"/>
    <n v="16"/>
    <x v="1"/>
    <n v="3"/>
    <x v="0"/>
  </r>
  <r>
    <n v="10581"/>
    <n v="21"/>
    <x v="0"/>
    <x v="4"/>
    <x v="1"/>
    <x v="2"/>
    <s v="Single"/>
    <n v="60290"/>
    <n v="6060"/>
    <x v="21"/>
    <x v="4"/>
    <n v="5"/>
    <s v="No"/>
    <n v="3"/>
    <x v="30"/>
    <n v="21"/>
    <x v="3"/>
    <n v="2"/>
    <x v="0"/>
  </r>
  <r>
    <n v="10582"/>
    <n v="48"/>
    <x v="0"/>
    <x v="3"/>
    <x v="4"/>
    <x v="2"/>
    <s v="Divorced"/>
    <n v="30273"/>
    <n v="35017"/>
    <x v="12"/>
    <x v="7"/>
    <n v="1"/>
    <s v="Yes"/>
    <n v="3"/>
    <x v="17"/>
    <n v="45"/>
    <x v="0"/>
    <n v="1"/>
    <x v="0"/>
  </r>
  <r>
    <n v="10583"/>
    <n v="30"/>
    <x v="0"/>
    <x v="5"/>
    <x v="4"/>
    <x v="2"/>
    <s v="Single"/>
    <n v="31931"/>
    <n v="10456"/>
    <x v="8"/>
    <x v="1"/>
    <n v="3"/>
    <s v="No"/>
    <n v="3"/>
    <x v="20"/>
    <n v="18"/>
    <x v="0"/>
    <n v="2"/>
    <x v="0"/>
  </r>
  <r>
    <n v="10584"/>
    <n v="26"/>
    <x v="1"/>
    <x v="1"/>
    <x v="3"/>
    <x v="2"/>
    <s v="Single"/>
    <n v="98556"/>
    <n v="18922"/>
    <x v="8"/>
    <x v="7"/>
    <n v="3"/>
    <s v="No"/>
    <n v="3"/>
    <x v="10"/>
    <n v="17"/>
    <x v="1"/>
    <n v="1"/>
    <x v="0"/>
  </r>
  <r>
    <n v="10585"/>
    <n v="32"/>
    <x v="0"/>
    <x v="0"/>
    <x v="4"/>
    <x v="0"/>
    <s v="Divorced"/>
    <n v="34249"/>
    <n v="6655"/>
    <x v="17"/>
    <x v="12"/>
    <n v="1"/>
    <s v="No"/>
    <n v="4"/>
    <x v="35"/>
    <n v="31"/>
    <x v="0"/>
    <n v="4"/>
    <x v="0"/>
  </r>
  <r>
    <n v="10586"/>
    <n v="33"/>
    <x v="0"/>
    <x v="4"/>
    <x v="1"/>
    <x v="3"/>
    <s v="Married"/>
    <n v="61526"/>
    <n v="28016"/>
    <x v="15"/>
    <x v="5"/>
    <n v="3"/>
    <s v="No"/>
    <n v="4"/>
    <x v="25"/>
    <n v="58"/>
    <x v="0"/>
    <n v="4"/>
    <x v="0"/>
  </r>
  <r>
    <n v="10587"/>
    <n v="54"/>
    <x v="0"/>
    <x v="1"/>
    <x v="1"/>
    <x v="3"/>
    <s v="Married"/>
    <n v="54839"/>
    <n v="14690"/>
    <x v="3"/>
    <x v="6"/>
    <n v="3"/>
    <s v="No"/>
    <n v="2"/>
    <x v="25"/>
    <n v="15"/>
    <x v="2"/>
    <n v="4"/>
    <x v="1"/>
  </r>
  <r>
    <n v="10588"/>
    <n v="22"/>
    <x v="0"/>
    <x v="0"/>
    <x v="1"/>
    <x v="3"/>
    <s v="Single"/>
    <n v="51299"/>
    <n v="24709"/>
    <x v="5"/>
    <x v="11"/>
    <n v="3"/>
    <s v="Yes"/>
    <n v="3"/>
    <x v="19"/>
    <n v="26"/>
    <x v="1"/>
    <n v="3"/>
    <x v="0"/>
  </r>
  <r>
    <n v="10589"/>
    <n v="33"/>
    <x v="0"/>
    <x v="3"/>
    <x v="3"/>
    <x v="2"/>
    <s v="Single"/>
    <n v="127997"/>
    <n v="24187"/>
    <x v="4"/>
    <x v="2"/>
    <n v="4"/>
    <s v="No"/>
    <n v="4"/>
    <x v="9"/>
    <n v="24"/>
    <x v="1"/>
    <n v="2"/>
    <x v="0"/>
  </r>
  <r>
    <n v="10590"/>
    <n v="34"/>
    <x v="0"/>
    <x v="1"/>
    <x v="4"/>
    <x v="0"/>
    <s v="Married"/>
    <n v="38242"/>
    <n v="25298"/>
    <x v="9"/>
    <x v="7"/>
    <n v="5"/>
    <s v="No"/>
    <n v="2"/>
    <x v="10"/>
    <n v="9"/>
    <x v="0"/>
    <n v="3"/>
    <x v="0"/>
  </r>
  <r>
    <n v="10591"/>
    <n v="55"/>
    <x v="0"/>
    <x v="2"/>
    <x v="0"/>
    <x v="0"/>
    <s v="Single"/>
    <n v="75919"/>
    <n v="47653"/>
    <x v="10"/>
    <x v="5"/>
    <n v="2"/>
    <s v="No"/>
    <n v="4"/>
    <x v="5"/>
    <n v="8"/>
    <x v="0"/>
    <n v="4"/>
    <x v="0"/>
  </r>
  <r>
    <n v="10592"/>
    <n v="35"/>
    <x v="1"/>
    <x v="0"/>
    <x v="1"/>
    <x v="3"/>
    <s v="Divorced"/>
    <n v="61849"/>
    <n v="49477"/>
    <x v="18"/>
    <x v="10"/>
    <n v="5"/>
    <s v="Yes"/>
    <n v="2"/>
    <x v="17"/>
    <n v="25"/>
    <x v="0"/>
    <n v="4"/>
    <x v="0"/>
  </r>
  <r>
    <n v="10593"/>
    <n v="26"/>
    <x v="1"/>
    <x v="4"/>
    <x v="4"/>
    <x v="2"/>
    <s v="Single"/>
    <n v="36659"/>
    <n v="35109"/>
    <x v="9"/>
    <x v="6"/>
    <n v="3"/>
    <s v="No"/>
    <n v="1"/>
    <x v="21"/>
    <n v="12"/>
    <x v="3"/>
    <n v="3"/>
    <x v="0"/>
  </r>
  <r>
    <n v="10594"/>
    <n v="36"/>
    <x v="0"/>
    <x v="3"/>
    <x v="3"/>
    <x v="1"/>
    <s v="Married"/>
    <n v="112402"/>
    <n v="13965"/>
    <x v="18"/>
    <x v="0"/>
    <n v="3"/>
    <s v="No"/>
    <n v="4"/>
    <x v="7"/>
    <n v="33"/>
    <x v="1"/>
    <n v="1"/>
    <x v="0"/>
  </r>
  <r>
    <n v="10595"/>
    <n v="48"/>
    <x v="0"/>
    <x v="0"/>
    <x v="4"/>
    <x v="3"/>
    <s v="Married"/>
    <n v="31765"/>
    <n v="22658"/>
    <x v="7"/>
    <x v="11"/>
    <n v="3"/>
    <s v="No"/>
    <n v="3"/>
    <x v="36"/>
    <n v="55"/>
    <x v="0"/>
    <n v="1"/>
    <x v="0"/>
  </r>
  <r>
    <n v="10596"/>
    <n v="41"/>
    <x v="1"/>
    <x v="2"/>
    <x v="4"/>
    <x v="3"/>
    <s v="Married"/>
    <n v="35681"/>
    <n v="9114"/>
    <x v="22"/>
    <x v="10"/>
    <n v="3"/>
    <s v="No"/>
    <n v="1"/>
    <x v="20"/>
    <n v="54"/>
    <x v="1"/>
    <n v="3"/>
    <x v="1"/>
  </r>
  <r>
    <n v="10597"/>
    <n v="59"/>
    <x v="0"/>
    <x v="5"/>
    <x v="1"/>
    <x v="3"/>
    <s v="Single"/>
    <n v="49263"/>
    <n v="40843"/>
    <x v="9"/>
    <x v="10"/>
    <n v="3"/>
    <s v="No"/>
    <n v="2"/>
    <x v="7"/>
    <n v="13"/>
    <x v="3"/>
    <n v="3"/>
    <x v="0"/>
  </r>
  <r>
    <n v="10598"/>
    <n v="26"/>
    <x v="0"/>
    <x v="0"/>
    <x v="3"/>
    <x v="0"/>
    <s v="Married"/>
    <n v="111996"/>
    <n v="42582"/>
    <x v="14"/>
    <x v="11"/>
    <n v="3"/>
    <s v="No"/>
    <n v="4"/>
    <x v="2"/>
    <n v="28"/>
    <x v="0"/>
    <n v="3"/>
    <x v="0"/>
  </r>
  <r>
    <n v="10599"/>
    <n v="41"/>
    <x v="1"/>
    <x v="0"/>
    <x v="0"/>
    <x v="0"/>
    <s v="Single"/>
    <n v="69118"/>
    <n v="46947"/>
    <x v="15"/>
    <x v="3"/>
    <n v="3"/>
    <s v="Yes"/>
    <n v="2"/>
    <x v="1"/>
    <n v="33"/>
    <x v="2"/>
    <n v="4"/>
    <x v="1"/>
  </r>
  <r>
    <n v="10600"/>
    <n v="51"/>
    <x v="1"/>
    <x v="3"/>
    <x v="4"/>
    <x v="2"/>
    <s v="Divorced"/>
    <n v="39278"/>
    <n v="42964"/>
    <x v="15"/>
    <x v="1"/>
    <n v="3"/>
    <s v="Yes"/>
    <n v="2"/>
    <x v="8"/>
    <n v="47"/>
    <x v="0"/>
    <n v="3"/>
    <x v="0"/>
  </r>
  <r>
    <n v="10601"/>
    <n v="25"/>
    <x v="0"/>
    <x v="2"/>
    <x v="4"/>
    <x v="0"/>
    <s v="Single"/>
    <n v="25763"/>
    <n v="10518"/>
    <x v="5"/>
    <x v="8"/>
    <n v="1"/>
    <s v="No"/>
    <n v="4"/>
    <x v="5"/>
    <n v="56"/>
    <x v="2"/>
    <n v="3"/>
    <x v="0"/>
  </r>
  <r>
    <n v="10602"/>
    <n v="40"/>
    <x v="1"/>
    <x v="5"/>
    <x v="1"/>
    <x v="2"/>
    <s v="Divorced"/>
    <n v="52433"/>
    <n v="497"/>
    <x v="12"/>
    <x v="9"/>
    <n v="1"/>
    <s v="No"/>
    <n v="3"/>
    <x v="2"/>
    <n v="53"/>
    <x v="0"/>
    <n v="4"/>
    <x v="0"/>
  </r>
  <r>
    <n v="10603"/>
    <n v="52"/>
    <x v="1"/>
    <x v="1"/>
    <x v="1"/>
    <x v="2"/>
    <s v="Divorced"/>
    <n v="48605"/>
    <n v="42703"/>
    <x v="10"/>
    <x v="3"/>
    <n v="4"/>
    <s v="No"/>
    <n v="2"/>
    <x v="23"/>
    <n v="28"/>
    <x v="3"/>
    <n v="2"/>
    <x v="0"/>
  </r>
  <r>
    <n v="10604"/>
    <n v="35"/>
    <x v="1"/>
    <x v="2"/>
    <x v="4"/>
    <x v="2"/>
    <s v="Married"/>
    <n v="26773"/>
    <n v="5079"/>
    <x v="17"/>
    <x v="7"/>
    <n v="2"/>
    <s v="No"/>
    <n v="2"/>
    <x v="8"/>
    <n v="42"/>
    <x v="2"/>
    <n v="3"/>
    <x v="1"/>
  </r>
  <r>
    <n v="10605"/>
    <n v="36"/>
    <x v="0"/>
    <x v="1"/>
    <x v="1"/>
    <x v="2"/>
    <s v="Married"/>
    <n v="68279"/>
    <n v="26118"/>
    <x v="2"/>
    <x v="13"/>
    <n v="1"/>
    <s v="No"/>
    <n v="1"/>
    <x v="19"/>
    <n v="52"/>
    <x v="3"/>
    <n v="1"/>
    <x v="0"/>
  </r>
  <r>
    <n v="10606"/>
    <n v="32"/>
    <x v="0"/>
    <x v="3"/>
    <x v="4"/>
    <x v="2"/>
    <s v="Divorced"/>
    <n v="30423"/>
    <n v="30810"/>
    <x v="16"/>
    <x v="7"/>
    <n v="3"/>
    <s v="No"/>
    <n v="4"/>
    <x v="26"/>
    <n v="41"/>
    <x v="1"/>
    <n v="2"/>
    <x v="0"/>
  </r>
  <r>
    <n v="10607"/>
    <n v="30"/>
    <x v="1"/>
    <x v="3"/>
    <x v="4"/>
    <x v="2"/>
    <s v="Married"/>
    <n v="33266"/>
    <n v="26598"/>
    <x v="7"/>
    <x v="10"/>
    <n v="2"/>
    <s v="No"/>
    <n v="2"/>
    <x v="14"/>
    <n v="48"/>
    <x v="0"/>
    <n v="2"/>
    <x v="0"/>
  </r>
  <r>
    <n v="10608"/>
    <n v="20"/>
    <x v="0"/>
    <x v="2"/>
    <x v="1"/>
    <x v="3"/>
    <s v="Married"/>
    <n v="57071"/>
    <n v="7965"/>
    <x v="6"/>
    <x v="7"/>
    <n v="4"/>
    <s v="Yes"/>
    <n v="3"/>
    <x v="11"/>
    <n v="54"/>
    <x v="2"/>
    <n v="3"/>
    <x v="0"/>
  </r>
  <r>
    <n v="10609"/>
    <n v="45"/>
    <x v="1"/>
    <x v="5"/>
    <x v="0"/>
    <x v="2"/>
    <s v="Married"/>
    <n v="72221"/>
    <n v="25255"/>
    <x v="21"/>
    <x v="11"/>
    <n v="3"/>
    <s v="No"/>
    <n v="2"/>
    <x v="33"/>
    <n v="35"/>
    <x v="3"/>
    <n v="3"/>
    <x v="0"/>
  </r>
  <r>
    <n v="10610"/>
    <n v="40"/>
    <x v="0"/>
    <x v="0"/>
    <x v="4"/>
    <x v="2"/>
    <s v="Single"/>
    <n v="27786"/>
    <n v="49322"/>
    <x v="15"/>
    <x v="8"/>
    <n v="5"/>
    <s v="No"/>
    <n v="2"/>
    <x v="2"/>
    <n v="26"/>
    <x v="1"/>
    <n v="3"/>
    <x v="0"/>
  </r>
  <r>
    <n v="10611"/>
    <n v="49"/>
    <x v="0"/>
    <x v="3"/>
    <x v="4"/>
    <x v="2"/>
    <s v="Single"/>
    <n v="25236"/>
    <n v="35191"/>
    <x v="9"/>
    <x v="8"/>
    <n v="5"/>
    <s v="No"/>
    <n v="4"/>
    <x v="22"/>
    <n v="43"/>
    <x v="1"/>
    <n v="3"/>
    <x v="0"/>
  </r>
  <r>
    <n v="10612"/>
    <n v="43"/>
    <x v="0"/>
    <x v="5"/>
    <x v="1"/>
    <x v="2"/>
    <s v="Single"/>
    <n v="65487"/>
    <n v="3098"/>
    <x v="21"/>
    <x v="13"/>
    <n v="4"/>
    <s v="No"/>
    <n v="4"/>
    <x v="27"/>
    <n v="43"/>
    <x v="0"/>
    <n v="3"/>
    <x v="0"/>
  </r>
  <r>
    <n v="10613"/>
    <n v="33"/>
    <x v="0"/>
    <x v="2"/>
    <x v="3"/>
    <x v="2"/>
    <s v="Single"/>
    <n v="105775"/>
    <n v="15683"/>
    <x v="13"/>
    <x v="0"/>
    <n v="2"/>
    <s v="No"/>
    <n v="2"/>
    <x v="18"/>
    <n v="49"/>
    <x v="0"/>
    <n v="2"/>
    <x v="0"/>
  </r>
  <r>
    <n v="10614"/>
    <n v="43"/>
    <x v="1"/>
    <x v="2"/>
    <x v="2"/>
    <x v="2"/>
    <s v="Single"/>
    <n v="16321"/>
    <n v="23211"/>
    <x v="4"/>
    <x v="4"/>
    <n v="2"/>
    <s v="No"/>
    <n v="4"/>
    <x v="6"/>
    <n v="11"/>
    <x v="3"/>
    <n v="2"/>
    <x v="0"/>
  </r>
  <r>
    <n v="10615"/>
    <n v="45"/>
    <x v="0"/>
    <x v="4"/>
    <x v="5"/>
    <x v="2"/>
    <s v="Divorced"/>
    <n v="160910"/>
    <n v="26918"/>
    <x v="19"/>
    <x v="13"/>
    <n v="3"/>
    <s v="No"/>
    <n v="4"/>
    <x v="23"/>
    <n v="45"/>
    <x v="0"/>
    <n v="3"/>
    <x v="0"/>
  </r>
  <r>
    <n v="10616"/>
    <n v="25"/>
    <x v="0"/>
    <x v="2"/>
    <x v="1"/>
    <x v="2"/>
    <s v="Single"/>
    <n v="68132"/>
    <n v="4889"/>
    <x v="16"/>
    <x v="7"/>
    <n v="3"/>
    <s v="Yes"/>
    <n v="3"/>
    <x v="7"/>
    <n v="11"/>
    <x v="0"/>
    <n v="3"/>
    <x v="0"/>
  </r>
  <r>
    <n v="10617"/>
    <n v="45"/>
    <x v="1"/>
    <x v="2"/>
    <x v="4"/>
    <x v="2"/>
    <s v="Single"/>
    <n v="33204"/>
    <n v="1408"/>
    <x v="11"/>
    <x v="6"/>
    <n v="2"/>
    <s v="No"/>
    <n v="3"/>
    <x v="5"/>
    <n v="25"/>
    <x v="3"/>
    <n v="2"/>
    <x v="0"/>
  </r>
  <r>
    <n v="10618"/>
    <n v="30"/>
    <x v="0"/>
    <x v="1"/>
    <x v="4"/>
    <x v="3"/>
    <s v="Married"/>
    <n v="41878"/>
    <n v="13775"/>
    <x v="2"/>
    <x v="1"/>
    <n v="3"/>
    <s v="No"/>
    <n v="3"/>
    <x v="3"/>
    <n v="26"/>
    <x v="3"/>
    <n v="4"/>
    <x v="0"/>
  </r>
  <r>
    <n v="10619"/>
    <n v="26"/>
    <x v="0"/>
    <x v="2"/>
    <x v="1"/>
    <x v="0"/>
    <s v="Married"/>
    <n v="66332"/>
    <n v="36365"/>
    <x v="13"/>
    <x v="8"/>
    <n v="3"/>
    <s v="No"/>
    <n v="2"/>
    <x v="11"/>
    <n v="28"/>
    <x v="3"/>
    <n v="3"/>
    <x v="0"/>
  </r>
  <r>
    <n v="10620"/>
    <n v="56"/>
    <x v="0"/>
    <x v="3"/>
    <x v="0"/>
    <x v="3"/>
    <s v="Married"/>
    <n v="86174"/>
    <n v="47318"/>
    <x v="9"/>
    <x v="7"/>
    <n v="3"/>
    <s v="No"/>
    <n v="4"/>
    <x v="38"/>
    <n v="8"/>
    <x v="0"/>
    <n v="3"/>
    <x v="0"/>
  </r>
  <r>
    <n v="10621"/>
    <n v="32"/>
    <x v="1"/>
    <x v="4"/>
    <x v="0"/>
    <x v="3"/>
    <s v="Married"/>
    <n v="64429"/>
    <n v="5361"/>
    <x v="3"/>
    <x v="13"/>
    <n v="3"/>
    <s v="No"/>
    <n v="2"/>
    <x v="25"/>
    <n v="23"/>
    <x v="0"/>
    <n v="2"/>
    <x v="0"/>
  </r>
  <r>
    <n v="10622"/>
    <n v="34"/>
    <x v="0"/>
    <x v="1"/>
    <x v="1"/>
    <x v="3"/>
    <s v="Single"/>
    <n v="45886"/>
    <n v="28342"/>
    <x v="18"/>
    <x v="7"/>
    <n v="5"/>
    <s v="Yes"/>
    <n v="4"/>
    <x v="22"/>
    <n v="57"/>
    <x v="3"/>
    <n v="3"/>
    <x v="0"/>
  </r>
  <r>
    <n v="10623"/>
    <n v="55"/>
    <x v="0"/>
    <x v="5"/>
    <x v="1"/>
    <x v="2"/>
    <s v="Single"/>
    <n v="46780"/>
    <n v="33593"/>
    <x v="5"/>
    <x v="8"/>
    <n v="2"/>
    <s v="Yes"/>
    <n v="3"/>
    <x v="7"/>
    <n v="12"/>
    <x v="0"/>
    <n v="3"/>
    <x v="0"/>
  </r>
  <r>
    <n v="10624"/>
    <n v="39"/>
    <x v="0"/>
    <x v="2"/>
    <x v="1"/>
    <x v="2"/>
    <s v="Divorced"/>
    <n v="65012"/>
    <n v="24312"/>
    <x v="10"/>
    <x v="2"/>
    <n v="2"/>
    <s v="Yes"/>
    <n v="3"/>
    <x v="27"/>
    <n v="8"/>
    <x v="1"/>
    <n v="3"/>
    <x v="1"/>
  </r>
  <r>
    <n v="10625"/>
    <n v="55"/>
    <x v="0"/>
    <x v="2"/>
    <x v="4"/>
    <x v="2"/>
    <s v="Single"/>
    <n v="28212"/>
    <n v="46815"/>
    <x v="12"/>
    <x v="7"/>
    <n v="3"/>
    <s v="No"/>
    <n v="3"/>
    <x v="2"/>
    <n v="46"/>
    <x v="3"/>
    <n v="2"/>
    <x v="0"/>
  </r>
  <r>
    <n v="10626"/>
    <n v="37"/>
    <x v="1"/>
    <x v="3"/>
    <x v="0"/>
    <x v="2"/>
    <s v="Single"/>
    <n v="89074"/>
    <n v="27584"/>
    <x v="7"/>
    <x v="13"/>
    <n v="3"/>
    <s v="No"/>
    <n v="1"/>
    <x v="34"/>
    <n v="57"/>
    <x v="3"/>
    <n v="1"/>
    <x v="1"/>
  </r>
  <r>
    <n v="10627"/>
    <n v="31"/>
    <x v="1"/>
    <x v="2"/>
    <x v="4"/>
    <x v="3"/>
    <s v="Married"/>
    <n v="27098"/>
    <n v="9910"/>
    <x v="1"/>
    <x v="14"/>
    <n v="3"/>
    <s v="No"/>
    <n v="4"/>
    <x v="25"/>
    <n v="11"/>
    <x v="0"/>
    <n v="4"/>
    <x v="1"/>
  </r>
  <r>
    <n v="10628"/>
    <n v="56"/>
    <x v="1"/>
    <x v="1"/>
    <x v="1"/>
    <x v="2"/>
    <s v="Married"/>
    <n v="69182"/>
    <n v="6387"/>
    <x v="22"/>
    <x v="14"/>
    <n v="3"/>
    <s v="No"/>
    <n v="1"/>
    <x v="19"/>
    <n v="44"/>
    <x v="1"/>
    <n v="3"/>
    <x v="0"/>
  </r>
  <r>
    <n v="10629"/>
    <n v="44"/>
    <x v="1"/>
    <x v="2"/>
    <x v="1"/>
    <x v="2"/>
    <s v="Married"/>
    <n v="67523"/>
    <n v="20637"/>
    <x v="8"/>
    <x v="0"/>
    <n v="3"/>
    <s v="No"/>
    <n v="4"/>
    <x v="36"/>
    <n v="17"/>
    <x v="2"/>
    <n v="4"/>
    <x v="0"/>
  </r>
  <r>
    <n v="10630"/>
    <n v="46"/>
    <x v="1"/>
    <x v="5"/>
    <x v="4"/>
    <x v="3"/>
    <s v="Married"/>
    <n v="41717"/>
    <n v="27407"/>
    <x v="13"/>
    <x v="9"/>
    <n v="3"/>
    <s v="No"/>
    <n v="4"/>
    <x v="24"/>
    <n v="13"/>
    <x v="3"/>
    <n v="2"/>
    <x v="0"/>
  </r>
  <r>
    <n v="10631"/>
    <n v="35"/>
    <x v="0"/>
    <x v="2"/>
    <x v="3"/>
    <x v="2"/>
    <s v="Single"/>
    <n v="127432"/>
    <n v="7440"/>
    <x v="7"/>
    <x v="4"/>
    <n v="4"/>
    <s v="No"/>
    <n v="2"/>
    <x v="5"/>
    <n v="26"/>
    <x v="2"/>
    <n v="4"/>
    <x v="0"/>
  </r>
  <r>
    <n v="10632"/>
    <n v="46"/>
    <x v="0"/>
    <x v="0"/>
    <x v="4"/>
    <x v="0"/>
    <s v="Single"/>
    <n v="32008"/>
    <n v="37486"/>
    <x v="21"/>
    <x v="14"/>
    <n v="4"/>
    <s v="No"/>
    <n v="3"/>
    <x v="8"/>
    <n v="22"/>
    <x v="0"/>
    <n v="1"/>
    <x v="0"/>
  </r>
  <r>
    <n v="10633"/>
    <n v="33"/>
    <x v="0"/>
    <x v="2"/>
    <x v="1"/>
    <x v="3"/>
    <s v="Single"/>
    <n v="50158"/>
    <n v="14263"/>
    <x v="11"/>
    <x v="12"/>
    <n v="2"/>
    <s v="Yes"/>
    <n v="3"/>
    <x v="2"/>
    <n v="58"/>
    <x v="3"/>
    <n v="4"/>
    <x v="0"/>
  </r>
  <r>
    <n v="10634"/>
    <n v="39"/>
    <x v="0"/>
    <x v="4"/>
    <x v="5"/>
    <x v="2"/>
    <s v="Married"/>
    <n v="165907"/>
    <n v="1942"/>
    <x v="10"/>
    <x v="14"/>
    <n v="3"/>
    <s v="No"/>
    <n v="3"/>
    <x v="35"/>
    <n v="14"/>
    <x v="3"/>
    <n v="3"/>
    <x v="0"/>
  </r>
  <r>
    <n v="10635"/>
    <n v="30"/>
    <x v="0"/>
    <x v="4"/>
    <x v="0"/>
    <x v="2"/>
    <s v="Married"/>
    <n v="89613"/>
    <n v="3688"/>
    <x v="10"/>
    <x v="3"/>
    <n v="2"/>
    <s v="No"/>
    <n v="4"/>
    <x v="17"/>
    <n v="27"/>
    <x v="1"/>
    <n v="1"/>
    <x v="0"/>
  </r>
  <r>
    <n v="10636"/>
    <n v="51"/>
    <x v="1"/>
    <x v="3"/>
    <x v="1"/>
    <x v="2"/>
    <s v="Married"/>
    <n v="68925"/>
    <n v="23487"/>
    <x v="2"/>
    <x v="3"/>
    <n v="3"/>
    <s v="No"/>
    <n v="3"/>
    <x v="6"/>
    <n v="10"/>
    <x v="0"/>
    <n v="1"/>
    <x v="0"/>
  </r>
  <r>
    <n v="10637"/>
    <n v="51"/>
    <x v="0"/>
    <x v="5"/>
    <x v="3"/>
    <x v="2"/>
    <s v="Single"/>
    <n v="123639"/>
    <n v="12186"/>
    <x v="1"/>
    <x v="2"/>
    <n v="3"/>
    <s v="No"/>
    <n v="3"/>
    <x v="2"/>
    <n v="52"/>
    <x v="0"/>
    <n v="3"/>
    <x v="0"/>
  </r>
  <r>
    <n v="10638"/>
    <n v="57"/>
    <x v="0"/>
    <x v="3"/>
    <x v="0"/>
    <x v="2"/>
    <s v="Divorced"/>
    <n v="66942"/>
    <n v="46489"/>
    <x v="0"/>
    <x v="3"/>
    <n v="5"/>
    <s v="Yes"/>
    <n v="3"/>
    <x v="36"/>
    <n v="45"/>
    <x v="2"/>
    <n v="2"/>
    <x v="1"/>
  </r>
  <r>
    <n v="10639"/>
    <n v="52"/>
    <x v="0"/>
    <x v="3"/>
    <x v="4"/>
    <x v="1"/>
    <s v="Single"/>
    <n v="34023"/>
    <n v="25156"/>
    <x v="21"/>
    <x v="12"/>
    <n v="3"/>
    <s v="Yes"/>
    <n v="4"/>
    <x v="33"/>
    <n v="7"/>
    <x v="0"/>
    <n v="2"/>
    <x v="0"/>
  </r>
  <r>
    <n v="10640"/>
    <n v="23"/>
    <x v="0"/>
    <x v="3"/>
    <x v="4"/>
    <x v="3"/>
    <s v="Married"/>
    <n v="38350"/>
    <n v="22706"/>
    <x v="10"/>
    <x v="3"/>
    <n v="3"/>
    <s v="No"/>
    <n v="3"/>
    <x v="22"/>
    <n v="23"/>
    <x v="3"/>
    <n v="2"/>
    <x v="0"/>
  </r>
  <r>
    <n v="10641"/>
    <n v="35"/>
    <x v="0"/>
    <x v="2"/>
    <x v="1"/>
    <x v="2"/>
    <s v="Married"/>
    <n v="51862"/>
    <n v="27201"/>
    <x v="19"/>
    <x v="2"/>
    <n v="4"/>
    <s v="No"/>
    <n v="2"/>
    <x v="35"/>
    <n v="18"/>
    <x v="0"/>
    <n v="2"/>
    <x v="0"/>
  </r>
  <r>
    <n v="10642"/>
    <n v="35"/>
    <x v="0"/>
    <x v="2"/>
    <x v="1"/>
    <x v="2"/>
    <s v="Married"/>
    <n v="49014"/>
    <n v="29790"/>
    <x v="2"/>
    <x v="4"/>
    <n v="3"/>
    <s v="No"/>
    <n v="3"/>
    <x v="21"/>
    <n v="20"/>
    <x v="3"/>
    <n v="2"/>
    <x v="0"/>
  </r>
  <r>
    <n v="10643"/>
    <n v="36"/>
    <x v="0"/>
    <x v="2"/>
    <x v="0"/>
    <x v="2"/>
    <s v="Single"/>
    <n v="77504"/>
    <n v="17105"/>
    <x v="5"/>
    <x v="3"/>
    <n v="3"/>
    <s v="No"/>
    <n v="3"/>
    <x v="30"/>
    <n v="26"/>
    <x v="0"/>
    <n v="2"/>
    <x v="0"/>
  </r>
  <r>
    <n v="10644"/>
    <n v="42"/>
    <x v="1"/>
    <x v="4"/>
    <x v="0"/>
    <x v="0"/>
    <s v="Married"/>
    <n v="89612"/>
    <n v="21825"/>
    <x v="22"/>
    <x v="6"/>
    <n v="2"/>
    <s v="No"/>
    <n v="1"/>
    <x v="14"/>
    <n v="31"/>
    <x v="2"/>
    <n v="4"/>
    <x v="0"/>
  </r>
  <r>
    <n v="10645"/>
    <n v="57"/>
    <x v="0"/>
    <x v="3"/>
    <x v="2"/>
    <x v="2"/>
    <s v="Single"/>
    <n v="13255"/>
    <n v="29393"/>
    <x v="11"/>
    <x v="14"/>
    <n v="3"/>
    <s v="Yes"/>
    <n v="3"/>
    <x v="0"/>
    <n v="28"/>
    <x v="3"/>
    <n v="3"/>
    <x v="0"/>
  </r>
  <r>
    <n v="10646"/>
    <n v="32"/>
    <x v="0"/>
    <x v="3"/>
    <x v="2"/>
    <x v="2"/>
    <s v="Married"/>
    <n v="15302"/>
    <n v="21435"/>
    <x v="24"/>
    <x v="11"/>
    <n v="4"/>
    <s v="No"/>
    <n v="3"/>
    <x v="8"/>
    <n v="19"/>
    <x v="3"/>
    <n v="3"/>
    <x v="0"/>
  </r>
  <r>
    <n v="10647"/>
    <n v="28"/>
    <x v="0"/>
    <x v="4"/>
    <x v="1"/>
    <x v="3"/>
    <s v="Married"/>
    <n v="52055"/>
    <n v="28646"/>
    <x v="24"/>
    <x v="1"/>
    <n v="3"/>
    <s v="No"/>
    <n v="1"/>
    <x v="31"/>
    <n v="5"/>
    <x v="0"/>
    <n v="3"/>
    <x v="0"/>
  </r>
  <r>
    <n v="10648"/>
    <n v="34"/>
    <x v="0"/>
    <x v="5"/>
    <x v="2"/>
    <x v="3"/>
    <s v="Married"/>
    <n v="11484"/>
    <n v="37450"/>
    <x v="0"/>
    <x v="4"/>
    <n v="4"/>
    <s v="No"/>
    <n v="3"/>
    <x v="21"/>
    <n v="11"/>
    <x v="1"/>
    <n v="4"/>
    <x v="0"/>
  </r>
  <r>
    <n v="10649"/>
    <n v="37"/>
    <x v="0"/>
    <x v="2"/>
    <x v="4"/>
    <x v="0"/>
    <s v="Married"/>
    <n v="44416"/>
    <n v="4849"/>
    <x v="0"/>
    <x v="12"/>
    <n v="3"/>
    <s v="No"/>
    <n v="3"/>
    <x v="12"/>
    <n v="31"/>
    <x v="2"/>
    <n v="2"/>
    <x v="1"/>
  </r>
  <r>
    <n v="10650"/>
    <n v="27"/>
    <x v="0"/>
    <x v="2"/>
    <x v="4"/>
    <x v="3"/>
    <s v="Single"/>
    <n v="25452"/>
    <n v="37116"/>
    <x v="15"/>
    <x v="12"/>
    <n v="5"/>
    <s v="Yes"/>
    <n v="2"/>
    <x v="26"/>
    <n v="34"/>
    <x v="3"/>
    <n v="4"/>
    <x v="0"/>
  </r>
  <r>
    <n v="10651"/>
    <n v="48"/>
    <x v="0"/>
    <x v="5"/>
    <x v="4"/>
    <x v="2"/>
    <s v="Single"/>
    <n v="41489"/>
    <n v="18433"/>
    <x v="20"/>
    <x v="6"/>
    <n v="4"/>
    <s v="Yes"/>
    <n v="2"/>
    <x v="12"/>
    <n v="41"/>
    <x v="3"/>
    <n v="3"/>
    <x v="0"/>
  </r>
  <r>
    <n v="10652"/>
    <n v="20"/>
    <x v="0"/>
    <x v="3"/>
    <x v="5"/>
    <x v="0"/>
    <s v="Single"/>
    <n v="124860"/>
    <n v="11164"/>
    <x v="23"/>
    <x v="11"/>
    <n v="3"/>
    <s v="No"/>
    <n v="4"/>
    <x v="30"/>
    <n v="14"/>
    <x v="2"/>
    <n v="3"/>
    <x v="1"/>
  </r>
  <r>
    <n v="10653"/>
    <n v="53"/>
    <x v="0"/>
    <x v="1"/>
    <x v="0"/>
    <x v="3"/>
    <s v="Single"/>
    <n v="86868"/>
    <n v="44343"/>
    <x v="16"/>
    <x v="5"/>
    <n v="4"/>
    <s v="Yes"/>
    <n v="3"/>
    <x v="1"/>
    <n v="20"/>
    <x v="3"/>
    <n v="3"/>
    <x v="0"/>
  </r>
  <r>
    <n v="10654"/>
    <n v="31"/>
    <x v="1"/>
    <x v="1"/>
    <x v="2"/>
    <x v="2"/>
    <s v="Single"/>
    <n v="10104"/>
    <n v="28457"/>
    <x v="1"/>
    <x v="7"/>
    <n v="4"/>
    <s v="No"/>
    <n v="1"/>
    <x v="7"/>
    <n v="56"/>
    <x v="2"/>
    <n v="1"/>
    <x v="0"/>
  </r>
  <r>
    <n v="10655"/>
    <n v="39"/>
    <x v="1"/>
    <x v="3"/>
    <x v="0"/>
    <x v="2"/>
    <s v="Divorced"/>
    <n v="70934"/>
    <n v="34119"/>
    <x v="10"/>
    <x v="4"/>
    <n v="2"/>
    <s v="No"/>
    <n v="2"/>
    <x v="18"/>
    <n v="35"/>
    <x v="3"/>
    <n v="1"/>
    <x v="0"/>
  </r>
  <r>
    <n v="10656"/>
    <n v="47"/>
    <x v="0"/>
    <x v="2"/>
    <x v="1"/>
    <x v="0"/>
    <s v="Married"/>
    <n v="62443"/>
    <n v="42719"/>
    <x v="9"/>
    <x v="0"/>
    <n v="3"/>
    <s v="No"/>
    <n v="1"/>
    <x v="5"/>
    <n v="45"/>
    <x v="0"/>
    <n v="4"/>
    <x v="0"/>
  </r>
  <r>
    <n v="10657"/>
    <n v="59"/>
    <x v="1"/>
    <x v="2"/>
    <x v="4"/>
    <x v="2"/>
    <s v="Married"/>
    <n v="35248"/>
    <n v="22560"/>
    <x v="4"/>
    <x v="8"/>
    <n v="3"/>
    <s v="Yes"/>
    <n v="4"/>
    <x v="38"/>
    <n v="43"/>
    <x v="3"/>
    <n v="1"/>
    <x v="0"/>
  </r>
  <r>
    <n v="10658"/>
    <n v="43"/>
    <x v="1"/>
    <x v="5"/>
    <x v="1"/>
    <x v="2"/>
    <s v="Single"/>
    <n v="62211"/>
    <n v="12907"/>
    <x v="17"/>
    <x v="14"/>
    <n v="3"/>
    <s v="No"/>
    <n v="3"/>
    <x v="0"/>
    <n v="34"/>
    <x v="0"/>
    <n v="1"/>
    <x v="0"/>
  </r>
  <r>
    <n v="10659"/>
    <n v="33"/>
    <x v="0"/>
    <x v="3"/>
    <x v="0"/>
    <x v="3"/>
    <s v="Married"/>
    <n v="89281"/>
    <n v="16449"/>
    <x v="7"/>
    <x v="12"/>
    <n v="3"/>
    <s v="No"/>
    <n v="4"/>
    <x v="28"/>
    <n v="29"/>
    <x v="3"/>
    <n v="1"/>
    <x v="0"/>
  </r>
  <r>
    <n v="10660"/>
    <n v="38"/>
    <x v="1"/>
    <x v="5"/>
    <x v="2"/>
    <x v="1"/>
    <s v="Married"/>
    <n v="12525"/>
    <n v="20128"/>
    <x v="2"/>
    <x v="4"/>
    <n v="3"/>
    <s v="No"/>
    <n v="3"/>
    <x v="36"/>
    <n v="25"/>
    <x v="0"/>
    <n v="2"/>
    <x v="0"/>
  </r>
  <r>
    <n v="10661"/>
    <n v="21"/>
    <x v="0"/>
    <x v="1"/>
    <x v="1"/>
    <x v="2"/>
    <s v="Married"/>
    <n v="47606"/>
    <n v="20875"/>
    <x v="6"/>
    <x v="6"/>
    <n v="4"/>
    <s v="No"/>
    <n v="3"/>
    <x v="12"/>
    <n v="19"/>
    <x v="0"/>
    <n v="2"/>
    <x v="0"/>
  </r>
  <r>
    <n v="10662"/>
    <n v="37"/>
    <x v="1"/>
    <x v="2"/>
    <x v="3"/>
    <x v="2"/>
    <s v="Divorced"/>
    <n v="126868"/>
    <n v="19017"/>
    <x v="1"/>
    <x v="14"/>
    <n v="3"/>
    <s v="No"/>
    <n v="3"/>
    <x v="13"/>
    <n v="42"/>
    <x v="0"/>
    <n v="2"/>
    <x v="0"/>
  </r>
  <r>
    <n v="10663"/>
    <n v="37"/>
    <x v="0"/>
    <x v="2"/>
    <x v="5"/>
    <x v="0"/>
    <s v="Married"/>
    <n v="179414"/>
    <n v="13286"/>
    <x v="5"/>
    <x v="8"/>
    <n v="3"/>
    <s v="Yes"/>
    <n v="4"/>
    <x v="24"/>
    <n v="49"/>
    <x v="0"/>
    <n v="3"/>
    <x v="0"/>
  </r>
  <r>
    <n v="10664"/>
    <n v="49"/>
    <x v="0"/>
    <x v="2"/>
    <x v="1"/>
    <x v="2"/>
    <s v="Single"/>
    <n v="64362"/>
    <n v="47836"/>
    <x v="5"/>
    <x v="11"/>
    <n v="4"/>
    <s v="Yes"/>
    <n v="4"/>
    <x v="24"/>
    <n v="49"/>
    <x v="0"/>
    <n v="4"/>
    <x v="0"/>
  </r>
  <r>
    <n v="10665"/>
    <n v="55"/>
    <x v="1"/>
    <x v="3"/>
    <x v="0"/>
    <x v="2"/>
    <s v="Married"/>
    <n v="70662"/>
    <n v="42213"/>
    <x v="18"/>
    <x v="13"/>
    <n v="2"/>
    <s v="No"/>
    <n v="2"/>
    <x v="28"/>
    <n v="50"/>
    <x v="0"/>
    <n v="3"/>
    <x v="0"/>
  </r>
  <r>
    <n v="10666"/>
    <n v="29"/>
    <x v="1"/>
    <x v="1"/>
    <x v="5"/>
    <x v="2"/>
    <s v="Single"/>
    <n v="154136"/>
    <n v="19868"/>
    <x v="18"/>
    <x v="14"/>
    <n v="2"/>
    <s v="No"/>
    <n v="3"/>
    <x v="16"/>
    <n v="13"/>
    <x v="0"/>
    <n v="1"/>
    <x v="0"/>
  </r>
  <r>
    <n v="10667"/>
    <n v="53"/>
    <x v="1"/>
    <x v="4"/>
    <x v="5"/>
    <x v="2"/>
    <s v="Married"/>
    <n v="131103"/>
    <n v="33069"/>
    <x v="11"/>
    <x v="14"/>
    <n v="2"/>
    <s v="No"/>
    <n v="3"/>
    <x v="21"/>
    <n v="58"/>
    <x v="3"/>
    <n v="1"/>
    <x v="0"/>
  </r>
  <r>
    <n v="10668"/>
    <n v="49"/>
    <x v="0"/>
    <x v="4"/>
    <x v="4"/>
    <x v="2"/>
    <s v="Single"/>
    <n v="35230"/>
    <n v="11143"/>
    <x v="12"/>
    <x v="1"/>
    <n v="3"/>
    <s v="No"/>
    <n v="2"/>
    <x v="30"/>
    <n v="20"/>
    <x v="1"/>
    <n v="1"/>
    <x v="0"/>
  </r>
  <r>
    <n v="10669"/>
    <n v="23"/>
    <x v="0"/>
    <x v="3"/>
    <x v="0"/>
    <x v="0"/>
    <s v="Married"/>
    <n v="80758"/>
    <n v="5526"/>
    <x v="17"/>
    <x v="1"/>
    <n v="4"/>
    <s v="No"/>
    <n v="4"/>
    <x v="36"/>
    <n v="59"/>
    <x v="2"/>
    <n v="4"/>
    <x v="0"/>
  </r>
  <r>
    <n v="10670"/>
    <n v="25"/>
    <x v="0"/>
    <x v="2"/>
    <x v="0"/>
    <x v="3"/>
    <s v="Married"/>
    <n v="65700"/>
    <n v="43815"/>
    <x v="17"/>
    <x v="4"/>
    <n v="5"/>
    <s v="Yes"/>
    <n v="2"/>
    <x v="0"/>
    <n v="22"/>
    <x v="0"/>
    <n v="4"/>
    <x v="0"/>
  </r>
  <r>
    <n v="10671"/>
    <n v="34"/>
    <x v="0"/>
    <x v="0"/>
    <x v="3"/>
    <x v="2"/>
    <s v="Single"/>
    <n v="117195"/>
    <n v="28389"/>
    <x v="15"/>
    <x v="6"/>
    <n v="1"/>
    <s v="No"/>
    <n v="2"/>
    <x v="38"/>
    <n v="16"/>
    <x v="0"/>
    <n v="3"/>
    <x v="1"/>
  </r>
  <r>
    <n v="10672"/>
    <n v="28"/>
    <x v="1"/>
    <x v="3"/>
    <x v="3"/>
    <x v="2"/>
    <s v="Single"/>
    <n v="127822"/>
    <n v="44542"/>
    <x v="2"/>
    <x v="12"/>
    <n v="3"/>
    <s v="Yes"/>
    <n v="3"/>
    <x v="24"/>
    <n v="16"/>
    <x v="0"/>
    <n v="2"/>
    <x v="0"/>
  </r>
  <r>
    <n v="10673"/>
    <n v="50"/>
    <x v="0"/>
    <x v="3"/>
    <x v="0"/>
    <x v="2"/>
    <s v="Single"/>
    <n v="79879"/>
    <n v="19336"/>
    <x v="5"/>
    <x v="14"/>
    <n v="3"/>
    <s v="No"/>
    <n v="3"/>
    <x v="37"/>
    <n v="6"/>
    <x v="3"/>
    <n v="2"/>
    <x v="0"/>
  </r>
  <r>
    <n v="10674"/>
    <n v="25"/>
    <x v="0"/>
    <x v="4"/>
    <x v="4"/>
    <x v="3"/>
    <s v="Single"/>
    <n v="37842"/>
    <n v="10310"/>
    <x v="0"/>
    <x v="14"/>
    <n v="1"/>
    <s v="No"/>
    <n v="3"/>
    <x v="21"/>
    <n v="57"/>
    <x v="3"/>
    <n v="4"/>
    <x v="0"/>
  </r>
  <r>
    <n v="10675"/>
    <n v="28"/>
    <x v="1"/>
    <x v="5"/>
    <x v="0"/>
    <x v="3"/>
    <s v="Married"/>
    <n v="69634"/>
    <n v="44763"/>
    <x v="5"/>
    <x v="12"/>
    <n v="2"/>
    <s v="No"/>
    <n v="2"/>
    <x v="15"/>
    <n v="5"/>
    <x v="0"/>
    <n v="4"/>
    <x v="0"/>
  </r>
  <r>
    <n v="10676"/>
    <n v="48"/>
    <x v="1"/>
    <x v="0"/>
    <x v="1"/>
    <x v="3"/>
    <s v="Single"/>
    <n v="66038"/>
    <n v="34404"/>
    <x v="10"/>
    <x v="11"/>
    <n v="4"/>
    <s v="No"/>
    <n v="2"/>
    <x v="3"/>
    <n v="29"/>
    <x v="0"/>
    <n v="3"/>
    <x v="0"/>
  </r>
  <r>
    <n v="10677"/>
    <n v="41"/>
    <x v="0"/>
    <x v="2"/>
    <x v="1"/>
    <x v="2"/>
    <s v="Single"/>
    <n v="46286"/>
    <n v="45823"/>
    <x v="17"/>
    <x v="7"/>
    <n v="3"/>
    <s v="No"/>
    <n v="3"/>
    <x v="7"/>
    <n v="35"/>
    <x v="1"/>
    <n v="3"/>
    <x v="1"/>
  </r>
  <r>
    <n v="10678"/>
    <n v="41"/>
    <x v="0"/>
    <x v="2"/>
    <x v="3"/>
    <x v="0"/>
    <s v="Married"/>
    <n v="104479"/>
    <n v="41618"/>
    <x v="14"/>
    <x v="13"/>
    <n v="5"/>
    <s v="No"/>
    <n v="3"/>
    <x v="32"/>
    <n v="51"/>
    <x v="0"/>
    <n v="4"/>
    <x v="0"/>
  </r>
  <r>
    <n v="10679"/>
    <n v="45"/>
    <x v="1"/>
    <x v="4"/>
    <x v="4"/>
    <x v="3"/>
    <s v="Married"/>
    <n v="28097"/>
    <n v="35533"/>
    <x v="6"/>
    <x v="8"/>
    <n v="3"/>
    <s v="No"/>
    <n v="2"/>
    <x v="15"/>
    <n v="26"/>
    <x v="3"/>
    <n v="1"/>
    <x v="0"/>
  </r>
  <r>
    <n v="10680"/>
    <n v="39"/>
    <x v="0"/>
    <x v="1"/>
    <x v="4"/>
    <x v="2"/>
    <s v="Divorced"/>
    <n v="27822"/>
    <n v="9669"/>
    <x v="14"/>
    <x v="14"/>
    <n v="5"/>
    <s v="No"/>
    <n v="4"/>
    <x v="21"/>
    <n v="52"/>
    <x v="0"/>
    <n v="2"/>
    <x v="0"/>
  </r>
  <r>
    <n v="10681"/>
    <n v="21"/>
    <x v="0"/>
    <x v="4"/>
    <x v="0"/>
    <x v="1"/>
    <s v="Single"/>
    <n v="67157"/>
    <n v="25190"/>
    <x v="15"/>
    <x v="7"/>
    <n v="2"/>
    <s v="Yes"/>
    <n v="4"/>
    <x v="28"/>
    <n v="8"/>
    <x v="2"/>
    <n v="2"/>
    <x v="0"/>
  </r>
  <r>
    <n v="10682"/>
    <n v="53"/>
    <x v="1"/>
    <x v="0"/>
    <x v="5"/>
    <x v="3"/>
    <s v="Single"/>
    <n v="157956"/>
    <n v="45486"/>
    <x v="22"/>
    <x v="11"/>
    <n v="4"/>
    <s v="Yes"/>
    <n v="3"/>
    <x v="5"/>
    <n v="18"/>
    <x v="0"/>
    <n v="2"/>
    <x v="1"/>
  </r>
  <r>
    <n v="10683"/>
    <n v="39"/>
    <x v="0"/>
    <x v="2"/>
    <x v="4"/>
    <x v="3"/>
    <s v="Married"/>
    <n v="34408"/>
    <n v="26913"/>
    <x v="0"/>
    <x v="6"/>
    <n v="2"/>
    <s v="No"/>
    <n v="3"/>
    <x v="11"/>
    <n v="38"/>
    <x v="2"/>
    <n v="3"/>
    <x v="0"/>
  </r>
  <r>
    <n v="10684"/>
    <n v="32"/>
    <x v="0"/>
    <x v="3"/>
    <x v="4"/>
    <x v="0"/>
    <s v="Married"/>
    <n v="39322"/>
    <n v="8031"/>
    <x v="0"/>
    <x v="0"/>
    <n v="3"/>
    <s v="No"/>
    <n v="4"/>
    <x v="8"/>
    <n v="52"/>
    <x v="0"/>
    <n v="3"/>
    <x v="0"/>
  </r>
  <r>
    <n v="10685"/>
    <n v="49"/>
    <x v="0"/>
    <x v="2"/>
    <x v="1"/>
    <x v="0"/>
    <s v="Single"/>
    <n v="65943"/>
    <n v="29202"/>
    <x v="15"/>
    <x v="7"/>
    <n v="4"/>
    <s v="Yes"/>
    <n v="3"/>
    <x v="20"/>
    <n v="11"/>
    <x v="1"/>
    <n v="3"/>
    <x v="0"/>
  </r>
  <r>
    <n v="10686"/>
    <n v="50"/>
    <x v="1"/>
    <x v="2"/>
    <x v="4"/>
    <x v="2"/>
    <s v="Single"/>
    <n v="35613"/>
    <n v="23301"/>
    <x v="17"/>
    <x v="2"/>
    <n v="4"/>
    <s v="Yes"/>
    <n v="3"/>
    <x v="17"/>
    <n v="38"/>
    <x v="3"/>
    <n v="3"/>
    <x v="0"/>
  </r>
  <r>
    <n v="10687"/>
    <n v="40"/>
    <x v="1"/>
    <x v="1"/>
    <x v="0"/>
    <x v="3"/>
    <s v="Married"/>
    <n v="82189"/>
    <n v="34120"/>
    <x v="10"/>
    <x v="0"/>
    <n v="2"/>
    <s v="Yes"/>
    <n v="1"/>
    <x v="8"/>
    <n v="50"/>
    <x v="2"/>
    <n v="3"/>
    <x v="1"/>
  </r>
  <r>
    <n v="10688"/>
    <n v="53"/>
    <x v="0"/>
    <x v="3"/>
    <x v="0"/>
    <x v="0"/>
    <s v="Single"/>
    <n v="62542"/>
    <n v="13647"/>
    <x v="18"/>
    <x v="10"/>
    <n v="3"/>
    <s v="No"/>
    <n v="4"/>
    <x v="4"/>
    <n v="39"/>
    <x v="3"/>
    <n v="4"/>
    <x v="0"/>
  </r>
  <r>
    <n v="10689"/>
    <n v="53"/>
    <x v="0"/>
    <x v="3"/>
    <x v="3"/>
    <x v="0"/>
    <s v="Single"/>
    <n v="129879"/>
    <n v="25107"/>
    <x v="20"/>
    <x v="9"/>
    <n v="3"/>
    <s v="Yes"/>
    <n v="4"/>
    <x v="38"/>
    <n v="57"/>
    <x v="3"/>
    <n v="4"/>
    <x v="0"/>
  </r>
  <r>
    <n v="10690"/>
    <n v="26"/>
    <x v="0"/>
    <x v="2"/>
    <x v="5"/>
    <x v="3"/>
    <s v="Married"/>
    <n v="165583"/>
    <n v="49587"/>
    <x v="0"/>
    <x v="13"/>
    <n v="3"/>
    <s v="No"/>
    <n v="3"/>
    <x v="11"/>
    <n v="34"/>
    <x v="3"/>
    <n v="1"/>
    <x v="0"/>
  </r>
  <r>
    <n v="10691"/>
    <n v="33"/>
    <x v="0"/>
    <x v="2"/>
    <x v="1"/>
    <x v="2"/>
    <s v="Married"/>
    <n v="48358"/>
    <n v="49855"/>
    <x v="9"/>
    <x v="7"/>
    <n v="4"/>
    <s v="Yes"/>
    <n v="4"/>
    <x v="34"/>
    <n v="38"/>
    <x v="0"/>
    <n v="3"/>
    <x v="0"/>
  </r>
  <r>
    <n v="10692"/>
    <n v="51"/>
    <x v="0"/>
    <x v="2"/>
    <x v="1"/>
    <x v="2"/>
    <s v="Single"/>
    <n v="69785"/>
    <n v="2105"/>
    <x v="24"/>
    <x v="2"/>
    <n v="3"/>
    <s v="Yes"/>
    <n v="4"/>
    <x v="12"/>
    <n v="7"/>
    <x v="2"/>
    <n v="3"/>
    <x v="0"/>
  </r>
  <r>
    <n v="10693"/>
    <n v="35"/>
    <x v="0"/>
    <x v="4"/>
    <x v="5"/>
    <x v="2"/>
    <s v="Married"/>
    <n v="156834"/>
    <n v="12818"/>
    <x v="11"/>
    <x v="12"/>
    <n v="3"/>
    <s v="No"/>
    <n v="2"/>
    <x v="0"/>
    <n v="38"/>
    <x v="0"/>
    <n v="4"/>
    <x v="0"/>
  </r>
  <r>
    <n v="10694"/>
    <n v="26"/>
    <x v="0"/>
    <x v="0"/>
    <x v="4"/>
    <x v="2"/>
    <s v="Married"/>
    <n v="39847"/>
    <n v="6953"/>
    <x v="4"/>
    <x v="12"/>
    <n v="3"/>
    <s v="No"/>
    <n v="2"/>
    <x v="29"/>
    <n v="44"/>
    <x v="2"/>
    <n v="4"/>
    <x v="1"/>
  </r>
  <r>
    <n v="10695"/>
    <n v="37"/>
    <x v="0"/>
    <x v="2"/>
    <x v="1"/>
    <x v="2"/>
    <s v="Married"/>
    <n v="46304"/>
    <n v="39433"/>
    <x v="22"/>
    <x v="1"/>
    <n v="3"/>
    <s v="Yes"/>
    <n v="4"/>
    <x v="0"/>
    <n v="34"/>
    <x v="3"/>
    <n v="2"/>
    <x v="0"/>
  </r>
  <r>
    <n v="10696"/>
    <n v="54"/>
    <x v="1"/>
    <x v="2"/>
    <x v="4"/>
    <x v="3"/>
    <s v="Married"/>
    <n v="34321"/>
    <n v="44226"/>
    <x v="0"/>
    <x v="0"/>
    <n v="4"/>
    <s v="No"/>
    <n v="2"/>
    <x v="12"/>
    <n v="10"/>
    <x v="3"/>
    <n v="2"/>
    <x v="0"/>
  </r>
  <r>
    <n v="10697"/>
    <n v="21"/>
    <x v="0"/>
    <x v="2"/>
    <x v="1"/>
    <x v="2"/>
    <s v="Single"/>
    <n v="60729"/>
    <n v="37282"/>
    <x v="17"/>
    <x v="11"/>
    <n v="5"/>
    <s v="Yes"/>
    <n v="4"/>
    <x v="28"/>
    <n v="24"/>
    <x v="3"/>
    <n v="1"/>
    <x v="0"/>
  </r>
  <r>
    <n v="10698"/>
    <n v="21"/>
    <x v="0"/>
    <x v="5"/>
    <x v="1"/>
    <x v="2"/>
    <s v="Married"/>
    <n v="69429"/>
    <n v="23827"/>
    <x v="6"/>
    <x v="2"/>
    <n v="5"/>
    <s v="No"/>
    <n v="2"/>
    <x v="38"/>
    <n v="59"/>
    <x v="3"/>
    <n v="3"/>
    <x v="0"/>
  </r>
  <r>
    <n v="10699"/>
    <n v="55"/>
    <x v="0"/>
    <x v="2"/>
    <x v="1"/>
    <x v="2"/>
    <s v="Married"/>
    <n v="67947"/>
    <n v="7493"/>
    <x v="20"/>
    <x v="7"/>
    <n v="4"/>
    <s v="No"/>
    <n v="2"/>
    <x v="2"/>
    <n v="35"/>
    <x v="3"/>
    <n v="1"/>
    <x v="0"/>
  </r>
  <r>
    <n v="10700"/>
    <n v="26"/>
    <x v="0"/>
    <x v="5"/>
    <x v="0"/>
    <x v="2"/>
    <s v="Divorced"/>
    <n v="87912"/>
    <n v="12046"/>
    <x v="10"/>
    <x v="10"/>
    <n v="4"/>
    <s v="No"/>
    <n v="4"/>
    <x v="21"/>
    <n v="46"/>
    <x v="1"/>
    <n v="3"/>
    <x v="0"/>
  </r>
  <r>
    <n v="10701"/>
    <n v="44"/>
    <x v="0"/>
    <x v="2"/>
    <x v="4"/>
    <x v="0"/>
    <s v="Single"/>
    <n v="41445"/>
    <n v="30549"/>
    <x v="24"/>
    <x v="14"/>
    <n v="3"/>
    <s v="No"/>
    <n v="4"/>
    <x v="6"/>
    <n v="36"/>
    <x v="0"/>
    <n v="4"/>
    <x v="0"/>
  </r>
  <r>
    <n v="10702"/>
    <n v="40"/>
    <x v="1"/>
    <x v="2"/>
    <x v="4"/>
    <x v="0"/>
    <s v="Married"/>
    <n v="30232"/>
    <n v="6734"/>
    <x v="14"/>
    <x v="6"/>
    <n v="4"/>
    <s v="Yes"/>
    <n v="2"/>
    <x v="8"/>
    <n v="23"/>
    <x v="0"/>
    <n v="3"/>
    <x v="0"/>
  </r>
  <r>
    <n v="10703"/>
    <n v="46"/>
    <x v="1"/>
    <x v="3"/>
    <x v="3"/>
    <x v="1"/>
    <s v="Married"/>
    <n v="104847"/>
    <n v="39423"/>
    <x v="11"/>
    <x v="14"/>
    <n v="3"/>
    <s v="No"/>
    <n v="1"/>
    <x v="33"/>
    <n v="58"/>
    <x v="0"/>
    <n v="3"/>
    <x v="0"/>
  </r>
  <r>
    <n v="10704"/>
    <n v="29"/>
    <x v="0"/>
    <x v="2"/>
    <x v="4"/>
    <x v="2"/>
    <s v="Single"/>
    <n v="44665"/>
    <n v="16388"/>
    <x v="6"/>
    <x v="0"/>
    <n v="2"/>
    <s v="Yes"/>
    <n v="2"/>
    <x v="34"/>
    <n v="19"/>
    <x v="1"/>
    <n v="1"/>
    <x v="0"/>
  </r>
  <r>
    <n v="10705"/>
    <n v="38"/>
    <x v="0"/>
    <x v="2"/>
    <x v="4"/>
    <x v="1"/>
    <s v="Single"/>
    <n v="26300"/>
    <n v="37153"/>
    <x v="3"/>
    <x v="10"/>
    <n v="3"/>
    <s v="Yes"/>
    <n v="4"/>
    <x v="4"/>
    <n v="17"/>
    <x v="3"/>
    <n v="3"/>
    <x v="0"/>
  </r>
  <r>
    <n v="10706"/>
    <n v="47"/>
    <x v="0"/>
    <x v="4"/>
    <x v="1"/>
    <x v="3"/>
    <s v="Married"/>
    <n v="64714"/>
    <n v="31622"/>
    <x v="20"/>
    <x v="1"/>
    <n v="1"/>
    <s v="No"/>
    <n v="3"/>
    <x v="27"/>
    <n v="56"/>
    <x v="0"/>
    <n v="3"/>
    <x v="0"/>
  </r>
  <r>
    <n v="10707"/>
    <n v="50"/>
    <x v="0"/>
    <x v="2"/>
    <x v="5"/>
    <x v="3"/>
    <s v="Single"/>
    <n v="160343"/>
    <n v="49730"/>
    <x v="9"/>
    <x v="10"/>
    <n v="1"/>
    <s v="No"/>
    <n v="2"/>
    <x v="32"/>
    <n v="37"/>
    <x v="0"/>
    <n v="1"/>
    <x v="1"/>
  </r>
  <r>
    <n v="10708"/>
    <n v="55"/>
    <x v="0"/>
    <x v="0"/>
    <x v="3"/>
    <x v="1"/>
    <s v="Single"/>
    <n v="107375"/>
    <n v="25010"/>
    <x v="15"/>
    <x v="11"/>
    <n v="4"/>
    <s v="No"/>
    <n v="3"/>
    <x v="5"/>
    <n v="10"/>
    <x v="3"/>
    <n v="3"/>
    <x v="0"/>
  </r>
  <r>
    <n v="10709"/>
    <n v="21"/>
    <x v="0"/>
    <x v="5"/>
    <x v="3"/>
    <x v="2"/>
    <s v="Married"/>
    <n v="98382"/>
    <n v="40799"/>
    <x v="12"/>
    <x v="3"/>
    <n v="4"/>
    <s v="No"/>
    <n v="2"/>
    <x v="5"/>
    <n v="41"/>
    <x v="1"/>
    <n v="3"/>
    <x v="0"/>
  </r>
  <r>
    <n v="10710"/>
    <n v="39"/>
    <x v="0"/>
    <x v="2"/>
    <x v="2"/>
    <x v="3"/>
    <s v="Single"/>
    <n v="18808"/>
    <n v="5906"/>
    <x v="7"/>
    <x v="2"/>
    <n v="2"/>
    <s v="No"/>
    <n v="1"/>
    <x v="2"/>
    <n v="53"/>
    <x v="2"/>
    <n v="1"/>
    <x v="0"/>
  </r>
  <r>
    <n v="10711"/>
    <n v="36"/>
    <x v="1"/>
    <x v="3"/>
    <x v="2"/>
    <x v="2"/>
    <s v="Married"/>
    <n v="13685"/>
    <n v="24575"/>
    <x v="17"/>
    <x v="6"/>
    <n v="4"/>
    <s v="No"/>
    <n v="3"/>
    <x v="17"/>
    <n v="15"/>
    <x v="0"/>
    <n v="4"/>
    <x v="0"/>
  </r>
  <r>
    <n v="10712"/>
    <n v="45"/>
    <x v="0"/>
    <x v="3"/>
    <x v="0"/>
    <x v="2"/>
    <s v="Divorced"/>
    <n v="69652"/>
    <n v="41326"/>
    <x v="7"/>
    <x v="5"/>
    <n v="5"/>
    <s v="No"/>
    <n v="4"/>
    <x v="2"/>
    <n v="41"/>
    <x v="0"/>
    <n v="3"/>
    <x v="0"/>
  </r>
  <r>
    <n v="10713"/>
    <n v="39"/>
    <x v="0"/>
    <x v="2"/>
    <x v="0"/>
    <x v="2"/>
    <s v="Married"/>
    <n v="81527"/>
    <n v="24064"/>
    <x v="16"/>
    <x v="13"/>
    <n v="5"/>
    <s v="No"/>
    <n v="4"/>
    <x v="28"/>
    <n v="33"/>
    <x v="3"/>
    <n v="1"/>
    <x v="0"/>
  </r>
  <r>
    <n v="10714"/>
    <n v="46"/>
    <x v="1"/>
    <x v="0"/>
    <x v="0"/>
    <x v="0"/>
    <s v="Single"/>
    <n v="74772"/>
    <n v="38065"/>
    <x v="0"/>
    <x v="5"/>
    <n v="3"/>
    <s v="Yes"/>
    <n v="3"/>
    <x v="9"/>
    <n v="27"/>
    <x v="3"/>
    <n v="4"/>
    <x v="0"/>
  </r>
  <r>
    <n v="10715"/>
    <n v="51"/>
    <x v="0"/>
    <x v="0"/>
    <x v="0"/>
    <x v="3"/>
    <s v="Married"/>
    <n v="66940"/>
    <n v="25318"/>
    <x v="13"/>
    <x v="10"/>
    <n v="1"/>
    <s v="No"/>
    <n v="3"/>
    <x v="34"/>
    <n v="22"/>
    <x v="0"/>
    <n v="3"/>
    <x v="0"/>
  </r>
  <r>
    <n v="10716"/>
    <n v="57"/>
    <x v="0"/>
    <x v="2"/>
    <x v="1"/>
    <x v="2"/>
    <s v="Single"/>
    <n v="50082"/>
    <n v="1725"/>
    <x v="2"/>
    <x v="4"/>
    <n v="3"/>
    <s v="No"/>
    <n v="4"/>
    <x v="21"/>
    <n v="43"/>
    <x v="1"/>
    <n v="2"/>
    <x v="0"/>
  </r>
  <r>
    <n v="10717"/>
    <n v="27"/>
    <x v="0"/>
    <x v="1"/>
    <x v="4"/>
    <x v="2"/>
    <s v="Married"/>
    <n v="31724"/>
    <n v="37814"/>
    <x v="17"/>
    <x v="12"/>
    <n v="4"/>
    <s v="No"/>
    <n v="2"/>
    <x v="0"/>
    <n v="43"/>
    <x v="2"/>
    <n v="1"/>
    <x v="0"/>
  </r>
  <r>
    <n v="10718"/>
    <n v="54"/>
    <x v="0"/>
    <x v="2"/>
    <x v="4"/>
    <x v="2"/>
    <s v="Married"/>
    <n v="44500"/>
    <n v="47345"/>
    <x v="2"/>
    <x v="13"/>
    <n v="3"/>
    <s v="No"/>
    <n v="1"/>
    <x v="37"/>
    <n v="30"/>
    <x v="0"/>
    <n v="1"/>
    <x v="0"/>
  </r>
  <r>
    <n v="10719"/>
    <n v="59"/>
    <x v="0"/>
    <x v="3"/>
    <x v="0"/>
    <x v="2"/>
    <s v="Married"/>
    <n v="62612"/>
    <n v="30412"/>
    <x v="20"/>
    <x v="14"/>
    <n v="2"/>
    <s v="No"/>
    <n v="2"/>
    <x v="2"/>
    <n v="18"/>
    <x v="0"/>
    <n v="2"/>
    <x v="0"/>
  </r>
  <r>
    <n v="10720"/>
    <n v="47"/>
    <x v="0"/>
    <x v="4"/>
    <x v="2"/>
    <x v="3"/>
    <s v="Single"/>
    <n v="12025"/>
    <n v="26015"/>
    <x v="0"/>
    <x v="2"/>
    <n v="3"/>
    <s v="Yes"/>
    <n v="1"/>
    <x v="3"/>
    <n v="39"/>
    <x v="3"/>
    <n v="3"/>
    <x v="1"/>
  </r>
  <r>
    <n v="10721"/>
    <n v="56"/>
    <x v="0"/>
    <x v="4"/>
    <x v="5"/>
    <x v="0"/>
    <s v="Married"/>
    <n v="126385"/>
    <n v="5362"/>
    <x v="4"/>
    <x v="11"/>
    <n v="2"/>
    <s v="No"/>
    <n v="1"/>
    <x v="4"/>
    <n v="5"/>
    <x v="2"/>
    <n v="1"/>
    <x v="0"/>
  </r>
  <r>
    <n v="10722"/>
    <n v="37"/>
    <x v="0"/>
    <x v="5"/>
    <x v="4"/>
    <x v="3"/>
    <s v="Single"/>
    <n v="41007"/>
    <n v="13065"/>
    <x v="0"/>
    <x v="1"/>
    <n v="3"/>
    <s v="No"/>
    <n v="3"/>
    <x v="33"/>
    <n v="31"/>
    <x v="1"/>
    <n v="4"/>
    <x v="0"/>
  </r>
  <r>
    <n v="10723"/>
    <n v="46"/>
    <x v="0"/>
    <x v="2"/>
    <x v="3"/>
    <x v="3"/>
    <s v="Single"/>
    <n v="120399"/>
    <n v="28750"/>
    <x v="22"/>
    <x v="2"/>
    <n v="3"/>
    <s v="Yes"/>
    <n v="3"/>
    <x v="2"/>
    <n v="51"/>
    <x v="0"/>
    <n v="2"/>
    <x v="0"/>
  </r>
  <r>
    <n v="10724"/>
    <n v="45"/>
    <x v="0"/>
    <x v="5"/>
    <x v="2"/>
    <x v="2"/>
    <s v="Married"/>
    <n v="15568"/>
    <n v="42889"/>
    <x v="12"/>
    <x v="7"/>
    <n v="3"/>
    <s v="No"/>
    <n v="3"/>
    <x v="4"/>
    <n v="33"/>
    <x v="0"/>
    <n v="3"/>
    <x v="0"/>
  </r>
  <r>
    <n v="10725"/>
    <n v="20"/>
    <x v="1"/>
    <x v="5"/>
    <x v="4"/>
    <x v="2"/>
    <s v="Single"/>
    <n v="29885"/>
    <n v="4861"/>
    <x v="6"/>
    <x v="10"/>
    <n v="3"/>
    <s v="No"/>
    <n v="4"/>
    <x v="34"/>
    <n v="27"/>
    <x v="0"/>
    <n v="2"/>
    <x v="0"/>
  </r>
  <r>
    <n v="10726"/>
    <n v="27"/>
    <x v="0"/>
    <x v="5"/>
    <x v="4"/>
    <x v="3"/>
    <s v="Single"/>
    <n v="40480"/>
    <n v="40078"/>
    <x v="10"/>
    <x v="9"/>
    <n v="2"/>
    <s v="No"/>
    <n v="3"/>
    <x v="30"/>
    <n v="14"/>
    <x v="3"/>
    <n v="1"/>
    <x v="0"/>
  </r>
  <r>
    <n v="10727"/>
    <n v="54"/>
    <x v="1"/>
    <x v="0"/>
    <x v="2"/>
    <x v="3"/>
    <s v="Married"/>
    <n v="16042"/>
    <n v="32852"/>
    <x v="12"/>
    <x v="6"/>
    <n v="5"/>
    <s v="No"/>
    <n v="4"/>
    <x v="13"/>
    <n v="8"/>
    <x v="3"/>
    <n v="3"/>
    <x v="0"/>
  </r>
  <r>
    <n v="10728"/>
    <n v="44"/>
    <x v="0"/>
    <x v="0"/>
    <x v="4"/>
    <x v="2"/>
    <s v="Married"/>
    <n v="38548"/>
    <n v="33086"/>
    <x v="6"/>
    <x v="12"/>
    <n v="5"/>
    <s v="Yes"/>
    <n v="2"/>
    <x v="11"/>
    <n v="38"/>
    <x v="0"/>
    <n v="4"/>
    <x v="0"/>
  </r>
  <r>
    <n v="10729"/>
    <n v="48"/>
    <x v="0"/>
    <x v="3"/>
    <x v="0"/>
    <x v="3"/>
    <s v="Single"/>
    <n v="66903"/>
    <n v="19542"/>
    <x v="22"/>
    <x v="14"/>
    <n v="3"/>
    <s v="No"/>
    <n v="2"/>
    <x v="30"/>
    <n v="32"/>
    <x v="2"/>
    <n v="2"/>
    <x v="0"/>
  </r>
  <r>
    <n v="10730"/>
    <n v="47"/>
    <x v="1"/>
    <x v="1"/>
    <x v="4"/>
    <x v="2"/>
    <s v="Single"/>
    <n v="34304"/>
    <n v="29654"/>
    <x v="13"/>
    <x v="3"/>
    <n v="3"/>
    <s v="No"/>
    <n v="2"/>
    <x v="23"/>
    <n v="32"/>
    <x v="2"/>
    <n v="4"/>
    <x v="1"/>
  </r>
  <r>
    <n v="10731"/>
    <n v="32"/>
    <x v="0"/>
    <x v="0"/>
    <x v="4"/>
    <x v="3"/>
    <s v="Married"/>
    <n v="30702"/>
    <n v="37083"/>
    <x v="17"/>
    <x v="5"/>
    <n v="2"/>
    <s v="No"/>
    <n v="4"/>
    <x v="22"/>
    <n v="56"/>
    <x v="3"/>
    <n v="2"/>
    <x v="0"/>
  </r>
  <r>
    <n v="10732"/>
    <n v="29"/>
    <x v="1"/>
    <x v="3"/>
    <x v="0"/>
    <x v="2"/>
    <s v="Divorced"/>
    <n v="74008"/>
    <n v="21810"/>
    <x v="21"/>
    <x v="13"/>
    <n v="3"/>
    <s v="No"/>
    <n v="3"/>
    <x v="31"/>
    <n v="40"/>
    <x v="0"/>
    <n v="4"/>
    <x v="0"/>
  </r>
  <r>
    <n v="10733"/>
    <n v="21"/>
    <x v="1"/>
    <x v="0"/>
    <x v="3"/>
    <x v="3"/>
    <s v="Single"/>
    <n v="118410"/>
    <n v="21404"/>
    <x v="5"/>
    <x v="5"/>
    <n v="3"/>
    <s v="No"/>
    <n v="2"/>
    <x v="16"/>
    <n v="53"/>
    <x v="0"/>
    <n v="3"/>
    <x v="0"/>
  </r>
  <r>
    <n v="10734"/>
    <n v="34"/>
    <x v="0"/>
    <x v="3"/>
    <x v="3"/>
    <x v="1"/>
    <s v="Single"/>
    <n v="124169"/>
    <n v="30473"/>
    <x v="5"/>
    <x v="4"/>
    <n v="5"/>
    <s v="Yes"/>
    <n v="3"/>
    <x v="2"/>
    <n v="48"/>
    <x v="0"/>
    <n v="3"/>
    <x v="0"/>
  </r>
  <r>
    <n v="10735"/>
    <n v="44"/>
    <x v="1"/>
    <x v="3"/>
    <x v="3"/>
    <x v="2"/>
    <s v="Divorced"/>
    <n v="113563"/>
    <n v="5381"/>
    <x v="8"/>
    <x v="3"/>
    <n v="2"/>
    <s v="No"/>
    <n v="3"/>
    <x v="5"/>
    <n v="52"/>
    <x v="1"/>
    <n v="3"/>
    <x v="1"/>
  </r>
  <r>
    <n v="10736"/>
    <n v="38"/>
    <x v="1"/>
    <x v="3"/>
    <x v="3"/>
    <x v="0"/>
    <s v="Single"/>
    <n v="92670"/>
    <n v="10757"/>
    <x v="3"/>
    <x v="11"/>
    <n v="3"/>
    <s v="Yes"/>
    <n v="2"/>
    <x v="31"/>
    <n v="51"/>
    <x v="2"/>
    <n v="3"/>
    <x v="1"/>
  </r>
  <r>
    <n v="10737"/>
    <n v="48"/>
    <x v="0"/>
    <x v="2"/>
    <x v="4"/>
    <x v="3"/>
    <s v="Married"/>
    <n v="41002"/>
    <n v="7693"/>
    <x v="19"/>
    <x v="1"/>
    <n v="3"/>
    <s v="Yes"/>
    <n v="3"/>
    <x v="11"/>
    <n v="39"/>
    <x v="3"/>
    <n v="3"/>
    <x v="0"/>
  </r>
  <r>
    <n v="10738"/>
    <n v="41"/>
    <x v="0"/>
    <x v="2"/>
    <x v="3"/>
    <x v="2"/>
    <s v="Single"/>
    <n v="95543"/>
    <n v="38003"/>
    <x v="3"/>
    <x v="11"/>
    <n v="3"/>
    <s v="Yes"/>
    <n v="2"/>
    <x v="36"/>
    <n v="51"/>
    <x v="0"/>
    <n v="4"/>
    <x v="0"/>
  </r>
  <r>
    <n v="10739"/>
    <n v="50"/>
    <x v="1"/>
    <x v="1"/>
    <x v="4"/>
    <x v="0"/>
    <s v="Single"/>
    <n v="30316"/>
    <n v="43397"/>
    <x v="12"/>
    <x v="7"/>
    <n v="4"/>
    <s v="No"/>
    <n v="2"/>
    <x v="8"/>
    <n v="58"/>
    <x v="3"/>
    <n v="1"/>
    <x v="0"/>
  </r>
  <r>
    <n v="10740"/>
    <n v="32"/>
    <x v="0"/>
    <x v="1"/>
    <x v="1"/>
    <x v="2"/>
    <s v="Single"/>
    <n v="59430"/>
    <n v="20320"/>
    <x v="3"/>
    <x v="1"/>
    <n v="3"/>
    <s v="No"/>
    <n v="4"/>
    <x v="18"/>
    <n v="10"/>
    <x v="0"/>
    <n v="2"/>
    <x v="0"/>
  </r>
  <r>
    <n v="10741"/>
    <n v="27"/>
    <x v="0"/>
    <x v="0"/>
    <x v="1"/>
    <x v="3"/>
    <s v="Single"/>
    <n v="45848"/>
    <n v="22253"/>
    <x v="11"/>
    <x v="9"/>
    <n v="2"/>
    <s v="No"/>
    <n v="3"/>
    <x v="32"/>
    <n v="23"/>
    <x v="1"/>
    <n v="3"/>
    <x v="0"/>
  </r>
  <r>
    <n v="10742"/>
    <n v="34"/>
    <x v="0"/>
    <x v="2"/>
    <x v="3"/>
    <x v="2"/>
    <s v="Married"/>
    <n v="100832"/>
    <n v="21307"/>
    <x v="20"/>
    <x v="5"/>
    <n v="4"/>
    <s v="No"/>
    <n v="3"/>
    <x v="21"/>
    <n v="55"/>
    <x v="3"/>
    <n v="1"/>
    <x v="0"/>
  </r>
  <r>
    <n v="10743"/>
    <n v="33"/>
    <x v="1"/>
    <x v="2"/>
    <x v="0"/>
    <x v="0"/>
    <s v="Single"/>
    <n v="74319"/>
    <n v="33368"/>
    <x v="6"/>
    <x v="13"/>
    <n v="3"/>
    <s v="No"/>
    <n v="2"/>
    <x v="6"/>
    <n v="29"/>
    <x v="2"/>
    <n v="1"/>
    <x v="0"/>
  </r>
  <r>
    <n v="10744"/>
    <n v="31"/>
    <x v="1"/>
    <x v="5"/>
    <x v="1"/>
    <x v="3"/>
    <s v="Married"/>
    <n v="47596"/>
    <n v="12134"/>
    <x v="1"/>
    <x v="12"/>
    <n v="2"/>
    <s v="No"/>
    <n v="3"/>
    <x v="4"/>
    <n v="53"/>
    <x v="0"/>
    <n v="4"/>
    <x v="0"/>
  </r>
  <r>
    <n v="10745"/>
    <n v="42"/>
    <x v="1"/>
    <x v="3"/>
    <x v="1"/>
    <x v="2"/>
    <s v="Single"/>
    <n v="58955"/>
    <n v="38626"/>
    <x v="8"/>
    <x v="1"/>
    <n v="3"/>
    <s v="No"/>
    <n v="2"/>
    <x v="13"/>
    <n v="59"/>
    <x v="3"/>
    <n v="1"/>
    <x v="0"/>
  </r>
  <r>
    <n v="10746"/>
    <n v="46"/>
    <x v="1"/>
    <x v="4"/>
    <x v="4"/>
    <x v="3"/>
    <s v="Single"/>
    <n v="39281"/>
    <n v="30981"/>
    <x v="9"/>
    <x v="13"/>
    <n v="3"/>
    <s v="No"/>
    <n v="3"/>
    <x v="3"/>
    <n v="25"/>
    <x v="2"/>
    <n v="4"/>
    <x v="0"/>
  </r>
  <r>
    <n v="10747"/>
    <n v="38"/>
    <x v="1"/>
    <x v="2"/>
    <x v="0"/>
    <x v="2"/>
    <s v="Single"/>
    <n v="79390"/>
    <n v="1971"/>
    <x v="21"/>
    <x v="0"/>
    <n v="2"/>
    <s v="Yes"/>
    <n v="1"/>
    <x v="8"/>
    <n v="36"/>
    <x v="0"/>
    <n v="3"/>
    <x v="0"/>
  </r>
  <r>
    <n v="10748"/>
    <n v="37"/>
    <x v="0"/>
    <x v="2"/>
    <x v="0"/>
    <x v="2"/>
    <s v="Single"/>
    <n v="77096"/>
    <n v="47382"/>
    <x v="16"/>
    <x v="11"/>
    <n v="3"/>
    <s v="Yes"/>
    <n v="3"/>
    <x v="36"/>
    <n v="39"/>
    <x v="0"/>
    <n v="2"/>
    <x v="0"/>
  </r>
  <r>
    <n v="10749"/>
    <n v="38"/>
    <x v="0"/>
    <x v="2"/>
    <x v="2"/>
    <x v="1"/>
    <s v="Single"/>
    <n v="16441"/>
    <n v="42500"/>
    <x v="5"/>
    <x v="7"/>
    <n v="4"/>
    <s v="No"/>
    <n v="1"/>
    <x v="15"/>
    <n v="53"/>
    <x v="2"/>
    <n v="3"/>
    <x v="1"/>
  </r>
  <r>
    <n v="10750"/>
    <n v="49"/>
    <x v="1"/>
    <x v="3"/>
    <x v="3"/>
    <x v="2"/>
    <s v="Married"/>
    <n v="102219"/>
    <n v="27280"/>
    <x v="3"/>
    <x v="5"/>
    <n v="4"/>
    <s v="No"/>
    <n v="3"/>
    <x v="37"/>
    <n v="51"/>
    <x v="0"/>
    <n v="1"/>
    <x v="0"/>
  </r>
  <r>
    <n v="10751"/>
    <n v="43"/>
    <x v="1"/>
    <x v="3"/>
    <x v="0"/>
    <x v="3"/>
    <s v="Married"/>
    <n v="71687"/>
    <n v="5906"/>
    <x v="11"/>
    <x v="12"/>
    <n v="4"/>
    <s v="No"/>
    <n v="3"/>
    <x v="10"/>
    <n v="59"/>
    <x v="0"/>
    <n v="3"/>
    <x v="0"/>
  </r>
  <r>
    <n v="10752"/>
    <n v="46"/>
    <x v="0"/>
    <x v="3"/>
    <x v="0"/>
    <x v="2"/>
    <s v="Married"/>
    <n v="79567"/>
    <n v="164"/>
    <x v="17"/>
    <x v="9"/>
    <n v="3"/>
    <s v="No"/>
    <n v="4"/>
    <x v="29"/>
    <n v="34"/>
    <x v="0"/>
    <n v="4"/>
    <x v="0"/>
  </r>
  <r>
    <n v="10753"/>
    <n v="37"/>
    <x v="0"/>
    <x v="5"/>
    <x v="1"/>
    <x v="2"/>
    <s v="Single"/>
    <n v="65998"/>
    <n v="47177"/>
    <x v="8"/>
    <x v="4"/>
    <n v="3"/>
    <s v="No"/>
    <n v="1"/>
    <x v="30"/>
    <n v="19"/>
    <x v="1"/>
    <n v="4"/>
    <x v="1"/>
  </r>
  <r>
    <n v="10754"/>
    <n v="34"/>
    <x v="1"/>
    <x v="2"/>
    <x v="4"/>
    <x v="3"/>
    <s v="Single"/>
    <n v="40647"/>
    <n v="35085"/>
    <x v="9"/>
    <x v="4"/>
    <n v="3"/>
    <s v="No"/>
    <n v="4"/>
    <x v="26"/>
    <n v="36"/>
    <x v="3"/>
    <n v="4"/>
    <x v="0"/>
  </r>
  <r>
    <n v="10755"/>
    <n v="39"/>
    <x v="1"/>
    <x v="5"/>
    <x v="2"/>
    <x v="2"/>
    <s v="Married"/>
    <n v="19108"/>
    <n v="20455"/>
    <x v="23"/>
    <x v="14"/>
    <n v="3"/>
    <s v="Yes"/>
    <n v="3"/>
    <x v="21"/>
    <n v="38"/>
    <x v="1"/>
    <n v="4"/>
    <x v="1"/>
  </r>
  <r>
    <n v="10756"/>
    <n v="52"/>
    <x v="0"/>
    <x v="4"/>
    <x v="4"/>
    <x v="1"/>
    <s v="Single"/>
    <n v="27568"/>
    <n v="34593"/>
    <x v="15"/>
    <x v="0"/>
    <n v="2"/>
    <s v="Yes"/>
    <n v="2"/>
    <x v="21"/>
    <n v="25"/>
    <x v="2"/>
    <n v="2"/>
    <x v="1"/>
  </r>
  <r>
    <n v="10757"/>
    <n v="56"/>
    <x v="1"/>
    <x v="2"/>
    <x v="1"/>
    <x v="2"/>
    <s v="Single"/>
    <n v="68063"/>
    <n v="42278"/>
    <x v="1"/>
    <x v="10"/>
    <n v="5"/>
    <s v="No"/>
    <n v="2"/>
    <x v="0"/>
    <n v="50"/>
    <x v="0"/>
    <n v="4"/>
    <x v="0"/>
  </r>
  <r>
    <n v="10758"/>
    <n v="56"/>
    <x v="0"/>
    <x v="3"/>
    <x v="3"/>
    <x v="1"/>
    <s v="Single"/>
    <n v="101371"/>
    <n v="43809"/>
    <x v="18"/>
    <x v="3"/>
    <n v="3"/>
    <s v="Yes"/>
    <n v="2"/>
    <x v="19"/>
    <n v="46"/>
    <x v="1"/>
    <n v="3"/>
    <x v="0"/>
  </r>
  <r>
    <n v="10759"/>
    <n v="43"/>
    <x v="1"/>
    <x v="2"/>
    <x v="1"/>
    <x v="0"/>
    <s v="Single"/>
    <n v="51360"/>
    <n v="49007"/>
    <x v="10"/>
    <x v="12"/>
    <n v="3"/>
    <s v="No"/>
    <n v="4"/>
    <x v="9"/>
    <n v="26"/>
    <x v="0"/>
    <n v="2"/>
    <x v="0"/>
  </r>
  <r>
    <n v="10760"/>
    <n v="32"/>
    <x v="0"/>
    <x v="2"/>
    <x v="0"/>
    <x v="2"/>
    <s v="Single"/>
    <n v="75720"/>
    <n v="6613"/>
    <x v="24"/>
    <x v="8"/>
    <n v="1"/>
    <s v="Yes"/>
    <n v="4"/>
    <x v="23"/>
    <n v="8"/>
    <x v="0"/>
    <n v="2"/>
    <x v="0"/>
  </r>
  <r>
    <n v="10761"/>
    <n v="23"/>
    <x v="1"/>
    <x v="2"/>
    <x v="4"/>
    <x v="3"/>
    <s v="Married"/>
    <n v="25666"/>
    <n v="31147"/>
    <x v="23"/>
    <x v="0"/>
    <n v="3"/>
    <s v="No"/>
    <n v="1"/>
    <x v="26"/>
    <n v="35"/>
    <x v="2"/>
    <n v="2"/>
    <x v="1"/>
  </r>
  <r>
    <n v="10762"/>
    <n v="47"/>
    <x v="0"/>
    <x v="3"/>
    <x v="3"/>
    <x v="0"/>
    <s v="Single"/>
    <n v="111148"/>
    <n v="30995"/>
    <x v="0"/>
    <x v="4"/>
    <n v="3"/>
    <s v="No"/>
    <n v="2"/>
    <x v="11"/>
    <n v="13"/>
    <x v="3"/>
    <n v="3"/>
    <x v="0"/>
  </r>
  <r>
    <n v="10763"/>
    <n v="26"/>
    <x v="0"/>
    <x v="1"/>
    <x v="4"/>
    <x v="0"/>
    <s v="Married"/>
    <n v="39860"/>
    <n v="10161"/>
    <x v="16"/>
    <x v="14"/>
    <n v="3"/>
    <s v="No"/>
    <n v="3"/>
    <x v="33"/>
    <n v="19"/>
    <x v="0"/>
    <n v="1"/>
    <x v="0"/>
  </r>
  <r>
    <n v="10764"/>
    <n v="20"/>
    <x v="0"/>
    <x v="2"/>
    <x v="3"/>
    <x v="2"/>
    <s v="Married"/>
    <n v="91010"/>
    <n v="3857"/>
    <x v="7"/>
    <x v="14"/>
    <n v="3"/>
    <s v="Yes"/>
    <n v="2"/>
    <x v="26"/>
    <n v="18"/>
    <x v="1"/>
    <n v="2"/>
    <x v="0"/>
  </r>
  <r>
    <n v="10765"/>
    <n v="21"/>
    <x v="1"/>
    <x v="3"/>
    <x v="3"/>
    <x v="2"/>
    <s v="Single"/>
    <n v="118805"/>
    <n v="16066"/>
    <x v="24"/>
    <x v="2"/>
    <n v="5"/>
    <s v="Yes"/>
    <n v="4"/>
    <x v="16"/>
    <n v="31"/>
    <x v="2"/>
    <n v="1"/>
    <x v="0"/>
  </r>
  <r>
    <n v="10766"/>
    <n v="58"/>
    <x v="1"/>
    <x v="2"/>
    <x v="0"/>
    <x v="3"/>
    <s v="Married"/>
    <n v="82150"/>
    <n v="3970"/>
    <x v="2"/>
    <x v="11"/>
    <n v="3"/>
    <s v="No"/>
    <n v="4"/>
    <x v="3"/>
    <n v="7"/>
    <x v="0"/>
    <n v="3"/>
    <x v="0"/>
  </r>
  <r>
    <n v="10767"/>
    <n v="46"/>
    <x v="0"/>
    <x v="5"/>
    <x v="1"/>
    <x v="2"/>
    <s v="Divorced"/>
    <n v="67880"/>
    <n v="41412"/>
    <x v="19"/>
    <x v="13"/>
    <n v="2"/>
    <s v="Yes"/>
    <n v="1"/>
    <x v="25"/>
    <n v="7"/>
    <x v="1"/>
    <n v="4"/>
    <x v="0"/>
  </r>
  <r>
    <n v="10768"/>
    <n v="28"/>
    <x v="1"/>
    <x v="5"/>
    <x v="1"/>
    <x v="2"/>
    <s v="Married"/>
    <n v="53818"/>
    <n v="42583"/>
    <x v="24"/>
    <x v="0"/>
    <n v="1"/>
    <s v="No"/>
    <n v="3"/>
    <x v="1"/>
    <n v="21"/>
    <x v="1"/>
    <n v="1"/>
    <x v="0"/>
  </r>
  <r>
    <n v="10769"/>
    <n v="28"/>
    <x v="0"/>
    <x v="2"/>
    <x v="4"/>
    <x v="2"/>
    <s v="Married"/>
    <n v="29244"/>
    <n v="10473"/>
    <x v="4"/>
    <x v="10"/>
    <n v="3"/>
    <s v="Yes"/>
    <n v="2"/>
    <x v="32"/>
    <n v="21"/>
    <x v="0"/>
    <n v="3"/>
    <x v="0"/>
  </r>
  <r>
    <n v="10770"/>
    <n v="53"/>
    <x v="0"/>
    <x v="3"/>
    <x v="4"/>
    <x v="3"/>
    <s v="Single"/>
    <n v="33129"/>
    <n v="37204"/>
    <x v="12"/>
    <x v="6"/>
    <n v="5"/>
    <s v="No"/>
    <n v="4"/>
    <x v="0"/>
    <n v="11"/>
    <x v="0"/>
    <n v="4"/>
    <x v="0"/>
  </r>
  <r>
    <n v="10771"/>
    <n v="30"/>
    <x v="0"/>
    <x v="2"/>
    <x v="0"/>
    <x v="2"/>
    <s v="Married"/>
    <n v="65933"/>
    <n v="11154"/>
    <x v="22"/>
    <x v="0"/>
    <n v="3"/>
    <s v="Yes"/>
    <n v="3"/>
    <x v="20"/>
    <n v="57"/>
    <x v="3"/>
    <n v="2"/>
    <x v="0"/>
  </r>
  <r>
    <n v="10772"/>
    <n v="47"/>
    <x v="0"/>
    <x v="5"/>
    <x v="4"/>
    <x v="2"/>
    <s v="Single"/>
    <n v="42632"/>
    <n v="11330"/>
    <x v="20"/>
    <x v="7"/>
    <n v="3"/>
    <s v="No"/>
    <n v="4"/>
    <x v="12"/>
    <n v="5"/>
    <x v="1"/>
    <n v="3"/>
    <x v="0"/>
  </r>
  <r>
    <n v="10773"/>
    <n v="40"/>
    <x v="1"/>
    <x v="2"/>
    <x v="0"/>
    <x v="3"/>
    <s v="Single"/>
    <n v="85157"/>
    <n v="25333"/>
    <x v="0"/>
    <x v="14"/>
    <n v="3"/>
    <s v="No"/>
    <n v="4"/>
    <x v="34"/>
    <n v="54"/>
    <x v="0"/>
    <n v="3"/>
    <x v="0"/>
  </r>
  <r>
    <n v="10774"/>
    <n v="35"/>
    <x v="0"/>
    <x v="0"/>
    <x v="4"/>
    <x v="0"/>
    <s v="Single"/>
    <n v="43595"/>
    <n v="7973"/>
    <x v="18"/>
    <x v="13"/>
    <n v="3"/>
    <s v="No"/>
    <n v="1"/>
    <x v="9"/>
    <n v="17"/>
    <x v="0"/>
    <n v="3"/>
    <x v="0"/>
  </r>
  <r>
    <n v="10775"/>
    <n v="56"/>
    <x v="0"/>
    <x v="0"/>
    <x v="0"/>
    <x v="0"/>
    <s v="Married"/>
    <n v="84660"/>
    <n v="2076"/>
    <x v="4"/>
    <x v="6"/>
    <n v="4"/>
    <s v="Yes"/>
    <n v="4"/>
    <x v="35"/>
    <n v="53"/>
    <x v="3"/>
    <n v="1"/>
    <x v="0"/>
  </r>
  <r>
    <n v="10776"/>
    <n v="45"/>
    <x v="1"/>
    <x v="1"/>
    <x v="3"/>
    <x v="1"/>
    <s v="Married"/>
    <n v="123700"/>
    <n v="48876"/>
    <x v="10"/>
    <x v="1"/>
    <n v="5"/>
    <s v="No"/>
    <n v="4"/>
    <x v="15"/>
    <n v="6"/>
    <x v="1"/>
    <n v="4"/>
    <x v="0"/>
  </r>
  <r>
    <n v="10777"/>
    <n v="28"/>
    <x v="0"/>
    <x v="5"/>
    <x v="4"/>
    <x v="2"/>
    <s v="Single"/>
    <n v="43226"/>
    <n v="6105"/>
    <x v="21"/>
    <x v="5"/>
    <n v="3"/>
    <s v="Yes"/>
    <n v="1"/>
    <x v="3"/>
    <n v="5"/>
    <x v="3"/>
    <n v="3"/>
    <x v="0"/>
  </r>
  <r>
    <n v="10778"/>
    <n v="31"/>
    <x v="0"/>
    <x v="5"/>
    <x v="4"/>
    <x v="2"/>
    <s v="Single"/>
    <n v="35960"/>
    <n v="32628"/>
    <x v="16"/>
    <x v="14"/>
    <n v="3"/>
    <s v="No"/>
    <n v="3"/>
    <x v="38"/>
    <n v="21"/>
    <x v="0"/>
    <n v="3"/>
    <x v="1"/>
  </r>
  <r>
    <n v="10779"/>
    <n v="25"/>
    <x v="1"/>
    <x v="2"/>
    <x v="4"/>
    <x v="0"/>
    <s v="Married"/>
    <n v="43280"/>
    <n v="1906"/>
    <x v="0"/>
    <x v="2"/>
    <n v="3"/>
    <s v="No"/>
    <n v="4"/>
    <x v="0"/>
    <n v="36"/>
    <x v="2"/>
    <n v="3"/>
    <x v="0"/>
  </r>
  <r>
    <n v="10780"/>
    <n v="34"/>
    <x v="0"/>
    <x v="2"/>
    <x v="5"/>
    <x v="3"/>
    <s v="Single"/>
    <n v="135064"/>
    <n v="27571"/>
    <x v="23"/>
    <x v="6"/>
    <n v="1"/>
    <s v="No"/>
    <n v="3"/>
    <x v="10"/>
    <n v="26"/>
    <x v="3"/>
    <n v="4"/>
    <x v="0"/>
  </r>
  <r>
    <n v="10781"/>
    <n v="26"/>
    <x v="1"/>
    <x v="2"/>
    <x v="0"/>
    <x v="2"/>
    <s v="Married"/>
    <n v="74071"/>
    <n v="19158"/>
    <x v="7"/>
    <x v="10"/>
    <n v="3"/>
    <s v="No"/>
    <n v="3"/>
    <x v="14"/>
    <n v="43"/>
    <x v="3"/>
    <n v="2"/>
    <x v="0"/>
  </r>
  <r>
    <n v="10782"/>
    <n v="51"/>
    <x v="1"/>
    <x v="3"/>
    <x v="1"/>
    <x v="2"/>
    <s v="Single"/>
    <n v="47288"/>
    <n v="40153"/>
    <x v="17"/>
    <x v="6"/>
    <n v="3"/>
    <s v="No"/>
    <n v="4"/>
    <x v="11"/>
    <n v="28"/>
    <x v="0"/>
    <n v="2"/>
    <x v="0"/>
  </r>
  <r>
    <n v="10783"/>
    <n v="51"/>
    <x v="0"/>
    <x v="2"/>
    <x v="1"/>
    <x v="0"/>
    <s v="Married"/>
    <n v="46946"/>
    <n v="41095"/>
    <x v="16"/>
    <x v="9"/>
    <n v="4"/>
    <s v="No"/>
    <n v="3"/>
    <x v="36"/>
    <n v="19"/>
    <x v="0"/>
    <n v="1"/>
    <x v="0"/>
  </r>
  <r>
    <n v="10784"/>
    <n v="21"/>
    <x v="0"/>
    <x v="0"/>
    <x v="3"/>
    <x v="0"/>
    <s v="Married"/>
    <n v="98967"/>
    <n v="1607"/>
    <x v="3"/>
    <x v="5"/>
    <n v="3"/>
    <s v="No"/>
    <n v="3"/>
    <x v="6"/>
    <n v="27"/>
    <x v="3"/>
    <n v="1"/>
    <x v="0"/>
  </r>
  <r>
    <n v="10785"/>
    <n v="58"/>
    <x v="0"/>
    <x v="2"/>
    <x v="4"/>
    <x v="2"/>
    <s v="Single"/>
    <n v="41384"/>
    <n v="10872"/>
    <x v="11"/>
    <x v="7"/>
    <n v="4"/>
    <s v="No"/>
    <n v="4"/>
    <x v="13"/>
    <n v="36"/>
    <x v="1"/>
    <n v="1"/>
    <x v="0"/>
  </r>
  <r>
    <n v="10786"/>
    <n v="26"/>
    <x v="0"/>
    <x v="2"/>
    <x v="3"/>
    <x v="2"/>
    <s v="Single"/>
    <n v="103368"/>
    <n v="12197"/>
    <x v="12"/>
    <x v="14"/>
    <n v="3"/>
    <s v="No"/>
    <n v="3"/>
    <x v="30"/>
    <n v="24"/>
    <x v="0"/>
    <n v="1"/>
    <x v="0"/>
  </r>
  <r>
    <n v="10787"/>
    <n v="40"/>
    <x v="0"/>
    <x v="3"/>
    <x v="3"/>
    <x v="3"/>
    <s v="Divorced"/>
    <n v="102606"/>
    <n v="18883"/>
    <x v="8"/>
    <x v="14"/>
    <n v="4"/>
    <s v="Yes"/>
    <n v="4"/>
    <x v="13"/>
    <n v="25"/>
    <x v="3"/>
    <n v="4"/>
    <x v="0"/>
  </r>
  <r>
    <n v="10788"/>
    <n v="47"/>
    <x v="0"/>
    <x v="2"/>
    <x v="1"/>
    <x v="3"/>
    <s v="Married"/>
    <n v="66207"/>
    <n v="21139"/>
    <x v="7"/>
    <x v="0"/>
    <n v="3"/>
    <s v="No"/>
    <n v="2"/>
    <x v="32"/>
    <n v="16"/>
    <x v="0"/>
    <n v="1"/>
    <x v="0"/>
  </r>
  <r>
    <n v="10789"/>
    <n v="36"/>
    <x v="0"/>
    <x v="0"/>
    <x v="0"/>
    <x v="2"/>
    <s v="Single"/>
    <n v="62829"/>
    <n v="8177"/>
    <x v="3"/>
    <x v="2"/>
    <n v="2"/>
    <s v="Yes"/>
    <n v="1"/>
    <x v="8"/>
    <n v="9"/>
    <x v="2"/>
    <n v="1"/>
    <x v="1"/>
  </r>
  <r>
    <n v="10790"/>
    <n v="53"/>
    <x v="0"/>
    <x v="3"/>
    <x v="1"/>
    <x v="2"/>
    <s v="Married"/>
    <n v="54200"/>
    <n v="49852"/>
    <x v="14"/>
    <x v="8"/>
    <n v="3"/>
    <s v="Yes"/>
    <n v="3"/>
    <x v="38"/>
    <n v="37"/>
    <x v="1"/>
    <n v="3"/>
    <x v="0"/>
  </r>
  <r>
    <n v="10791"/>
    <n v="39"/>
    <x v="0"/>
    <x v="3"/>
    <x v="3"/>
    <x v="2"/>
    <s v="Single"/>
    <n v="121174"/>
    <n v="42735"/>
    <x v="17"/>
    <x v="2"/>
    <n v="3"/>
    <s v="No"/>
    <n v="3"/>
    <x v="16"/>
    <n v="6"/>
    <x v="2"/>
    <n v="1"/>
    <x v="0"/>
  </r>
  <r>
    <n v="10792"/>
    <n v="31"/>
    <x v="0"/>
    <x v="4"/>
    <x v="0"/>
    <x v="0"/>
    <s v="Single"/>
    <n v="83771"/>
    <n v="19987"/>
    <x v="6"/>
    <x v="12"/>
    <n v="4"/>
    <s v="Yes"/>
    <n v="4"/>
    <x v="37"/>
    <n v="24"/>
    <x v="0"/>
    <n v="2"/>
    <x v="0"/>
  </r>
  <r>
    <n v="10793"/>
    <n v="50"/>
    <x v="1"/>
    <x v="2"/>
    <x v="3"/>
    <x v="3"/>
    <s v="Single"/>
    <n v="126484"/>
    <n v="16665"/>
    <x v="16"/>
    <x v="6"/>
    <n v="2"/>
    <s v="No"/>
    <n v="3"/>
    <x v="28"/>
    <n v="34"/>
    <x v="3"/>
    <n v="3"/>
    <x v="0"/>
  </r>
  <r>
    <n v="10794"/>
    <n v="27"/>
    <x v="0"/>
    <x v="2"/>
    <x v="1"/>
    <x v="0"/>
    <s v="Married"/>
    <n v="48194"/>
    <n v="33301"/>
    <x v="24"/>
    <x v="13"/>
    <n v="2"/>
    <s v="No"/>
    <n v="2"/>
    <x v="26"/>
    <n v="39"/>
    <x v="0"/>
    <n v="4"/>
    <x v="0"/>
  </r>
  <r>
    <n v="10795"/>
    <n v="39"/>
    <x v="0"/>
    <x v="3"/>
    <x v="0"/>
    <x v="1"/>
    <s v="Married"/>
    <n v="60737"/>
    <n v="42381"/>
    <x v="17"/>
    <x v="1"/>
    <n v="4"/>
    <s v="No"/>
    <n v="3"/>
    <x v="11"/>
    <n v="6"/>
    <x v="1"/>
    <n v="2"/>
    <x v="0"/>
  </r>
  <r>
    <n v="10796"/>
    <n v="49"/>
    <x v="1"/>
    <x v="1"/>
    <x v="5"/>
    <x v="2"/>
    <s v="Single"/>
    <n v="138866"/>
    <n v="30346"/>
    <x v="2"/>
    <x v="3"/>
    <n v="3"/>
    <s v="No"/>
    <n v="3"/>
    <x v="2"/>
    <n v="37"/>
    <x v="0"/>
    <n v="1"/>
    <x v="0"/>
  </r>
  <r>
    <n v="10797"/>
    <n v="49"/>
    <x v="0"/>
    <x v="5"/>
    <x v="1"/>
    <x v="2"/>
    <s v="Single"/>
    <n v="52057"/>
    <n v="45416"/>
    <x v="3"/>
    <x v="7"/>
    <n v="3"/>
    <s v="Yes"/>
    <n v="1"/>
    <x v="19"/>
    <n v="40"/>
    <x v="0"/>
    <n v="3"/>
    <x v="1"/>
  </r>
  <r>
    <n v="10798"/>
    <n v="51"/>
    <x v="1"/>
    <x v="3"/>
    <x v="4"/>
    <x v="2"/>
    <s v="Single"/>
    <n v="32350"/>
    <n v="17676"/>
    <x v="10"/>
    <x v="14"/>
    <n v="3"/>
    <s v="Yes"/>
    <n v="3"/>
    <x v="15"/>
    <n v="25"/>
    <x v="1"/>
    <n v="2"/>
    <x v="1"/>
  </r>
  <r>
    <n v="10799"/>
    <n v="46"/>
    <x v="0"/>
    <x v="3"/>
    <x v="0"/>
    <x v="2"/>
    <s v="Married"/>
    <n v="63048"/>
    <n v="17852"/>
    <x v="4"/>
    <x v="7"/>
    <n v="3"/>
    <s v="No"/>
    <n v="3"/>
    <x v="0"/>
    <n v="58"/>
    <x v="3"/>
    <n v="1"/>
    <x v="0"/>
  </r>
  <r>
    <n v="10800"/>
    <n v="51"/>
    <x v="0"/>
    <x v="3"/>
    <x v="5"/>
    <x v="2"/>
    <s v="Single"/>
    <n v="176319"/>
    <n v="38700"/>
    <x v="13"/>
    <x v="11"/>
    <n v="3"/>
    <s v="Yes"/>
    <n v="2"/>
    <x v="15"/>
    <n v="32"/>
    <x v="0"/>
    <n v="4"/>
    <x v="0"/>
  </r>
  <r>
    <n v="10801"/>
    <n v="48"/>
    <x v="0"/>
    <x v="1"/>
    <x v="0"/>
    <x v="3"/>
    <s v="Married"/>
    <n v="69602"/>
    <n v="44540"/>
    <x v="24"/>
    <x v="9"/>
    <n v="3"/>
    <s v="No"/>
    <n v="3"/>
    <x v="36"/>
    <n v="59"/>
    <x v="3"/>
    <n v="4"/>
    <x v="0"/>
  </r>
  <r>
    <n v="10802"/>
    <n v="36"/>
    <x v="0"/>
    <x v="3"/>
    <x v="0"/>
    <x v="2"/>
    <s v="Divorced"/>
    <n v="78473"/>
    <n v="21269"/>
    <x v="5"/>
    <x v="11"/>
    <n v="3"/>
    <s v="Yes"/>
    <n v="2"/>
    <x v="28"/>
    <n v="14"/>
    <x v="0"/>
    <n v="4"/>
    <x v="0"/>
  </r>
  <r>
    <n v="10803"/>
    <n v="45"/>
    <x v="1"/>
    <x v="4"/>
    <x v="1"/>
    <x v="2"/>
    <s v="Married"/>
    <n v="66947"/>
    <n v="28451"/>
    <x v="12"/>
    <x v="12"/>
    <n v="3"/>
    <s v="No"/>
    <n v="4"/>
    <x v="15"/>
    <n v="41"/>
    <x v="3"/>
    <n v="3"/>
    <x v="0"/>
  </r>
  <r>
    <n v="10804"/>
    <n v="29"/>
    <x v="0"/>
    <x v="4"/>
    <x v="4"/>
    <x v="3"/>
    <s v="Married"/>
    <n v="28819"/>
    <n v="7398"/>
    <x v="15"/>
    <x v="14"/>
    <n v="3"/>
    <s v="No"/>
    <n v="2"/>
    <x v="37"/>
    <n v="18"/>
    <x v="1"/>
    <n v="2"/>
    <x v="0"/>
  </r>
  <r>
    <n v="10805"/>
    <n v="52"/>
    <x v="1"/>
    <x v="0"/>
    <x v="4"/>
    <x v="3"/>
    <s v="Married"/>
    <n v="35731"/>
    <n v="31410"/>
    <x v="14"/>
    <x v="8"/>
    <n v="3"/>
    <s v="No"/>
    <n v="3"/>
    <x v="23"/>
    <n v="50"/>
    <x v="1"/>
    <n v="4"/>
    <x v="0"/>
  </r>
  <r>
    <n v="10806"/>
    <n v="36"/>
    <x v="0"/>
    <x v="0"/>
    <x v="3"/>
    <x v="2"/>
    <s v="Married"/>
    <n v="123712"/>
    <n v="43774"/>
    <x v="18"/>
    <x v="14"/>
    <n v="2"/>
    <s v="No"/>
    <n v="4"/>
    <x v="35"/>
    <n v="50"/>
    <x v="1"/>
    <n v="4"/>
    <x v="0"/>
  </r>
  <r>
    <n v="10807"/>
    <n v="36"/>
    <x v="0"/>
    <x v="2"/>
    <x v="4"/>
    <x v="3"/>
    <s v="Married"/>
    <n v="32660"/>
    <n v="42517"/>
    <x v="2"/>
    <x v="2"/>
    <n v="3"/>
    <s v="No"/>
    <n v="4"/>
    <x v="38"/>
    <n v="13"/>
    <x v="1"/>
    <n v="3"/>
    <x v="0"/>
  </r>
  <r>
    <n v="10808"/>
    <n v="35"/>
    <x v="0"/>
    <x v="3"/>
    <x v="3"/>
    <x v="2"/>
    <s v="Married"/>
    <n v="99586"/>
    <n v="47177"/>
    <x v="24"/>
    <x v="10"/>
    <n v="4"/>
    <s v="Yes"/>
    <n v="4"/>
    <x v="14"/>
    <n v="50"/>
    <x v="3"/>
    <n v="3"/>
    <x v="0"/>
  </r>
  <r>
    <n v="10809"/>
    <n v="48"/>
    <x v="0"/>
    <x v="2"/>
    <x v="1"/>
    <x v="3"/>
    <s v="Married"/>
    <n v="60093"/>
    <n v="21849"/>
    <x v="23"/>
    <x v="14"/>
    <n v="3"/>
    <s v="Yes"/>
    <n v="1"/>
    <x v="17"/>
    <n v="7"/>
    <x v="2"/>
    <n v="3"/>
    <x v="1"/>
  </r>
  <r>
    <n v="10810"/>
    <n v="51"/>
    <x v="0"/>
    <x v="2"/>
    <x v="4"/>
    <x v="2"/>
    <s v="Divorced"/>
    <n v="33727"/>
    <n v="11201"/>
    <x v="17"/>
    <x v="0"/>
    <n v="5"/>
    <s v="Yes"/>
    <n v="1"/>
    <x v="1"/>
    <n v="10"/>
    <x v="0"/>
    <n v="3"/>
    <x v="0"/>
  </r>
  <r>
    <n v="10811"/>
    <n v="20"/>
    <x v="1"/>
    <x v="5"/>
    <x v="1"/>
    <x v="0"/>
    <s v="Married"/>
    <n v="52110"/>
    <n v="29024"/>
    <x v="5"/>
    <x v="10"/>
    <n v="2"/>
    <s v="No"/>
    <n v="4"/>
    <x v="5"/>
    <n v="33"/>
    <x v="1"/>
    <n v="2"/>
    <x v="0"/>
  </r>
  <r>
    <n v="10812"/>
    <n v="43"/>
    <x v="0"/>
    <x v="2"/>
    <x v="1"/>
    <x v="1"/>
    <s v="Single"/>
    <n v="54012"/>
    <n v="31376"/>
    <x v="6"/>
    <x v="11"/>
    <n v="4"/>
    <s v="No"/>
    <n v="2"/>
    <x v="38"/>
    <n v="58"/>
    <x v="0"/>
    <n v="3"/>
    <x v="0"/>
  </r>
  <r>
    <n v="10813"/>
    <n v="40"/>
    <x v="1"/>
    <x v="0"/>
    <x v="3"/>
    <x v="0"/>
    <s v="Single"/>
    <n v="98916"/>
    <n v="30740"/>
    <x v="21"/>
    <x v="2"/>
    <n v="3"/>
    <s v="No"/>
    <n v="3"/>
    <x v="22"/>
    <n v="10"/>
    <x v="1"/>
    <n v="4"/>
    <x v="0"/>
  </r>
  <r>
    <n v="10814"/>
    <n v="46"/>
    <x v="0"/>
    <x v="2"/>
    <x v="1"/>
    <x v="2"/>
    <s v="Single"/>
    <n v="69437"/>
    <n v="32600"/>
    <x v="21"/>
    <x v="0"/>
    <n v="3"/>
    <s v="No"/>
    <n v="4"/>
    <x v="29"/>
    <n v="28"/>
    <x v="3"/>
    <n v="4"/>
    <x v="0"/>
  </r>
  <r>
    <n v="10815"/>
    <n v="56"/>
    <x v="0"/>
    <x v="2"/>
    <x v="0"/>
    <x v="1"/>
    <s v="Single"/>
    <n v="77950"/>
    <n v="8109"/>
    <x v="17"/>
    <x v="12"/>
    <n v="3"/>
    <s v="No"/>
    <n v="2"/>
    <x v="29"/>
    <n v="52"/>
    <x v="0"/>
    <n v="1"/>
    <x v="0"/>
  </r>
  <r>
    <n v="10816"/>
    <n v="23"/>
    <x v="1"/>
    <x v="3"/>
    <x v="4"/>
    <x v="0"/>
    <s v="Single"/>
    <n v="41689"/>
    <n v="3538"/>
    <x v="16"/>
    <x v="8"/>
    <n v="3"/>
    <s v="No"/>
    <n v="3"/>
    <x v="23"/>
    <n v="18"/>
    <x v="3"/>
    <n v="3"/>
    <x v="0"/>
  </r>
  <r>
    <n v="10817"/>
    <n v="27"/>
    <x v="0"/>
    <x v="2"/>
    <x v="3"/>
    <x v="2"/>
    <s v="Divorced"/>
    <n v="129496"/>
    <n v="27444"/>
    <x v="24"/>
    <x v="1"/>
    <n v="3"/>
    <s v="Yes"/>
    <n v="3"/>
    <x v="14"/>
    <n v="53"/>
    <x v="3"/>
    <n v="3"/>
    <x v="0"/>
  </r>
  <r>
    <n v="10818"/>
    <n v="37"/>
    <x v="0"/>
    <x v="2"/>
    <x v="0"/>
    <x v="2"/>
    <s v="Divorced"/>
    <n v="69050"/>
    <n v="40244"/>
    <x v="1"/>
    <x v="11"/>
    <n v="3"/>
    <s v="No"/>
    <n v="3"/>
    <x v="12"/>
    <n v="7"/>
    <x v="0"/>
    <n v="4"/>
    <x v="0"/>
  </r>
  <r>
    <n v="10819"/>
    <n v="50"/>
    <x v="1"/>
    <x v="0"/>
    <x v="1"/>
    <x v="2"/>
    <s v="Divorced"/>
    <n v="55715"/>
    <n v="21134"/>
    <x v="6"/>
    <x v="13"/>
    <n v="3"/>
    <s v="No"/>
    <n v="4"/>
    <x v="31"/>
    <n v="32"/>
    <x v="3"/>
    <n v="4"/>
    <x v="0"/>
  </r>
  <r>
    <n v="10820"/>
    <n v="29"/>
    <x v="0"/>
    <x v="2"/>
    <x v="4"/>
    <x v="2"/>
    <s v="Married"/>
    <n v="36581"/>
    <n v="2671"/>
    <x v="24"/>
    <x v="12"/>
    <n v="3"/>
    <s v="No"/>
    <n v="4"/>
    <x v="32"/>
    <n v="25"/>
    <x v="3"/>
    <n v="4"/>
    <x v="0"/>
  </r>
  <r>
    <n v="10821"/>
    <n v="45"/>
    <x v="0"/>
    <x v="2"/>
    <x v="0"/>
    <x v="3"/>
    <s v="Married"/>
    <n v="66532"/>
    <n v="42351"/>
    <x v="23"/>
    <x v="14"/>
    <n v="5"/>
    <s v="Yes"/>
    <n v="4"/>
    <x v="4"/>
    <n v="31"/>
    <x v="3"/>
    <n v="2"/>
    <x v="0"/>
  </r>
  <r>
    <n v="10822"/>
    <n v="21"/>
    <x v="0"/>
    <x v="3"/>
    <x v="0"/>
    <x v="2"/>
    <s v="Married"/>
    <n v="87125"/>
    <n v="13869"/>
    <x v="1"/>
    <x v="0"/>
    <n v="3"/>
    <s v="No"/>
    <n v="4"/>
    <x v="28"/>
    <n v="50"/>
    <x v="3"/>
    <n v="4"/>
    <x v="0"/>
  </r>
  <r>
    <n v="10823"/>
    <n v="27"/>
    <x v="0"/>
    <x v="4"/>
    <x v="0"/>
    <x v="2"/>
    <s v="Single"/>
    <n v="79514"/>
    <n v="20014"/>
    <x v="23"/>
    <x v="14"/>
    <n v="3"/>
    <s v="No"/>
    <n v="2"/>
    <x v="22"/>
    <n v="49"/>
    <x v="0"/>
    <n v="4"/>
    <x v="0"/>
  </r>
  <r>
    <n v="10824"/>
    <n v="26"/>
    <x v="0"/>
    <x v="2"/>
    <x v="0"/>
    <x v="3"/>
    <s v="Divorced"/>
    <n v="67019"/>
    <n v="48425"/>
    <x v="4"/>
    <x v="12"/>
    <n v="3"/>
    <s v="No"/>
    <n v="4"/>
    <x v="36"/>
    <n v="36"/>
    <x v="0"/>
    <n v="2"/>
    <x v="0"/>
  </r>
  <r>
    <n v="10825"/>
    <n v="20"/>
    <x v="0"/>
    <x v="3"/>
    <x v="0"/>
    <x v="0"/>
    <s v="Married"/>
    <n v="79373"/>
    <n v="5615"/>
    <x v="15"/>
    <x v="8"/>
    <n v="4"/>
    <s v="Yes"/>
    <n v="3"/>
    <x v="2"/>
    <n v="7"/>
    <x v="0"/>
    <n v="2"/>
    <x v="0"/>
  </r>
  <r>
    <n v="10826"/>
    <n v="57"/>
    <x v="0"/>
    <x v="1"/>
    <x v="2"/>
    <x v="2"/>
    <s v="Married"/>
    <n v="17549"/>
    <n v="28984"/>
    <x v="17"/>
    <x v="12"/>
    <n v="1"/>
    <s v="No"/>
    <n v="3"/>
    <x v="5"/>
    <n v="39"/>
    <x v="0"/>
    <n v="4"/>
    <x v="0"/>
  </r>
  <r>
    <n v="10827"/>
    <n v="58"/>
    <x v="0"/>
    <x v="1"/>
    <x v="2"/>
    <x v="2"/>
    <s v="Married"/>
    <n v="15945"/>
    <n v="29075"/>
    <x v="12"/>
    <x v="0"/>
    <n v="1"/>
    <s v="No"/>
    <n v="4"/>
    <x v="18"/>
    <n v="29"/>
    <x v="2"/>
    <n v="2"/>
    <x v="0"/>
  </r>
  <r>
    <n v="10828"/>
    <n v="38"/>
    <x v="0"/>
    <x v="2"/>
    <x v="1"/>
    <x v="1"/>
    <s v="Single"/>
    <n v="65748"/>
    <n v="45459"/>
    <x v="10"/>
    <x v="5"/>
    <n v="4"/>
    <s v="No"/>
    <n v="3"/>
    <x v="30"/>
    <n v="22"/>
    <x v="2"/>
    <n v="2"/>
    <x v="0"/>
  </r>
  <r>
    <n v="10829"/>
    <n v="20"/>
    <x v="1"/>
    <x v="0"/>
    <x v="3"/>
    <x v="2"/>
    <s v="Single"/>
    <n v="121286"/>
    <n v="13448"/>
    <x v="22"/>
    <x v="6"/>
    <n v="4"/>
    <s v="No"/>
    <n v="4"/>
    <x v="13"/>
    <n v="8"/>
    <x v="0"/>
    <n v="3"/>
    <x v="0"/>
  </r>
  <r>
    <n v="10830"/>
    <n v="44"/>
    <x v="1"/>
    <x v="3"/>
    <x v="3"/>
    <x v="2"/>
    <s v="Divorced"/>
    <n v="100686"/>
    <n v="19629"/>
    <x v="15"/>
    <x v="9"/>
    <n v="5"/>
    <s v="No"/>
    <n v="3"/>
    <x v="34"/>
    <n v="30"/>
    <x v="1"/>
    <n v="2"/>
    <x v="0"/>
  </r>
  <r>
    <n v="10831"/>
    <n v="32"/>
    <x v="0"/>
    <x v="3"/>
    <x v="4"/>
    <x v="0"/>
    <s v="Divorced"/>
    <n v="31959"/>
    <n v="3476"/>
    <x v="24"/>
    <x v="2"/>
    <n v="3"/>
    <s v="No"/>
    <n v="4"/>
    <x v="6"/>
    <n v="25"/>
    <x v="1"/>
    <n v="3"/>
    <x v="0"/>
  </r>
  <r>
    <n v="10832"/>
    <n v="21"/>
    <x v="1"/>
    <x v="5"/>
    <x v="1"/>
    <x v="2"/>
    <s v="Married"/>
    <n v="48870"/>
    <n v="13003"/>
    <x v="1"/>
    <x v="9"/>
    <n v="3"/>
    <s v="No"/>
    <n v="2"/>
    <x v="5"/>
    <n v="7"/>
    <x v="3"/>
    <n v="1"/>
    <x v="0"/>
  </r>
  <r>
    <n v="10833"/>
    <n v="54"/>
    <x v="0"/>
    <x v="5"/>
    <x v="4"/>
    <x v="3"/>
    <s v="Divorced"/>
    <n v="31348"/>
    <n v="26472"/>
    <x v="13"/>
    <x v="0"/>
    <n v="5"/>
    <s v="Yes"/>
    <n v="3"/>
    <x v="26"/>
    <n v="24"/>
    <x v="3"/>
    <n v="2"/>
    <x v="0"/>
  </r>
  <r>
    <n v="10834"/>
    <n v="32"/>
    <x v="0"/>
    <x v="5"/>
    <x v="1"/>
    <x v="0"/>
    <s v="Single"/>
    <n v="47866"/>
    <n v="4601"/>
    <x v="19"/>
    <x v="5"/>
    <n v="3"/>
    <s v="No"/>
    <n v="3"/>
    <x v="15"/>
    <n v="18"/>
    <x v="3"/>
    <n v="3"/>
    <x v="0"/>
  </r>
  <r>
    <n v="10835"/>
    <n v="36"/>
    <x v="0"/>
    <x v="1"/>
    <x v="0"/>
    <x v="2"/>
    <s v="Single"/>
    <n v="70817"/>
    <n v="48846"/>
    <x v="24"/>
    <x v="0"/>
    <n v="4"/>
    <s v="No"/>
    <n v="2"/>
    <x v="9"/>
    <n v="12"/>
    <x v="3"/>
    <n v="3"/>
    <x v="1"/>
  </r>
  <r>
    <n v="10836"/>
    <n v="27"/>
    <x v="0"/>
    <x v="0"/>
    <x v="5"/>
    <x v="1"/>
    <s v="Single"/>
    <n v="159916"/>
    <n v="2246"/>
    <x v="7"/>
    <x v="5"/>
    <n v="3"/>
    <s v="No"/>
    <n v="3"/>
    <x v="29"/>
    <n v="52"/>
    <x v="3"/>
    <n v="3"/>
    <x v="0"/>
  </r>
  <r>
    <n v="10837"/>
    <n v="46"/>
    <x v="0"/>
    <x v="2"/>
    <x v="2"/>
    <x v="0"/>
    <s v="Single"/>
    <n v="16537"/>
    <n v="30771"/>
    <x v="17"/>
    <x v="12"/>
    <n v="4"/>
    <s v="Yes"/>
    <n v="4"/>
    <x v="9"/>
    <n v="35"/>
    <x v="1"/>
    <n v="1"/>
    <x v="0"/>
  </r>
  <r>
    <n v="10838"/>
    <n v="48"/>
    <x v="0"/>
    <x v="3"/>
    <x v="0"/>
    <x v="3"/>
    <s v="Married"/>
    <n v="60508"/>
    <n v="45330"/>
    <x v="4"/>
    <x v="8"/>
    <n v="5"/>
    <s v="Yes"/>
    <n v="3"/>
    <x v="15"/>
    <n v="53"/>
    <x v="3"/>
    <n v="4"/>
    <x v="0"/>
  </r>
  <r>
    <n v="10839"/>
    <n v="33"/>
    <x v="0"/>
    <x v="1"/>
    <x v="2"/>
    <x v="3"/>
    <s v="Single"/>
    <n v="16181"/>
    <n v="27071"/>
    <x v="17"/>
    <x v="1"/>
    <n v="4"/>
    <s v="Yes"/>
    <n v="3"/>
    <x v="31"/>
    <n v="38"/>
    <x v="3"/>
    <n v="2"/>
    <x v="0"/>
  </r>
  <r>
    <n v="10840"/>
    <n v="58"/>
    <x v="0"/>
    <x v="3"/>
    <x v="0"/>
    <x v="2"/>
    <s v="Single"/>
    <n v="71008"/>
    <n v="6710"/>
    <x v="2"/>
    <x v="8"/>
    <n v="2"/>
    <s v="No"/>
    <n v="3"/>
    <x v="25"/>
    <n v="14"/>
    <x v="1"/>
    <n v="1"/>
    <x v="1"/>
  </r>
  <r>
    <n v="10841"/>
    <n v="40"/>
    <x v="0"/>
    <x v="4"/>
    <x v="0"/>
    <x v="1"/>
    <s v="Married"/>
    <n v="75760"/>
    <n v="11145"/>
    <x v="20"/>
    <x v="1"/>
    <n v="3"/>
    <s v="No"/>
    <n v="3"/>
    <x v="25"/>
    <n v="22"/>
    <x v="0"/>
    <n v="2"/>
    <x v="0"/>
  </r>
  <r>
    <n v="10842"/>
    <n v="43"/>
    <x v="0"/>
    <x v="2"/>
    <x v="0"/>
    <x v="2"/>
    <s v="Married"/>
    <n v="60169"/>
    <n v="18225"/>
    <x v="23"/>
    <x v="2"/>
    <n v="5"/>
    <s v="No"/>
    <n v="1"/>
    <x v="21"/>
    <n v="6"/>
    <x v="1"/>
    <n v="3"/>
    <x v="1"/>
  </r>
  <r>
    <n v="10843"/>
    <n v="27"/>
    <x v="0"/>
    <x v="3"/>
    <x v="4"/>
    <x v="1"/>
    <s v="Single"/>
    <n v="39726"/>
    <n v="10321"/>
    <x v="18"/>
    <x v="4"/>
    <n v="3"/>
    <s v="Yes"/>
    <n v="3"/>
    <x v="17"/>
    <n v="56"/>
    <x v="3"/>
    <n v="1"/>
    <x v="0"/>
  </r>
  <r>
    <n v="10844"/>
    <n v="38"/>
    <x v="1"/>
    <x v="0"/>
    <x v="4"/>
    <x v="0"/>
    <s v="Married"/>
    <n v="25613"/>
    <n v="29485"/>
    <x v="24"/>
    <x v="0"/>
    <n v="5"/>
    <s v="Yes"/>
    <n v="3"/>
    <x v="23"/>
    <n v="27"/>
    <x v="3"/>
    <n v="4"/>
    <x v="0"/>
  </r>
  <r>
    <n v="10845"/>
    <n v="45"/>
    <x v="0"/>
    <x v="3"/>
    <x v="3"/>
    <x v="2"/>
    <s v="Married"/>
    <n v="103300"/>
    <n v="21868"/>
    <x v="2"/>
    <x v="0"/>
    <n v="4"/>
    <s v="No"/>
    <n v="1"/>
    <x v="34"/>
    <n v="38"/>
    <x v="2"/>
    <n v="3"/>
    <x v="1"/>
  </r>
  <r>
    <n v="10846"/>
    <n v="35"/>
    <x v="0"/>
    <x v="2"/>
    <x v="2"/>
    <x v="2"/>
    <s v="Married"/>
    <n v="17548"/>
    <n v="9368"/>
    <x v="11"/>
    <x v="4"/>
    <n v="3"/>
    <s v="No"/>
    <n v="3"/>
    <x v="2"/>
    <n v="8"/>
    <x v="3"/>
    <n v="2"/>
    <x v="0"/>
  </r>
  <r>
    <n v="10847"/>
    <n v="23"/>
    <x v="0"/>
    <x v="4"/>
    <x v="4"/>
    <x v="2"/>
    <s v="Single"/>
    <n v="34428"/>
    <n v="9458"/>
    <x v="6"/>
    <x v="14"/>
    <n v="3"/>
    <s v="No"/>
    <n v="3"/>
    <x v="18"/>
    <n v="29"/>
    <x v="1"/>
    <n v="4"/>
    <x v="0"/>
  </r>
  <r>
    <n v="10848"/>
    <n v="41"/>
    <x v="0"/>
    <x v="2"/>
    <x v="1"/>
    <x v="2"/>
    <s v="Married"/>
    <n v="69674"/>
    <n v="20967"/>
    <x v="12"/>
    <x v="6"/>
    <n v="2"/>
    <s v="No"/>
    <n v="4"/>
    <x v="6"/>
    <n v="45"/>
    <x v="0"/>
    <n v="2"/>
    <x v="0"/>
  </r>
  <r>
    <n v="10849"/>
    <n v="38"/>
    <x v="0"/>
    <x v="0"/>
    <x v="2"/>
    <x v="2"/>
    <s v="Single"/>
    <n v="15479"/>
    <n v="14691"/>
    <x v="24"/>
    <x v="5"/>
    <n v="5"/>
    <s v="No"/>
    <n v="4"/>
    <x v="21"/>
    <n v="35"/>
    <x v="0"/>
    <n v="1"/>
    <x v="0"/>
  </r>
  <r>
    <n v="10850"/>
    <n v="56"/>
    <x v="0"/>
    <x v="3"/>
    <x v="0"/>
    <x v="2"/>
    <s v="Married"/>
    <n v="71377"/>
    <n v="37443"/>
    <x v="13"/>
    <x v="0"/>
    <n v="2"/>
    <s v="No"/>
    <n v="4"/>
    <x v="6"/>
    <n v="40"/>
    <x v="1"/>
    <n v="3"/>
    <x v="0"/>
  </r>
  <r>
    <n v="10851"/>
    <n v="46"/>
    <x v="1"/>
    <x v="3"/>
    <x v="4"/>
    <x v="3"/>
    <s v="Single"/>
    <n v="27753"/>
    <n v="43025"/>
    <x v="12"/>
    <x v="9"/>
    <n v="3"/>
    <s v="No"/>
    <n v="3"/>
    <x v="7"/>
    <n v="57"/>
    <x v="3"/>
    <n v="3"/>
    <x v="0"/>
  </r>
  <r>
    <n v="10852"/>
    <n v="29"/>
    <x v="0"/>
    <x v="0"/>
    <x v="1"/>
    <x v="3"/>
    <s v="Single"/>
    <n v="48659"/>
    <n v="19337"/>
    <x v="23"/>
    <x v="2"/>
    <n v="3"/>
    <s v="No"/>
    <n v="3"/>
    <x v="33"/>
    <n v="48"/>
    <x v="1"/>
    <n v="2"/>
    <x v="0"/>
  </r>
  <r>
    <n v="10853"/>
    <n v="24"/>
    <x v="1"/>
    <x v="3"/>
    <x v="4"/>
    <x v="2"/>
    <s v="Single"/>
    <n v="42689"/>
    <n v="22778"/>
    <x v="10"/>
    <x v="9"/>
    <n v="3"/>
    <s v="No"/>
    <n v="2"/>
    <x v="11"/>
    <n v="6"/>
    <x v="1"/>
    <n v="2"/>
    <x v="0"/>
  </r>
  <r>
    <n v="10854"/>
    <n v="29"/>
    <x v="0"/>
    <x v="3"/>
    <x v="0"/>
    <x v="0"/>
    <s v="Divorced"/>
    <n v="64313"/>
    <n v="12876"/>
    <x v="0"/>
    <x v="7"/>
    <n v="3"/>
    <s v="No"/>
    <n v="1"/>
    <x v="34"/>
    <n v="34"/>
    <x v="2"/>
    <n v="3"/>
    <x v="1"/>
  </r>
  <r>
    <n v="10855"/>
    <n v="58"/>
    <x v="0"/>
    <x v="0"/>
    <x v="4"/>
    <x v="2"/>
    <s v="Married"/>
    <n v="32101"/>
    <n v="41908"/>
    <x v="23"/>
    <x v="3"/>
    <n v="3"/>
    <s v="No"/>
    <n v="2"/>
    <x v="31"/>
    <n v="22"/>
    <x v="1"/>
    <n v="4"/>
    <x v="0"/>
  </r>
  <r>
    <n v="10856"/>
    <n v="54"/>
    <x v="0"/>
    <x v="2"/>
    <x v="5"/>
    <x v="3"/>
    <s v="Single"/>
    <n v="133042"/>
    <n v="28688"/>
    <x v="24"/>
    <x v="13"/>
    <n v="3"/>
    <s v="Yes"/>
    <n v="3"/>
    <x v="18"/>
    <n v="17"/>
    <x v="2"/>
    <n v="4"/>
    <x v="0"/>
  </r>
  <r>
    <n v="10857"/>
    <n v="21"/>
    <x v="0"/>
    <x v="0"/>
    <x v="1"/>
    <x v="3"/>
    <s v="Married"/>
    <n v="48747"/>
    <n v="21458"/>
    <x v="24"/>
    <x v="4"/>
    <n v="2"/>
    <s v="No"/>
    <n v="4"/>
    <x v="20"/>
    <n v="58"/>
    <x v="0"/>
    <n v="3"/>
    <x v="0"/>
  </r>
  <r>
    <n v="10858"/>
    <n v="44"/>
    <x v="0"/>
    <x v="1"/>
    <x v="0"/>
    <x v="2"/>
    <s v="Married"/>
    <n v="87142"/>
    <n v="8167"/>
    <x v="15"/>
    <x v="2"/>
    <n v="4"/>
    <s v="No"/>
    <n v="3"/>
    <x v="2"/>
    <n v="36"/>
    <x v="3"/>
    <n v="1"/>
    <x v="0"/>
  </r>
  <r>
    <n v="10859"/>
    <n v="38"/>
    <x v="1"/>
    <x v="1"/>
    <x v="0"/>
    <x v="0"/>
    <s v="Single"/>
    <n v="86597"/>
    <n v="34710"/>
    <x v="14"/>
    <x v="2"/>
    <n v="2"/>
    <s v="No"/>
    <n v="4"/>
    <x v="14"/>
    <n v="8"/>
    <x v="0"/>
    <n v="3"/>
    <x v="0"/>
  </r>
  <r>
    <n v="10860"/>
    <n v="55"/>
    <x v="0"/>
    <x v="2"/>
    <x v="3"/>
    <x v="2"/>
    <s v="Married"/>
    <n v="107507"/>
    <n v="49483"/>
    <x v="13"/>
    <x v="14"/>
    <n v="3"/>
    <s v="No"/>
    <n v="3"/>
    <x v="8"/>
    <n v="34"/>
    <x v="1"/>
    <n v="2"/>
    <x v="0"/>
  </r>
  <r>
    <n v="10861"/>
    <n v="35"/>
    <x v="0"/>
    <x v="0"/>
    <x v="0"/>
    <x v="0"/>
    <s v="Married"/>
    <n v="81624"/>
    <n v="30493"/>
    <x v="9"/>
    <x v="12"/>
    <n v="3"/>
    <s v="No"/>
    <n v="4"/>
    <x v="23"/>
    <n v="6"/>
    <x v="1"/>
    <n v="2"/>
    <x v="0"/>
  </r>
  <r>
    <n v="10862"/>
    <n v="38"/>
    <x v="1"/>
    <x v="4"/>
    <x v="4"/>
    <x v="0"/>
    <s v="Married"/>
    <n v="38622"/>
    <n v="10707"/>
    <x v="14"/>
    <x v="7"/>
    <n v="4"/>
    <s v="No"/>
    <n v="3"/>
    <x v="1"/>
    <n v="21"/>
    <x v="1"/>
    <n v="2"/>
    <x v="0"/>
  </r>
  <r>
    <n v="10863"/>
    <n v="30"/>
    <x v="1"/>
    <x v="4"/>
    <x v="3"/>
    <x v="2"/>
    <s v="Married"/>
    <n v="117126"/>
    <n v="23371"/>
    <x v="0"/>
    <x v="10"/>
    <n v="5"/>
    <s v="No"/>
    <n v="3"/>
    <x v="6"/>
    <n v="51"/>
    <x v="3"/>
    <n v="3"/>
    <x v="0"/>
  </r>
  <r>
    <n v="10864"/>
    <n v="22"/>
    <x v="0"/>
    <x v="5"/>
    <x v="4"/>
    <x v="2"/>
    <s v="Divorced"/>
    <n v="35262"/>
    <n v="17238"/>
    <x v="21"/>
    <x v="14"/>
    <n v="2"/>
    <s v="No"/>
    <n v="3"/>
    <x v="6"/>
    <n v="14"/>
    <x v="3"/>
    <n v="4"/>
    <x v="0"/>
  </r>
  <r>
    <n v="10865"/>
    <n v="50"/>
    <x v="0"/>
    <x v="2"/>
    <x v="1"/>
    <x v="2"/>
    <s v="Single"/>
    <n v="51846"/>
    <n v="44200"/>
    <x v="7"/>
    <x v="0"/>
    <n v="4"/>
    <s v="Yes"/>
    <n v="2"/>
    <x v="14"/>
    <n v="16"/>
    <x v="3"/>
    <n v="4"/>
    <x v="0"/>
  </r>
  <r>
    <n v="10866"/>
    <n v="55"/>
    <x v="0"/>
    <x v="1"/>
    <x v="4"/>
    <x v="2"/>
    <s v="Married"/>
    <n v="35362"/>
    <n v="29639"/>
    <x v="11"/>
    <x v="0"/>
    <n v="1"/>
    <s v="No"/>
    <n v="2"/>
    <x v="15"/>
    <n v="7"/>
    <x v="0"/>
    <n v="1"/>
    <x v="1"/>
  </r>
  <r>
    <n v="10867"/>
    <n v="45"/>
    <x v="1"/>
    <x v="1"/>
    <x v="1"/>
    <x v="2"/>
    <s v="Married"/>
    <n v="45527"/>
    <n v="28140"/>
    <x v="17"/>
    <x v="4"/>
    <n v="3"/>
    <s v="No"/>
    <n v="3"/>
    <x v="26"/>
    <n v="48"/>
    <x v="0"/>
    <n v="3"/>
    <x v="0"/>
  </r>
  <r>
    <n v="10868"/>
    <n v="43"/>
    <x v="1"/>
    <x v="4"/>
    <x v="1"/>
    <x v="1"/>
    <s v="Single"/>
    <n v="65332"/>
    <n v="21305"/>
    <x v="7"/>
    <x v="3"/>
    <n v="2"/>
    <s v="No"/>
    <n v="2"/>
    <x v="2"/>
    <n v="18"/>
    <x v="0"/>
    <n v="2"/>
    <x v="0"/>
  </r>
  <r>
    <n v="10869"/>
    <n v="33"/>
    <x v="0"/>
    <x v="4"/>
    <x v="4"/>
    <x v="1"/>
    <s v="Divorced"/>
    <n v="43276"/>
    <n v="26445"/>
    <x v="8"/>
    <x v="13"/>
    <n v="5"/>
    <s v="No"/>
    <n v="1"/>
    <x v="5"/>
    <n v="13"/>
    <x v="0"/>
    <n v="4"/>
    <x v="1"/>
  </r>
  <r>
    <n v="10870"/>
    <n v="42"/>
    <x v="1"/>
    <x v="4"/>
    <x v="4"/>
    <x v="2"/>
    <s v="Single"/>
    <n v="31412"/>
    <n v="5743"/>
    <x v="17"/>
    <x v="0"/>
    <n v="4"/>
    <s v="No"/>
    <n v="1"/>
    <x v="5"/>
    <n v="46"/>
    <x v="3"/>
    <n v="3"/>
    <x v="0"/>
  </r>
  <r>
    <n v="10871"/>
    <n v="47"/>
    <x v="1"/>
    <x v="4"/>
    <x v="1"/>
    <x v="3"/>
    <s v="Married"/>
    <n v="58107"/>
    <n v="49814"/>
    <x v="0"/>
    <x v="2"/>
    <n v="3"/>
    <s v="No"/>
    <n v="4"/>
    <x v="0"/>
    <n v="20"/>
    <x v="2"/>
    <n v="1"/>
    <x v="0"/>
  </r>
  <r>
    <n v="10872"/>
    <n v="46"/>
    <x v="1"/>
    <x v="5"/>
    <x v="4"/>
    <x v="0"/>
    <s v="Married"/>
    <n v="27938"/>
    <n v="10015"/>
    <x v="15"/>
    <x v="8"/>
    <n v="3"/>
    <s v="No"/>
    <n v="4"/>
    <x v="17"/>
    <n v="41"/>
    <x v="3"/>
    <n v="4"/>
    <x v="0"/>
  </r>
  <r>
    <n v="10873"/>
    <n v="36"/>
    <x v="0"/>
    <x v="2"/>
    <x v="4"/>
    <x v="3"/>
    <s v="Single"/>
    <n v="25178"/>
    <n v="43715"/>
    <x v="9"/>
    <x v="2"/>
    <n v="3"/>
    <s v="Yes"/>
    <n v="3"/>
    <x v="29"/>
    <n v="35"/>
    <x v="1"/>
    <n v="3"/>
    <x v="0"/>
  </r>
  <r>
    <n v="10874"/>
    <n v="47"/>
    <x v="0"/>
    <x v="3"/>
    <x v="1"/>
    <x v="2"/>
    <s v="Single"/>
    <n v="69255"/>
    <n v="1903"/>
    <x v="6"/>
    <x v="10"/>
    <n v="4"/>
    <s v="No"/>
    <n v="2"/>
    <x v="33"/>
    <n v="55"/>
    <x v="3"/>
    <n v="2"/>
    <x v="0"/>
  </r>
  <r>
    <n v="10875"/>
    <n v="25"/>
    <x v="0"/>
    <x v="4"/>
    <x v="1"/>
    <x v="3"/>
    <s v="Married"/>
    <n v="50776"/>
    <n v="33181"/>
    <x v="10"/>
    <x v="1"/>
    <n v="2"/>
    <s v="No"/>
    <n v="3"/>
    <x v="23"/>
    <n v="16"/>
    <x v="2"/>
    <n v="2"/>
    <x v="1"/>
  </r>
  <r>
    <n v="10876"/>
    <n v="54"/>
    <x v="0"/>
    <x v="2"/>
    <x v="4"/>
    <x v="2"/>
    <s v="Single"/>
    <n v="30392"/>
    <n v="33937"/>
    <x v="24"/>
    <x v="5"/>
    <n v="3"/>
    <s v="Yes"/>
    <n v="4"/>
    <x v="16"/>
    <n v="31"/>
    <x v="0"/>
    <n v="3"/>
    <x v="0"/>
  </r>
  <r>
    <n v="10877"/>
    <n v="34"/>
    <x v="0"/>
    <x v="3"/>
    <x v="4"/>
    <x v="3"/>
    <s v="Divorced"/>
    <n v="34537"/>
    <n v="41971"/>
    <x v="16"/>
    <x v="5"/>
    <n v="5"/>
    <s v="No"/>
    <n v="4"/>
    <x v="31"/>
    <n v="16"/>
    <x v="1"/>
    <n v="3"/>
    <x v="0"/>
  </r>
  <r>
    <n v="10878"/>
    <n v="22"/>
    <x v="0"/>
    <x v="2"/>
    <x v="4"/>
    <x v="2"/>
    <s v="Single"/>
    <n v="36817"/>
    <n v="27240"/>
    <x v="7"/>
    <x v="2"/>
    <n v="3"/>
    <s v="Yes"/>
    <n v="3"/>
    <x v="3"/>
    <n v="51"/>
    <x v="1"/>
    <n v="4"/>
    <x v="0"/>
  </r>
  <r>
    <n v="10879"/>
    <n v="54"/>
    <x v="0"/>
    <x v="0"/>
    <x v="3"/>
    <x v="0"/>
    <s v="Married"/>
    <n v="110334"/>
    <n v="35069"/>
    <x v="21"/>
    <x v="3"/>
    <n v="3"/>
    <s v="No"/>
    <n v="3"/>
    <x v="29"/>
    <n v="52"/>
    <x v="1"/>
    <n v="1"/>
    <x v="0"/>
  </r>
  <r>
    <n v="10880"/>
    <n v="38"/>
    <x v="1"/>
    <x v="5"/>
    <x v="2"/>
    <x v="3"/>
    <s v="Married"/>
    <n v="17921"/>
    <n v="9684"/>
    <x v="7"/>
    <x v="10"/>
    <n v="2"/>
    <s v="Yes"/>
    <n v="3"/>
    <x v="32"/>
    <n v="25"/>
    <x v="1"/>
    <n v="3"/>
    <x v="0"/>
  </r>
  <r>
    <n v="10881"/>
    <n v="24"/>
    <x v="0"/>
    <x v="2"/>
    <x v="4"/>
    <x v="2"/>
    <s v="Single"/>
    <n v="32139"/>
    <n v="29815"/>
    <x v="4"/>
    <x v="0"/>
    <n v="3"/>
    <s v="No"/>
    <n v="2"/>
    <x v="25"/>
    <n v="17"/>
    <x v="0"/>
    <n v="3"/>
    <x v="0"/>
  </r>
  <r>
    <n v="10882"/>
    <n v="30"/>
    <x v="0"/>
    <x v="2"/>
    <x v="3"/>
    <x v="2"/>
    <s v="Married"/>
    <n v="99524"/>
    <n v="18402"/>
    <x v="1"/>
    <x v="1"/>
    <n v="3"/>
    <s v="No"/>
    <n v="4"/>
    <x v="21"/>
    <n v="42"/>
    <x v="1"/>
    <n v="1"/>
    <x v="0"/>
  </r>
  <r>
    <n v="10883"/>
    <n v="52"/>
    <x v="0"/>
    <x v="2"/>
    <x v="4"/>
    <x v="0"/>
    <s v="Single"/>
    <n v="36683"/>
    <n v="44735"/>
    <x v="24"/>
    <x v="2"/>
    <n v="2"/>
    <s v="Yes"/>
    <n v="3"/>
    <x v="27"/>
    <n v="33"/>
    <x v="0"/>
    <n v="3"/>
    <x v="0"/>
  </r>
  <r>
    <n v="10884"/>
    <n v="46"/>
    <x v="0"/>
    <x v="4"/>
    <x v="1"/>
    <x v="0"/>
    <s v="Married"/>
    <n v="66249"/>
    <n v="2675"/>
    <x v="8"/>
    <x v="10"/>
    <n v="3"/>
    <s v="No"/>
    <n v="3"/>
    <x v="12"/>
    <n v="57"/>
    <x v="1"/>
    <n v="3"/>
    <x v="0"/>
  </r>
  <r>
    <n v="10885"/>
    <n v="50"/>
    <x v="0"/>
    <x v="2"/>
    <x v="4"/>
    <x v="0"/>
    <s v="Married"/>
    <n v="39985"/>
    <n v="17221"/>
    <x v="2"/>
    <x v="9"/>
    <n v="3"/>
    <s v="Yes"/>
    <n v="3"/>
    <x v="8"/>
    <n v="38"/>
    <x v="0"/>
    <n v="2"/>
    <x v="0"/>
  </r>
  <r>
    <n v="10886"/>
    <n v="30"/>
    <x v="1"/>
    <x v="3"/>
    <x v="1"/>
    <x v="2"/>
    <s v="Married"/>
    <n v="51372"/>
    <n v="41233"/>
    <x v="2"/>
    <x v="8"/>
    <n v="2"/>
    <s v="No"/>
    <n v="3"/>
    <x v="36"/>
    <n v="47"/>
    <x v="1"/>
    <n v="3"/>
    <x v="0"/>
  </r>
  <r>
    <n v="10887"/>
    <n v="40"/>
    <x v="0"/>
    <x v="2"/>
    <x v="0"/>
    <x v="2"/>
    <s v="Single"/>
    <n v="60637"/>
    <n v="47735"/>
    <x v="4"/>
    <x v="11"/>
    <n v="3"/>
    <s v="No"/>
    <n v="1"/>
    <x v="25"/>
    <n v="36"/>
    <x v="2"/>
    <n v="3"/>
    <x v="1"/>
  </r>
  <r>
    <n v="10888"/>
    <n v="41"/>
    <x v="1"/>
    <x v="1"/>
    <x v="0"/>
    <x v="3"/>
    <s v="Married"/>
    <n v="84795"/>
    <n v="37096"/>
    <x v="1"/>
    <x v="9"/>
    <n v="3"/>
    <s v="No"/>
    <n v="1"/>
    <x v="5"/>
    <n v="35"/>
    <x v="3"/>
    <n v="1"/>
    <x v="0"/>
  </r>
  <r>
    <n v="10889"/>
    <n v="27"/>
    <x v="1"/>
    <x v="5"/>
    <x v="4"/>
    <x v="0"/>
    <s v="Single"/>
    <n v="38446"/>
    <n v="13570"/>
    <x v="15"/>
    <x v="1"/>
    <n v="3"/>
    <s v="No"/>
    <n v="1"/>
    <x v="23"/>
    <n v="8"/>
    <x v="2"/>
    <n v="4"/>
    <x v="0"/>
  </r>
  <r>
    <n v="10890"/>
    <n v="42"/>
    <x v="0"/>
    <x v="4"/>
    <x v="0"/>
    <x v="2"/>
    <s v="Single"/>
    <n v="63642"/>
    <n v="7806"/>
    <x v="16"/>
    <x v="3"/>
    <n v="3"/>
    <s v="No"/>
    <n v="4"/>
    <x v="12"/>
    <n v="49"/>
    <x v="2"/>
    <n v="4"/>
    <x v="1"/>
  </r>
  <r>
    <n v="10891"/>
    <n v="45"/>
    <x v="1"/>
    <x v="2"/>
    <x v="4"/>
    <x v="0"/>
    <s v="Married"/>
    <n v="33774"/>
    <n v="10372"/>
    <x v="1"/>
    <x v="10"/>
    <n v="3"/>
    <s v="No"/>
    <n v="3"/>
    <x v="0"/>
    <n v="7"/>
    <x v="3"/>
    <n v="3"/>
    <x v="0"/>
  </r>
  <r>
    <n v="10892"/>
    <n v="57"/>
    <x v="0"/>
    <x v="4"/>
    <x v="4"/>
    <x v="2"/>
    <s v="Married"/>
    <n v="42464"/>
    <n v="1325"/>
    <x v="12"/>
    <x v="13"/>
    <n v="2"/>
    <s v="Yes"/>
    <n v="2"/>
    <x v="28"/>
    <n v="58"/>
    <x v="0"/>
    <n v="1"/>
    <x v="0"/>
  </r>
  <r>
    <n v="10893"/>
    <n v="56"/>
    <x v="0"/>
    <x v="2"/>
    <x v="4"/>
    <x v="2"/>
    <s v="Married"/>
    <n v="43877"/>
    <n v="10886"/>
    <x v="16"/>
    <x v="7"/>
    <n v="3"/>
    <s v="No"/>
    <n v="3"/>
    <x v="1"/>
    <n v="58"/>
    <x v="0"/>
    <n v="1"/>
    <x v="0"/>
  </r>
  <r>
    <n v="10894"/>
    <n v="20"/>
    <x v="0"/>
    <x v="5"/>
    <x v="1"/>
    <x v="2"/>
    <s v="Married"/>
    <n v="51641"/>
    <n v="34603"/>
    <x v="6"/>
    <x v="2"/>
    <n v="5"/>
    <s v="Yes"/>
    <n v="3"/>
    <x v="15"/>
    <n v="39"/>
    <x v="3"/>
    <n v="2"/>
    <x v="0"/>
  </r>
  <r>
    <n v="10895"/>
    <n v="57"/>
    <x v="0"/>
    <x v="3"/>
    <x v="0"/>
    <x v="3"/>
    <s v="Single"/>
    <n v="73010"/>
    <n v="18429"/>
    <x v="21"/>
    <x v="7"/>
    <n v="5"/>
    <s v="No"/>
    <n v="2"/>
    <x v="18"/>
    <n v="16"/>
    <x v="2"/>
    <n v="3"/>
    <x v="1"/>
  </r>
  <r>
    <n v="10896"/>
    <n v="29"/>
    <x v="0"/>
    <x v="1"/>
    <x v="1"/>
    <x v="3"/>
    <s v="Single"/>
    <n v="63689"/>
    <n v="45828"/>
    <x v="24"/>
    <x v="10"/>
    <n v="3"/>
    <s v="Yes"/>
    <n v="3"/>
    <x v="14"/>
    <n v="25"/>
    <x v="1"/>
    <n v="2"/>
    <x v="0"/>
  </r>
  <r>
    <n v="10897"/>
    <n v="57"/>
    <x v="0"/>
    <x v="4"/>
    <x v="1"/>
    <x v="0"/>
    <s v="Married"/>
    <n v="57476"/>
    <n v="5614"/>
    <x v="3"/>
    <x v="3"/>
    <n v="5"/>
    <s v="No"/>
    <n v="3"/>
    <x v="31"/>
    <n v="41"/>
    <x v="0"/>
    <n v="3"/>
    <x v="0"/>
  </r>
  <r>
    <n v="10898"/>
    <n v="49"/>
    <x v="0"/>
    <x v="5"/>
    <x v="4"/>
    <x v="2"/>
    <s v="Single"/>
    <n v="26633"/>
    <n v="46117"/>
    <x v="16"/>
    <x v="0"/>
    <n v="3"/>
    <s v="No"/>
    <n v="4"/>
    <x v="9"/>
    <n v="41"/>
    <x v="3"/>
    <n v="3"/>
    <x v="0"/>
  </r>
  <r>
    <n v="10899"/>
    <n v="50"/>
    <x v="1"/>
    <x v="4"/>
    <x v="0"/>
    <x v="0"/>
    <s v="Single"/>
    <n v="76857"/>
    <n v="29753"/>
    <x v="20"/>
    <x v="3"/>
    <n v="4"/>
    <s v="No"/>
    <n v="4"/>
    <x v="22"/>
    <n v="46"/>
    <x v="0"/>
    <n v="3"/>
    <x v="0"/>
  </r>
  <r>
    <n v="10900"/>
    <n v="20"/>
    <x v="1"/>
    <x v="3"/>
    <x v="1"/>
    <x v="2"/>
    <s v="Married"/>
    <n v="60440"/>
    <n v="33455"/>
    <x v="11"/>
    <x v="7"/>
    <n v="2"/>
    <s v="No"/>
    <n v="4"/>
    <x v="38"/>
    <n v="55"/>
    <x v="0"/>
    <n v="4"/>
    <x v="0"/>
  </r>
  <r>
    <n v="10901"/>
    <n v="23"/>
    <x v="0"/>
    <x v="2"/>
    <x v="1"/>
    <x v="2"/>
    <s v="Married"/>
    <n v="62592"/>
    <n v="3209"/>
    <x v="22"/>
    <x v="3"/>
    <n v="4"/>
    <s v="Yes"/>
    <n v="4"/>
    <x v="30"/>
    <n v="53"/>
    <x v="3"/>
    <n v="1"/>
    <x v="0"/>
  </r>
  <r>
    <n v="10902"/>
    <n v="52"/>
    <x v="0"/>
    <x v="2"/>
    <x v="1"/>
    <x v="2"/>
    <s v="Single"/>
    <n v="66290"/>
    <n v="21676"/>
    <x v="13"/>
    <x v="0"/>
    <n v="3"/>
    <s v="No"/>
    <n v="4"/>
    <x v="29"/>
    <n v="30"/>
    <x v="2"/>
    <n v="2"/>
    <x v="0"/>
  </r>
  <r>
    <n v="10903"/>
    <n v="47"/>
    <x v="0"/>
    <x v="2"/>
    <x v="1"/>
    <x v="2"/>
    <s v="Married"/>
    <n v="51141"/>
    <n v="5037"/>
    <x v="17"/>
    <x v="11"/>
    <n v="2"/>
    <s v="No"/>
    <n v="3"/>
    <x v="18"/>
    <n v="21"/>
    <x v="2"/>
    <n v="3"/>
    <x v="0"/>
  </r>
  <r>
    <n v="10904"/>
    <n v="41"/>
    <x v="0"/>
    <x v="5"/>
    <x v="1"/>
    <x v="0"/>
    <s v="Single"/>
    <n v="58394"/>
    <n v="8104"/>
    <x v="10"/>
    <x v="13"/>
    <n v="3"/>
    <s v="No"/>
    <n v="3"/>
    <x v="24"/>
    <n v="14"/>
    <x v="0"/>
    <n v="4"/>
    <x v="0"/>
  </r>
  <r>
    <n v="10905"/>
    <n v="27"/>
    <x v="0"/>
    <x v="5"/>
    <x v="4"/>
    <x v="0"/>
    <s v="Single"/>
    <n v="33955"/>
    <n v="6674"/>
    <x v="22"/>
    <x v="9"/>
    <n v="5"/>
    <s v="Yes"/>
    <n v="4"/>
    <x v="28"/>
    <n v="33"/>
    <x v="1"/>
    <n v="4"/>
    <x v="0"/>
  </r>
  <r>
    <n v="10906"/>
    <n v="44"/>
    <x v="0"/>
    <x v="5"/>
    <x v="4"/>
    <x v="2"/>
    <s v="Married"/>
    <n v="34537"/>
    <n v="8330"/>
    <x v="3"/>
    <x v="6"/>
    <n v="4"/>
    <s v="No"/>
    <n v="4"/>
    <x v="7"/>
    <n v="17"/>
    <x v="3"/>
    <n v="4"/>
    <x v="0"/>
  </r>
  <r>
    <n v="10907"/>
    <n v="33"/>
    <x v="0"/>
    <x v="2"/>
    <x v="1"/>
    <x v="0"/>
    <s v="Married"/>
    <n v="45838"/>
    <n v="15095"/>
    <x v="20"/>
    <x v="6"/>
    <n v="4"/>
    <s v="No"/>
    <n v="3"/>
    <x v="27"/>
    <n v="38"/>
    <x v="0"/>
    <n v="3"/>
    <x v="0"/>
  </r>
  <r>
    <n v="10908"/>
    <n v="58"/>
    <x v="0"/>
    <x v="4"/>
    <x v="5"/>
    <x v="2"/>
    <s v="Single"/>
    <n v="121982"/>
    <n v="34527"/>
    <x v="1"/>
    <x v="9"/>
    <n v="3"/>
    <s v="No"/>
    <n v="4"/>
    <x v="7"/>
    <n v="55"/>
    <x v="3"/>
    <n v="3"/>
    <x v="0"/>
  </r>
  <r>
    <n v="10909"/>
    <n v="29"/>
    <x v="0"/>
    <x v="2"/>
    <x v="1"/>
    <x v="3"/>
    <s v="Married"/>
    <n v="56719"/>
    <n v="31368"/>
    <x v="10"/>
    <x v="14"/>
    <n v="3"/>
    <s v="No"/>
    <n v="4"/>
    <x v="18"/>
    <n v="24"/>
    <x v="3"/>
    <n v="4"/>
    <x v="0"/>
  </r>
  <r>
    <n v="10910"/>
    <n v="55"/>
    <x v="0"/>
    <x v="3"/>
    <x v="1"/>
    <x v="3"/>
    <s v="Married"/>
    <n v="69244"/>
    <n v="45712"/>
    <x v="7"/>
    <x v="8"/>
    <n v="3"/>
    <s v="No"/>
    <n v="2"/>
    <x v="7"/>
    <n v="54"/>
    <x v="0"/>
    <n v="1"/>
    <x v="0"/>
  </r>
  <r>
    <n v="10911"/>
    <n v="57"/>
    <x v="0"/>
    <x v="2"/>
    <x v="4"/>
    <x v="2"/>
    <s v="Married"/>
    <n v="35789"/>
    <n v="22383"/>
    <x v="5"/>
    <x v="3"/>
    <n v="2"/>
    <s v="No"/>
    <n v="4"/>
    <x v="27"/>
    <n v="14"/>
    <x v="3"/>
    <n v="2"/>
    <x v="0"/>
  </r>
  <r>
    <n v="10912"/>
    <n v="38"/>
    <x v="1"/>
    <x v="0"/>
    <x v="4"/>
    <x v="0"/>
    <s v="Single"/>
    <n v="43261"/>
    <n v="26379"/>
    <x v="23"/>
    <x v="7"/>
    <n v="1"/>
    <s v="Yes"/>
    <n v="4"/>
    <x v="24"/>
    <n v="46"/>
    <x v="2"/>
    <n v="1"/>
    <x v="0"/>
  </r>
  <r>
    <n v="10913"/>
    <n v="56"/>
    <x v="1"/>
    <x v="4"/>
    <x v="0"/>
    <x v="3"/>
    <s v="Married"/>
    <n v="67670"/>
    <n v="49849"/>
    <x v="13"/>
    <x v="13"/>
    <n v="4"/>
    <s v="No"/>
    <n v="3"/>
    <x v="38"/>
    <n v="53"/>
    <x v="3"/>
    <n v="3"/>
    <x v="0"/>
  </r>
  <r>
    <n v="10914"/>
    <n v="49"/>
    <x v="0"/>
    <x v="3"/>
    <x v="1"/>
    <x v="2"/>
    <s v="Single"/>
    <n v="51154"/>
    <n v="42290"/>
    <x v="5"/>
    <x v="3"/>
    <n v="1"/>
    <s v="No"/>
    <n v="2"/>
    <x v="27"/>
    <n v="44"/>
    <x v="3"/>
    <n v="1"/>
    <x v="0"/>
  </r>
  <r>
    <n v="10915"/>
    <n v="30"/>
    <x v="1"/>
    <x v="5"/>
    <x v="2"/>
    <x v="0"/>
    <s v="Single"/>
    <n v="15765"/>
    <n v="22555"/>
    <x v="2"/>
    <x v="2"/>
    <n v="3"/>
    <s v="No"/>
    <n v="3"/>
    <x v="29"/>
    <n v="25"/>
    <x v="1"/>
    <n v="3"/>
    <x v="0"/>
  </r>
  <r>
    <n v="10916"/>
    <n v="34"/>
    <x v="1"/>
    <x v="3"/>
    <x v="0"/>
    <x v="2"/>
    <s v="Single"/>
    <n v="87782"/>
    <n v="27860"/>
    <x v="4"/>
    <x v="8"/>
    <n v="1"/>
    <s v="No"/>
    <n v="3"/>
    <x v="27"/>
    <n v="17"/>
    <x v="3"/>
    <n v="3"/>
    <x v="0"/>
  </r>
  <r>
    <n v="10917"/>
    <n v="38"/>
    <x v="0"/>
    <x v="2"/>
    <x v="4"/>
    <x v="2"/>
    <s v="Married"/>
    <n v="44560"/>
    <n v="2712"/>
    <x v="3"/>
    <x v="13"/>
    <n v="4"/>
    <s v="Yes"/>
    <n v="4"/>
    <x v="16"/>
    <n v="7"/>
    <x v="0"/>
    <n v="4"/>
    <x v="0"/>
  </r>
  <r>
    <n v="10918"/>
    <n v="46"/>
    <x v="0"/>
    <x v="4"/>
    <x v="5"/>
    <x v="1"/>
    <s v="Single"/>
    <n v="131156"/>
    <n v="27220"/>
    <x v="5"/>
    <x v="13"/>
    <n v="3"/>
    <s v="No"/>
    <n v="1"/>
    <x v="34"/>
    <n v="12"/>
    <x v="0"/>
    <n v="3"/>
    <x v="0"/>
  </r>
  <r>
    <n v="10919"/>
    <n v="56"/>
    <x v="0"/>
    <x v="2"/>
    <x v="5"/>
    <x v="2"/>
    <s v="Single"/>
    <n v="144054"/>
    <n v="43602"/>
    <x v="19"/>
    <x v="0"/>
    <n v="2"/>
    <s v="No"/>
    <n v="3"/>
    <x v="22"/>
    <n v="49"/>
    <x v="0"/>
    <n v="4"/>
    <x v="0"/>
  </r>
  <r>
    <n v="10920"/>
    <n v="42"/>
    <x v="0"/>
    <x v="1"/>
    <x v="4"/>
    <x v="0"/>
    <s v="Single"/>
    <n v="30105"/>
    <n v="46904"/>
    <x v="21"/>
    <x v="14"/>
    <n v="3"/>
    <s v="No"/>
    <n v="3"/>
    <x v="38"/>
    <n v="44"/>
    <x v="2"/>
    <n v="2"/>
    <x v="1"/>
  </r>
  <r>
    <n v="10921"/>
    <n v="35"/>
    <x v="0"/>
    <x v="3"/>
    <x v="0"/>
    <x v="3"/>
    <s v="Single"/>
    <n v="78915"/>
    <n v="18836"/>
    <x v="21"/>
    <x v="10"/>
    <n v="3"/>
    <s v="No"/>
    <n v="4"/>
    <x v="1"/>
    <n v="11"/>
    <x v="0"/>
    <n v="1"/>
    <x v="0"/>
  </r>
  <r>
    <n v="10922"/>
    <n v="21"/>
    <x v="0"/>
    <x v="1"/>
    <x v="3"/>
    <x v="3"/>
    <s v="Single"/>
    <n v="96589"/>
    <n v="48970"/>
    <x v="19"/>
    <x v="0"/>
    <n v="5"/>
    <s v="No"/>
    <n v="4"/>
    <x v="16"/>
    <n v="15"/>
    <x v="1"/>
    <n v="2"/>
    <x v="0"/>
  </r>
  <r>
    <n v="10923"/>
    <n v="30"/>
    <x v="0"/>
    <x v="4"/>
    <x v="1"/>
    <x v="3"/>
    <s v="Single"/>
    <n v="62499"/>
    <n v="30480"/>
    <x v="7"/>
    <x v="5"/>
    <n v="3"/>
    <s v="No"/>
    <n v="2"/>
    <x v="22"/>
    <n v="13"/>
    <x v="3"/>
    <n v="2"/>
    <x v="0"/>
  </r>
  <r>
    <n v="10924"/>
    <n v="25"/>
    <x v="1"/>
    <x v="5"/>
    <x v="4"/>
    <x v="2"/>
    <s v="Married"/>
    <n v="40613"/>
    <n v="1069"/>
    <x v="18"/>
    <x v="0"/>
    <n v="3"/>
    <s v="No"/>
    <n v="2"/>
    <x v="15"/>
    <n v="16"/>
    <x v="1"/>
    <n v="2"/>
    <x v="0"/>
  </r>
  <r>
    <n v="10925"/>
    <n v="50"/>
    <x v="0"/>
    <x v="0"/>
    <x v="1"/>
    <x v="2"/>
    <s v="Married"/>
    <n v="45632"/>
    <n v="32695"/>
    <x v="6"/>
    <x v="13"/>
    <n v="5"/>
    <s v="No"/>
    <n v="4"/>
    <x v="35"/>
    <n v="5"/>
    <x v="0"/>
    <n v="2"/>
    <x v="0"/>
  </r>
  <r>
    <n v="10926"/>
    <n v="51"/>
    <x v="0"/>
    <x v="1"/>
    <x v="3"/>
    <x v="0"/>
    <s v="Single"/>
    <n v="119845"/>
    <n v="2321"/>
    <x v="13"/>
    <x v="4"/>
    <n v="1"/>
    <s v="No"/>
    <n v="3"/>
    <x v="34"/>
    <n v="40"/>
    <x v="1"/>
    <n v="2"/>
    <x v="0"/>
  </r>
  <r>
    <n v="10927"/>
    <n v="59"/>
    <x v="0"/>
    <x v="1"/>
    <x v="1"/>
    <x v="3"/>
    <s v="Married"/>
    <n v="45643"/>
    <n v="610"/>
    <x v="17"/>
    <x v="0"/>
    <n v="3"/>
    <s v="Yes"/>
    <n v="2"/>
    <x v="27"/>
    <n v="34"/>
    <x v="1"/>
    <n v="1"/>
    <x v="1"/>
  </r>
  <r>
    <n v="10928"/>
    <n v="42"/>
    <x v="1"/>
    <x v="2"/>
    <x v="2"/>
    <x v="2"/>
    <s v="Married"/>
    <n v="10063"/>
    <n v="42231"/>
    <x v="7"/>
    <x v="0"/>
    <n v="1"/>
    <s v="No"/>
    <n v="4"/>
    <x v="7"/>
    <n v="16"/>
    <x v="0"/>
    <n v="1"/>
    <x v="0"/>
  </r>
  <r>
    <n v="10929"/>
    <n v="21"/>
    <x v="1"/>
    <x v="5"/>
    <x v="1"/>
    <x v="2"/>
    <s v="Single"/>
    <n v="69908"/>
    <n v="7482"/>
    <x v="0"/>
    <x v="7"/>
    <n v="2"/>
    <s v="No"/>
    <n v="4"/>
    <x v="29"/>
    <n v="28"/>
    <x v="3"/>
    <n v="3"/>
    <x v="0"/>
  </r>
  <r>
    <n v="10930"/>
    <n v="36"/>
    <x v="0"/>
    <x v="3"/>
    <x v="4"/>
    <x v="2"/>
    <s v="Married"/>
    <n v="29714"/>
    <n v="13601"/>
    <x v="1"/>
    <x v="4"/>
    <n v="4"/>
    <s v="No"/>
    <n v="4"/>
    <x v="9"/>
    <n v="17"/>
    <x v="1"/>
    <n v="4"/>
    <x v="0"/>
  </r>
  <r>
    <n v="10931"/>
    <n v="56"/>
    <x v="0"/>
    <x v="4"/>
    <x v="1"/>
    <x v="0"/>
    <s v="Single"/>
    <n v="64446"/>
    <n v="10558"/>
    <x v="23"/>
    <x v="2"/>
    <n v="5"/>
    <s v="No"/>
    <n v="4"/>
    <x v="30"/>
    <n v="49"/>
    <x v="3"/>
    <n v="3"/>
    <x v="0"/>
  </r>
  <r>
    <n v="10932"/>
    <n v="37"/>
    <x v="1"/>
    <x v="0"/>
    <x v="4"/>
    <x v="3"/>
    <s v="Single"/>
    <n v="39418"/>
    <n v="22268"/>
    <x v="21"/>
    <x v="2"/>
    <n v="2"/>
    <s v="Yes"/>
    <n v="2"/>
    <x v="26"/>
    <n v="56"/>
    <x v="0"/>
    <n v="3"/>
    <x v="0"/>
  </r>
  <r>
    <n v="10933"/>
    <n v="26"/>
    <x v="0"/>
    <x v="5"/>
    <x v="2"/>
    <x v="2"/>
    <s v="Single"/>
    <n v="11737"/>
    <n v="33178"/>
    <x v="11"/>
    <x v="13"/>
    <n v="5"/>
    <s v="Yes"/>
    <n v="3"/>
    <x v="25"/>
    <n v="7"/>
    <x v="3"/>
    <n v="4"/>
    <x v="0"/>
  </r>
  <r>
    <n v="10934"/>
    <n v="31"/>
    <x v="0"/>
    <x v="3"/>
    <x v="4"/>
    <x v="0"/>
    <s v="Married"/>
    <n v="31701"/>
    <n v="42589"/>
    <x v="10"/>
    <x v="6"/>
    <n v="3"/>
    <s v="No"/>
    <n v="2"/>
    <x v="9"/>
    <n v="48"/>
    <x v="1"/>
    <n v="1"/>
    <x v="1"/>
  </r>
  <r>
    <n v="10935"/>
    <n v="36"/>
    <x v="1"/>
    <x v="0"/>
    <x v="1"/>
    <x v="3"/>
    <s v="Single"/>
    <n v="55913"/>
    <n v="43780"/>
    <x v="7"/>
    <x v="9"/>
    <n v="3"/>
    <s v="No"/>
    <n v="2"/>
    <x v="28"/>
    <n v="46"/>
    <x v="3"/>
    <n v="1"/>
    <x v="0"/>
  </r>
  <r>
    <n v="10936"/>
    <n v="26"/>
    <x v="0"/>
    <x v="4"/>
    <x v="4"/>
    <x v="0"/>
    <s v="Single"/>
    <n v="32617"/>
    <n v="15478"/>
    <x v="16"/>
    <x v="13"/>
    <n v="2"/>
    <s v="No"/>
    <n v="3"/>
    <x v="36"/>
    <n v="25"/>
    <x v="1"/>
    <n v="4"/>
    <x v="0"/>
  </r>
  <r>
    <n v="10937"/>
    <n v="59"/>
    <x v="1"/>
    <x v="2"/>
    <x v="3"/>
    <x v="2"/>
    <s v="Single"/>
    <n v="112290"/>
    <n v="16439"/>
    <x v="8"/>
    <x v="0"/>
    <n v="3"/>
    <s v="No"/>
    <n v="4"/>
    <x v="36"/>
    <n v="30"/>
    <x v="1"/>
    <n v="3"/>
    <x v="0"/>
  </r>
  <r>
    <n v="10938"/>
    <n v="38"/>
    <x v="0"/>
    <x v="2"/>
    <x v="3"/>
    <x v="2"/>
    <s v="Married"/>
    <n v="90947"/>
    <n v="19439"/>
    <x v="13"/>
    <x v="13"/>
    <n v="2"/>
    <s v="No"/>
    <n v="3"/>
    <x v="32"/>
    <n v="11"/>
    <x v="2"/>
    <n v="3"/>
    <x v="1"/>
  </r>
  <r>
    <n v="10939"/>
    <n v="37"/>
    <x v="1"/>
    <x v="1"/>
    <x v="0"/>
    <x v="1"/>
    <s v="Married"/>
    <n v="83987"/>
    <n v="30312"/>
    <x v="11"/>
    <x v="0"/>
    <n v="3"/>
    <s v="No"/>
    <n v="4"/>
    <x v="32"/>
    <n v="21"/>
    <x v="3"/>
    <n v="1"/>
    <x v="0"/>
  </r>
  <r>
    <n v="10940"/>
    <n v="23"/>
    <x v="0"/>
    <x v="1"/>
    <x v="4"/>
    <x v="2"/>
    <s v="Divorced"/>
    <n v="34494"/>
    <n v="20751"/>
    <x v="4"/>
    <x v="9"/>
    <n v="4"/>
    <s v="No"/>
    <n v="4"/>
    <x v="33"/>
    <n v="52"/>
    <x v="1"/>
    <n v="3"/>
    <x v="0"/>
  </r>
  <r>
    <n v="10941"/>
    <n v="33"/>
    <x v="0"/>
    <x v="2"/>
    <x v="1"/>
    <x v="0"/>
    <s v="Single"/>
    <n v="54231"/>
    <n v="2747"/>
    <x v="0"/>
    <x v="8"/>
    <n v="3"/>
    <s v="No"/>
    <n v="3"/>
    <x v="14"/>
    <n v="8"/>
    <x v="0"/>
    <n v="2"/>
    <x v="0"/>
  </r>
  <r>
    <n v="10942"/>
    <n v="45"/>
    <x v="0"/>
    <x v="2"/>
    <x v="4"/>
    <x v="3"/>
    <s v="Single"/>
    <n v="28411"/>
    <n v="33744"/>
    <x v="8"/>
    <x v="13"/>
    <n v="3"/>
    <s v="No"/>
    <n v="3"/>
    <x v="19"/>
    <n v="24"/>
    <x v="0"/>
    <n v="3"/>
    <x v="0"/>
  </r>
  <r>
    <n v="10943"/>
    <n v="26"/>
    <x v="0"/>
    <x v="0"/>
    <x v="4"/>
    <x v="2"/>
    <s v="Married"/>
    <n v="33464"/>
    <n v="31029"/>
    <x v="13"/>
    <x v="7"/>
    <n v="3"/>
    <s v="No"/>
    <n v="1"/>
    <x v="12"/>
    <n v="45"/>
    <x v="0"/>
    <n v="4"/>
    <x v="0"/>
  </r>
  <r>
    <n v="10944"/>
    <n v="59"/>
    <x v="1"/>
    <x v="4"/>
    <x v="4"/>
    <x v="2"/>
    <s v="Single"/>
    <n v="37766"/>
    <n v="42844"/>
    <x v="12"/>
    <x v="13"/>
    <n v="3"/>
    <s v="No"/>
    <n v="4"/>
    <x v="0"/>
    <n v="23"/>
    <x v="1"/>
    <n v="3"/>
    <x v="0"/>
  </r>
  <r>
    <n v="10945"/>
    <n v="39"/>
    <x v="0"/>
    <x v="2"/>
    <x v="4"/>
    <x v="3"/>
    <s v="Married"/>
    <n v="40058"/>
    <n v="2167"/>
    <x v="21"/>
    <x v="0"/>
    <n v="3"/>
    <s v="Yes"/>
    <n v="1"/>
    <x v="31"/>
    <n v="30"/>
    <x v="0"/>
    <n v="4"/>
    <x v="1"/>
  </r>
  <r>
    <n v="10946"/>
    <n v="52"/>
    <x v="1"/>
    <x v="0"/>
    <x v="3"/>
    <x v="3"/>
    <s v="Single"/>
    <n v="113991"/>
    <n v="16321"/>
    <x v="24"/>
    <x v="8"/>
    <n v="1"/>
    <s v="No"/>
    <n v="2"/>
    <x v="6"/>
    <n v="26"/>
    <x v="2"/>
    <n v="1"/>
    <x v="0"/>
  </r>
  <r>
    <n v="10947"/>
    <n v="39"/>
    <x v="1"/>
    <x v="2"/>
    <x v="0"/>
    <x v="3"/>
    <s v="Single"/>
    <n v="60707"/>
    <n v="31516"/>
    <x v="4"/>
    <x v="13"/>
    <n v="4"/>
    <s v="Yes"/>
    <n v="3"/>
    <x v="30"/>
    <n v="17"/>
    <x v="1"/>
    <n v="3"/>
    <x v="0"/>
  </r>
  <r>
    <n v="10948"/>
    <n v="29"/>
    <x v="0"/>
    <x v="3"/>
    <x v="2"/>
    <x v="2"/>
    <s v="Single"/>
    <n v="13907"/>
    <n v="49103"/>
    <x v="9"/>
    <x v="4"/>
    <n v="3"/>
    <s v="No"/>
    <n v="3"/>
    <x v="19"/>
    <n v="7"/>
    <x v="1"/>
    <n v="4"/>
    <x v="0"/>
  </r>
  <r>
    <n v="10949"/>
    <n v="20"/>
    <x v="0"/>
    <x v="5"/>
    <x v="4"/>
    <x v="1"/>
    <s v="Married"/>
    <n v="34526"/>
    <n v="29715"/>
    <x v="21"/>
    <x v="6"/>
    <n v="3"/>
    <s v="No"/>
    <n v="3"/>
    <x v="24"/>
    <n v="34"/>
    <x v="1"/>
    <n v="1"/>
    <x v="0"/>
  </r>
  <r>
    <n v="10950"/>
    <n v="57"/>
    <x v="1"/>
    <x v="5"/>
    <x v="1"/>
    <x v="2"/>
    <s v="Single"/>
    <n v="62332"/>
    <n v="1403"/>
    <x v="23"/>
    <x v="0"/>
    <n v="3"/>
    <s v="No"/>
    <n v="3"/>
    <x v="11"/>
    <n v="9"/>
    <x v="1"/>
    <n v="3"/>
    <x v="0"/>
  </r>
  <r>
    <n v="10951"/>
    <n v="45"/>
    <x v="0"/>
    <x v="5"/>
    <x v="3"/>
    <x v="3"/>
    <s v="Married"/>
    <n v="96023"/>
    <n v="9963"/>
    <x v="10"/>
    <x v="8"/>
    <n v="3"/>
    <s v="No"/>
    <n v="2"/>
    <x v="12"/>
    <n v="58"/>
    <x v="1"/>
    <n v="4"/>
    <x v="0"/>
  </r>
  <r>
    <n v="10952"/>
    <n v="27"/>
    <x v="0"/>
    <x v="0"/>
    <x v="1"/>
    <x v="3"/>
    <s v="Divorced"/>
    <n v="58540"/>
    <n v="39451"/>
    <x v="9"/>
    <x v="6"/>
    <n v="3"/>
    <s v="No"/>
    <n v="3"/>
    <x v="4"/>
    <n v="14"/>
    <x v="3"/>
    <n v="1"/>
    <x v="0"/>
  </r>
  <r>
    <n v="10953"/>
    <n v="42"/>
    <x v="0"/>
    <x v="3"/>
    <x v="0"/>
    <x v="2"/>
    <s v="Single"/>
    <n v="88172"/>
    <n v="18130"/>
    <x v="16"/>
    <x v="14"/>
    <n v="5"/>
    <s v="No"/>
    <n v="3"/>
    <x v="24"/>
    <n v="55"/>
    <x v="3"/>
    <n v="2"/>
    <x v="0"/>
  </r>
  <r>
    <n v="10954"/>
    <n v="48"/>
    <x v="0"/>
    <x v="2"/>
    <x v="0"/>
    <x v="0"/>
    <s v="Divorced"/>
    <n v="89424"/>
    <n v="22481"/>
    <x v="18"/>
    <x v="12"/>
    <n v="4"/>
    <s v="Yes"/>
    <n v="3"/>
    <x v="37"/>
    <n v="14"/>
    <x v="1"/>
    <n v="2"/>
    <x v="0"/>
  </r>
  <r>
    <n v="10955"/>
    <n v="57"/>
    <x v="1"/>
    <x v="3"/>
    <x v="2"/>
    <x v="2"/>
    <s v="Married"/>
    <n v="11638"/>
    <n v="160"/>
    <x v="20"/>
    <x v="11"/>
    <n v="5"/>
    <s v="No"/>
    <n v="3"/>
    <x v="23"/>
    <n v="26"/>
    <x v="3"/>
    <n v="3"/>
    <x v="0"/>
  </r>
  <r>
    <n v="10956"/>
    <n v="40"/>
    <x v="0"/>
    <x v="2"/>
    <x v="1"/>
    <x v="0"/>
    <s v="Married"/>
    <n v="63309"/>
    <n v="49137"/>
    <x v="3"/>
    <x v="11"/>
    <n v="3"/>
    <s v="No"/>
    <n v="2"/>
    <x v="33"/>
    <n v="42"/>
    <x v="3"/>
    <n v="2"/>
    <x v="0"/>
  </r>
  <r>
    <n v="10957"/>
    <n v="28"/>
    <x v="0"/>
    <x v="2"/>
    <x v="4"/>
    <x v="0"/>
    <s v="Divorced"/>
    <n v="35412"/>
    <n v="16579"/>
    <x v="4"/>
    <x v="7"/>
    <n v="3"/>
    <s v="Yes"/>
    <n v="4"/>
    <x v="5"/>
    <n v="43"/>
    <x v="0"/>
    <n v="1"/>
    <x v="0"/>
  </r>
  <r>
    <n v="10958"/>
    <n v="39"/>
    <x v="0"/>
    <x v="2"/>
    <x v="4"/>
    <x v="0"/>
    <s v="Single"/>
    <n v="38437"/>
    <n v="18243"/>
    <x v="7"/>
    <x v="12"/>
    <n v="2"/>
    <s v="No"/>
    <n v="3"/>
    <x v="29"/>
    <n v="39"/>
    <x v="3"/>
    <n v="1"/>
    <x v="0"/>
  </r>
  <r>
    <n v="10959"/>
    <n v="26"/>
    <x v="0"/>
    <x v="3"/>
    <x v="4"/>
    <x v="0"/>
    <s v="Married"/>
    <n v="38195"/>
    <n v="21734"/>
    <x v="13"/>
    <x v="14"/>
    <n v="2"/>
    <s v="No"/>
    <n v="2"/>
    <x v="6"/>
    <n v="6"/>
    <x v="0"/>
    <n v="1"/>
    <x v="0"/>
  </r>
  <r>
    <n v="10960"/>
    <n v="53"/>
    <x v="0"/>
    <x v="4"/>
    <x v="1"/>
    <x v="2"/>
    <s v="Married"/>
    <n v="68362"/>
    <n v="8796"/>
    <x v="10"/>
    <x v="9"/>
    <n v="2"/>
    <s v="No"/>
    <n v="1"/>
    <x v="32"/>
    <n v="42"/>
    <x v="1"/>
    <n v="1"/>
    <x v="1"/>
  </r>
  <r>
    <n v="10961"/>
    <n v="52"/>
    <x v="0"/>
    <x v="0"/>
    <x v="4"/>
    <x v="2"/>
    <s v="Single"/>
    <n v="29642"/>
    <n v="11399"/>
    <x v="2"/>
    <x v="5"/>
    <n v="5"/>
    <s v="No"/>
    <n v="3"/>
    <x v="12"/>
    <n v="51"/>
    <x v="1"/>
    <n v="2"/>
    <x v="0"/>
  </r>
  <r>
    <n v="10962"/>
    <n v="46"/>
    <x v="1"/>
    <x v="2"/>
    <x v="0"/>
    <x v="2"/>
    <s v="Single"/>
    <n v="73712"/>
    <n v="36005"/>
    <x v="24"/>
    <x v="9"/>
    <n v="2"/>
    <s v="No"/>
    <n v="4"/>
    <x v="9"/>
    <n v="55"/>
    <x v="3"/>
    <n v="3"/>
    <x v="0"/>
  </r>
  <r>
    <n v="10963"/>
    <n v="27"/>
    <x v="0"/>
    <x v="3"/>
    <x v="0"/>
    <x v="3"/>
    <s v="Single"/>
    <n v="88789"/>
    <n v="20497"/>
    <x v="19"/>
    <x v="8"/>
    <n v="4"/>
    <s v="No"/>
    <n v="4"/>
    <x v="28"/>
    <n v="42"/>
    <x v="0"/>
    <n v="2"/>
    <x v="0"/>
  </r>
  <r>
    <n v="10964"/>
    <n v="35"/>
    <x v="0"/>
    <x v="1"/>
    <x v="0"/>
    <x v="2"/>
    <s v="Married"/>
    <n v="62681"/>
    <n v="42710"/>
    <x v="3"/>
    <x v="0"/>
    <n v="2"/>
    <s v="No"/>
    <n v="3"/>
    <x v="21"/>
    <n v="6"/>
    <x v="3"/>
    <n v="1"/>
    <x v="0"/>
  </r>
  <r>
    <n v="10965"/>
    <n v="49"/>
    <x v="1"/>
    <x v="2"/>
    <x v="0"/>
    <x v="2"/>
    <s v="Married"/>
    <n v="87924"/>
    <n v="3896"/>
    <x v="14"/>
    <x v="10"/>
    <n v="4"/>
    <s v="No"/>
    <n v="1"/>
    <x v="10"/>
    <n v="58"/>
    <x v="2"/>
    <n v="3"/>
    <x v="1"/>
  </r>
  <r>
    <n v="10966"/>
    <n v="22"/>
    <x v="1"/>
    <x v="0"/>
    <x v="1"/>
    <x v="2"/>
    <s v="Single"/>
    <n v="47632"/>
    <n v="7818"/>
    <x v="5"/>
    <x v="11"/>
    <n v="4"/>
    <s v="No"/>
    <n v="4"/>
    <x v="36"/>
    <n v="14"/>
    <x v="3"/>
    <n v="1"/>
    <x v="0"/>
  </r>
  <r>
    <n v="10967"/>
    <n v="45"/>
    <x v="0"/>
    <x v="2"/>
    <x v="3"/>
    <x v="0"/>
    <s v="Single"/>
    <n v="103134"/>
    <n v="36727"/>
    <x v="2"/>
    <x v="4"/>
    <n v="1"/>
    <s v="No"/>
    <n v="3"/>
    <x v="37"/>
    <n v="59"/>
    <x v="3"/>
    <n v="4"/>
    <x v="0"/>
  </r>
  <r>
    <n v="10968"/>
    <n v="24"/>
    <x v="0"/>
    <x v="4"/>
    <x v="1"/>
    <x v="3"/>
    <s v="Single"/>
    <n v="68621"/>
    <n v="9989"/>
    <x v="21"/>
    <x v="2"/>
    <n v="4"/>
    <s v="No"/>
    <n v="1"/>
    <x v="9"/>
    <n v="52"/>
    <x v="0"/>
    <n v="3"/>
    <x v="0"/>
  </r>
  <r>
    <n v="10969"/>
    <n v="53"/>
    <x v="0"/>
    <x v="2"/>
    <x v="1"/>
    <x v="2"/>
    <s v="Single"/>
    <n v="59048"/>
    <n v="33201"/>
    <x v="20"/>
    <x v="9"/>
    <n v="3"/>
    <s v="No"/>
    <n v="4"/>
    <x v="30"/>
    <n v="9"/>
    <x v="0"/>
    <n v="3"/>
    <x v="0"/>
  </r>
  <r>
    <n v="10970"/>
    <n v="54"/>
    <x v="0"/>
    <x v="3"/>
    <x v="4"/>
    <x v="1"/>
    <s v="Divorced"/>
    <n v="36621"/>
    <n v="20577"/>
    <x v="14"/>
    <x v="0"/>
    <n v="3"/>
    <s v="No"/>
    <n v="3"/>
    <x v="15"/>
    <n v="14"/>
    <x v="2"/>
    <n v="2"/>
    <x v="0"/>
  </r>
  <r>
    <n v="10971"/>
    <n v="20"/>
    <x v="0"/>
    <x v="3"/>
    <x v="1"/>
    <x v="2"/>
    <s v="Married"/>
    <n v="66037"/>
    <n v="46328"/>
    <x v="20"/>
    <x v="0"/>
    <n v="3"/>
    <s v="No"/>
    <n v="3"/>
    <x v="32"/>
    <n v="19"/>
    <x v="3"/>
    <n v="3"/>
    <x v="0"/>
  </r>
  <r>
    <n v="10972"/>
    <n v="55"/>
    <x v="0"/>
    <x v="1"/>
    <x v="1"/>
    <x v="2"/>
    <s v="Single"/>
    <n v="46688"/>
    <n v="48531"/>
    <x v="10"/>
    <x v="12"/>
    <n v="3"/>
    <s v="No"/>
    <n v="4"/>
    <x v="26"/>
    <n v="20"/>
    <x v="0"/>
    <n v="4"/>
    <x v="0"/>
  </r>
  <r>
    <n v="10973"/>
    <n v="52"/>
    <x v="0"/>
    <x v="3"/>
    <x v="2"/>
    <x v="2"/>
    <s v="Single"/>
    <n v="15955"/>
    <n v="11675"/>
    <x v="22"/>
    <x v="6"/>
    <n v="4"/>
    <s v="Yes"/>
    <n v="3"/>
    <x v="3"/>
    <n v="53"/>
    <x v="2"/>
    <n v="3"/>
    <x v="1"/>
  </r>
  <r>
    <n v="10974"/>
    <n v="52"/>
    <x v="0"/>
    <x v="3"/>
    <x v="5"/>
    <x v="3"/>
    <s v="Married"/>
    <n v="164001"/>
    <n v="193"/>
    <x v="18"/>
    <x v="14"/>
    <n v="1"/>
    <s v="No"/>
    <n v="3"/>
    <x v="9"/>
    <n v="42"/>
    <x v="0"/>
    <n v="1"/>
    <x v="0"/>
  </r>
  <r>
    <n v="10975"/>
    <n v="38"/>
    <x v="0"/>
    <x v="2"/>
    <x v="5"/>
    <x v="2"/>
    <s v="Single"/>
    <n v="142214"/>
    <n v="42636"/>
    <x v="12"/>
    <x v="1"/>
    <n v="3"/>
    <s v="No"/>
    <n v="2"/>
    <x v="29"/>
    <n v="14"/>
    <x v="1"/>
    <n v="3"/>
    <x v="1"/>
  </r>
  <r>
    <n v="10976"/>
    <n v="33"/>
    <x v="0"/>
    <x v="4"/>
    <x v="0"/>
    <x v="2"/>
    <s v="Married"/>
    <n v="73696"/>
    <n v="25412"/>
    <x v="2"/>
    <x v="10"/>
    <n v="3"/>
    <s v="Yes"/>
    <n v="3"/>
    <x v="0"/>
    <n v="19"/>
    <x v="3"/>
    <n v="4"/>
    <x v="0"/>
  </r>
  <r>
    <n v="10977"/>
    <n v="52"/>
    <x v="0"/>
    <x v="3"/>
    <x v="1"/>
    <x v="2"/>
    <s v="Single"/>
    <n v="54891"/>
    <n v="33743"/>
    <x v="20"/>
    <x v="11"/>
    <n v="5"/>
    <s v="No"/>
    <n v="4"/>
    <x v="34"/>
    <n v="44"/>
    <x v="1"/>
    <n v="2"/>
    <x v="0"/>
  </r>
  <r>
    <n v="10978"/>
    <n v="32"/>
    <x v="0"/>
    <x v="3"/>
    <x v="1"/>
    <x v="2"/>
    <s v="Single"/>
    <n v="57049"/>
    <n v="12460"/>
    <x v="19"/>
    <x v="4"/>
    <n v="3"/>
    <s v="Yes"/>
    <n v="2"/>
    <x v="32"/>
    <n v="43"/>
    <x v="3"/>
    <n v="4"/>
    <x v="1"/>
  </r>
  <r>
    <n v="10979"/>
    <n v="26"/>
    <x v="1"/>
    <x v="2"/>
    <x v="4"/>
    <x v="2"/>
    <s v="Married"/>
    <n v="43458"/>
    <n v="27655"/>
    <x v="11"/>
    <x v="10"/>
    <n v="3"/>
    <s v="Yes"/>
    <n v="3"/>
    <x v="3"/>
    <n v="42"/>
    <x v="0"/>
    <n v="3"/>
    <x v="0"/>
  </r>
  <r>
    <n v="10980"/>
    <n v="55"/>
    <x v="1"/>
    <x v="2"/>
    <x v="3"/>
    <x v="3"/>
    <s v="Married"/>
    <n v="100667"/>
    <n v="46384"/>
    <x v="19"/>
    <x v="4"/>
    <n v="3"/>
    <s v="No"/>
    <n v="3"/>
    <x v="21"/>
    <n v="20"/>
    <x v="2"/>
    <n v="3"/>
    <x v="0"/>
  </r>
  <r>
    <n v="10981"/>
    <n v="57"/>
    <x v="1"/>
    <x v="2"/>
    <x v="2"/>
    <x v="2"/>
    <s v="Married"/>
    <n v="15581"/>
    <n v="18088"/>
    <x v="6"/>
    <x v="4"/>
    <n v="5"/>
    <s v="No"/>
    <n v="1"/>
    <x v="7"/>
    <n v="36"/>
    <x v="0"/>
    <n v="4"/>
    <x v="0"/>
  </r>
  <r>
    <n v="10982"/>
    <n v="44"/>
    <x v="0"/>
    <x v="4"/>
    <x v="4"/>
    <x v="2"/>
    <s v="Divorced"/>
    <n v="33977"/>
    <n v="49939"/>
    <x v="0"/>
    <x v="6"/>
    <n v="3"/>
    <s v="No"/>
    <n v="4"/>
    <x v="19"/>
    <n v="20"/>
    <x v="3"/>
    <n v="4"/>
    <x v="0"/>
  </r>
  <r>
    <n v="10983"/>
    <n v="57"/>
    <x v="0"/>
    <x v="0"/>
    <x v="3"/>
    <x v="2"/>
    <s v="Married"/>
    <n v="129540"/>
    <n v="29552"/>
    <x v="6"/>
    <x v="10"/>
    <n v="4"/>
    <s v="No"/>
    <n v="4"/>
    <x v="25"/>
    <n v="54"/>
    <x v="3"/>
    <n v="1"/>
    <x v="0"/>
  </r>
  <r>
    <n v="10984"/>
    <n v="27"/>
    <x v="1"/>
    <x v="0"/>
    <x v="4"/>
    <x v="2"/>
    <s v="Married"/>
    <n v="27238"/>
    <n v="9096"/>
    <x v="14"/>
    <x v="12"/>
    <n v="3"/>
    <s v="No"/>
    <n v="3"/>
    <x v="17"/>
    <n v="49"/>
    <x v="0"/>
    <n v="1"/>
    <x v="1"/>
  </r>
  <r>
    <n v="10985"/>
    <n v="48"/>
    <x v="0"/>
    <x v="5"/>
    <x v="0"/>
    <x v="2"/>
    <s v="Single"/>
    <n v="67213"/>
    <n v="1046"/>
    <x v="9"/>
    <x v="14"/>
    <n v="4"/>
    <s v="Yes"/>
    <n v="3"/>
    <x v="15"/>
    <n v="16"/>
    <x v="3"/>
    <n v="3"/>
    <x v="0"/>
  </r>
  <r>
    <n v="10986"/>
    <n v="27"/>
    <x v="0"/>
    <x v="2"/>
    <x v="4"/>
    <x v="2"/>
    <s v="Married"/>
    <n v="44464"/>
    <n v="37858"/>
    <x v="8"/>
    <x v="12"/>
    <n v="3"/>
    <s v="No"/>
    <n v="2"/>
    <x v="34"/>
    <n v="10"/>
    <x v="3"/>
    <n v="1"/>
    <x v="0"/>
  </r>
  <r>
    <n v="10987"/>
    <n v="26"/>
    <x v="1"/>
    <x v="3"/>
    <x v="2"/>
    <x v="2"/>
    <s v="Married"/>
    <n v="10803"/>
    <n v="9261"/>
    <x v="0"/>
    <x v="8"/>
    <n v="3"/>
    <s v="No"/>
    <n v="3"/>
    <x v="33"/>
    <n v="33"/>
    <x v="0"/>
    <n v="4"/>
    <x v="0"/>
  </r>
  <r>
    <n v="10988"/>
    <n v="38"/>
    <x v="1"/>
    <x v="3"/>
    <x v="4"/>
    <x v="3"/>
    <s v="Single"/>
    <n v="26206"/>
    <n v="9147"/>
    <x v="23"/>
    <x v="11"/>
    <n v="5"/>
    <s v="No"/>
    <n v="4"/>
    <x v="19"/>
    <n v="9"/>
    <x v="2"/>
    <n v="2"/>
    <x v="1"/>
  </r>
  <r>
    <n v="10989"/>
    <n v="44"/>
    <x v="0"/>
    <x v="4"/>
    <x v="5"/>
    <x v="1"/>
    <s v="Married"/>
    <n v="131657"/>
    <n v="25247"/>
    <x v="4"/>
    <x v="2"/>
    <n v="4"/>
    <s v="No"/>
    <n v="3"/>
    <x v="27"/>
    <n v="5"/>
    <x v="0"/>
    <n v="1"/>
    <x v="0"/>
  </r>
  <r>
    <n v="10990"/>
    <n v="56"/>
    <x v="0"/>
    <x v="4"/>
    <x v="1"/>
    <x v="2"/>
    <s v="Married"/>
    <n v="50928"/>
    <n v="15062"/>
    <x v="3"/>
    <x v="6"/>
    <n v="3"/>
    <s v="No"/>
    <n v="2"/>
    <x v="29"/>
    <n v="48"/>
    <x v="0"/>
    <n v="3"/>
    <x v="0"/>
  </r>
  <r>
    <n v="10991"/>
    <n v="44"/>
    <x v="1"/>
    <x v="3"/>
    <x v="0"/>
    <x v="3"/>
    <s v="Married"/>
    <n v="69551"/>
    <n v="17921"/>
    <x v="1"/>
    <x v="9"/>
    <n v="2"/>
    <s v="Yes"/>
    <n v="1"/>
    <x v="10"/>
    <n v="54"/>
    <x v="2"/>
    <n v="3"/>
    <x v="1"/>
  </r>
  <r>
    <n v="10992"/>
    <n v="48"/>
    <x v="0"/>
    <x v="3"/>
    <x v="0"/>
    <x v="3"/>
    <s v="Single"/>
    <n v="85073"/>
    <n v="11780"/>
    <x v="22"/>
    <x v="9"/>
    <n v="3"/>
    <s v="No"/>
    <n v="2"/>
    <x v="32"/>
    <n v="54"/>
    <x v="0"/>
    <n v="3"/>
    <x v="0"/>
  </r>
  <r>
    <n v="10993"/>
    <n v="23"/>
    <x v="0"/>
    <x v="5"/>
    <x v="0"/>
    <x v="2"/>
    <s v="Divorced"/>
    <n v="82418"/>
    <n v="18212"/>
    <x v="15"/>
    <x v="5"/>
    <n v="4"/>
    <s v="No"/>
    <n v="3"/>
    <x v="20"/>
    <n v="46"/>
    <x v="3"/>
    <n v="3"/>
    <x v="0"/>
  </r>
  <r>
    <n v="10994"/>
    <n v="58"/>
    <x v="1"/>
    <x v="5"/>
    <x v="0"/>
    <x v="2"/>
    <s v="Married"/>
    <n v="61982"/>
    <n v="41524"/>
    <x v="23"/>
    <x v="14"/>
    <n v="1"/>
    <s v="No"/>
    <n v="4"/>
    <x v="3"/>
    <n v="50"/>
    <x v="1"/>
    <n v="2"/>
    <x v="0"/>
  </r>
  <r>
    <n v="10995"/>
    <n v="41"/>
    <x v="0"/>
    <x v="0"/>
    <x v="4"/>
    <x v="2"/>
    <s v="Single"/>
    <n v="28244"/>
    <n v="7855"/>
    <x v="5"/>
    <x v="12"/>
    <n v="3"/>
    <s v="Yes"/>
    <n v="3"/>
    <x v="1"/>
    <n v="46"/>
    <x v="1"/>
    <n v="3"/>
    <x v="0"/>
  </r>
  <r>
    <n v="10996"/>
    <n v="27"/>
    <x v="0"/>
    <x v="3"/>
    <x v="3"/>
    <x v="2"/>
    <s v="Divorced"/>
    <n v="120615"/>
    <n v="5492"/>
    <x v="11"/>
    <x v="10"/>
    <n v="3"/>
    <s v="Yes"/>
    <n v="4"/>
    <x v="8"/>
    <n v="52"/>
    <x v="3"/>
    <n v="3"/>
    <x v="0"/>
  </r>
  <r>
    <n v="10997"/>
    <n v="31"/>
    <x v="0"/>
    <x v="2"/>
    <x v="1"/>
    <x v="2"/>
    <s v="Single"/>
    <n v="49944"/>
    <n v="27503"/>
    <x v="7"/>
    <x v="0"/>
    <n v="2"/>
    <s v="No"/>
    <n v="1"/>
    <x v="12"/>
    <n v="55"/>
    <x v="0"/>
    <n v="1"/>
    <x v="0"/>
  </r>
  <r>
    <n v="10998"/>
    <n v="41"/>
    <x v="1"/>
    <x v="0"/>
    <x v="4"/>
    <x v="2"/>
    <s v="Married"/>
    <n v="38696"/>
    <n v="42180"/>
    <x v="5"/>
    <x v="14"/>
    <n v="1"/>
    <s v="No"/>
    <n v="3"/>
    <x v="27"/>
    <n v="12"/>
    <x v="3"/>
    <n v="1"/>
    <x v="0"/>
  </r>
  <r>
    <n v="10999"/>
    <n v="44"/>
    <x v="0"/>
    <x v="3"/>
    <x v="3"/>
    <x v="3"/>
    <s v="Married"/>
    <n v="101357"/>
    <n v="41576"/>
    <x v="22"/>
    <x v="2"/>
    <n v="4"/>
    <s v="No"/>
    <n v="1"/>
    <x v="24"/>
    <n v="30"/>
    <x v="2"/>
    <n v="2"/>
    <x v="0"/>
  </r>
  <r>
    <n v="11000"/>
    <n v="50"/>
    <x v="0"/>
    <x v="0"/>
    <x v="1"/>
    <x v="3"/>
    <s v="Single"/>
    <n v="50988"/>
    <n v="35549"/>
    <x v="3"/>
    <x v="2"/>
    <n v="3"/>
    <s v="No"/>
    <n v="4"/>
    <x v="12"/>
    <n v="13"/>
    <x v="1"/>
    <n v="1"/>
    <x v="0"/>
  </r>
  <r>
    <n v="11001"/>
    <n v="38"/>
    <x v="0"/>
    <x v="2"/>
    <x v="1"/>
    <x v="3"/>
    <s v="Married"/>
    <n v="59328"/>
    <n v="38872"/>
    <x v="3"/>
    <x v="11"/>
    <n v="2"/>
    <s v="Yes"/>
    <n v="2"/>
    <x v="27"/>
    <n v="21"/>
    <x v="0"/>
    <n v="1"/>
    <x v="0"/>
  </r>
  <r>
    <n v="11002"/>
    <n v="34"/>
    <x v="0"/>
    <x v="2"/>
    <x v="1"/>
    <x v="0"/>
    <s v="Married"/>
    <n v="68699"/>
    <n v="7709"/>
    <x v="11"/>
    <x v="3"/>
    <n v="3"/>
    <s v="No"/>
    <n v="3"/>
    <x v="34"/>
    <n v="18"/>
    <x v="2"/>
    <n v="4"/>
    <x v="0"/>
  </r>
  <r>
    <n v="11003"/>
    <n v="26"/>
    <x v="0"/>
    <x v="2"/>
    <x v="4"/>
    <x v="3"/>
    <s v="Single"/>
    <n v="34567"/>
    <n v="15330"/>
    <x v="8"/>
    <x v="3"/>
    <n v="4"/>
    <s v="No"/>
    <n v="2"/>
    <x v="37"/>
    <n v="33"/>
    <x v="0"/>
    <n v="2"/>
    <x v="0"/>
  </r>
  <r>
    <n v="11004"/>
    <n v="41"/>
    <x v="0"/>
    <x v="0"/>
    <x v="4"/>
    <x v="0"/>
    <s v="Married"/>
    <n v="34500"/>
    <n v="17085"/>
    <x v="4"/>
    <x v="1"/>
    <n v="5"/>
    <s v="Yes"/>
    <n v="3"/>
    <x v="27"/>
    <n v="16"/>
    <x v="0"/>
    <n v="3"/>
    <x v="0"/>
  </r>
  <r>
    <n v="11005"/>
    <n v="52"/>
    <x v="0"/>
    <x v="2"/>
    <x v="3"/>
    <x v="0"/>
    <s v="Single"/>
    <n v="128334"/>
    <n v="41815"/>
    <x v="18"/>
    <x v="1"/>
    <n v="3"/>
    <s v="Yes"/>
    <n v="2"/>
    <x v="27"/>
    <n v="40"/>
    <x v="3"/>
    <n v="3"/>
    <x v="0"/>
  </r>
  <r>
    <n v="11006"/>
    <n v="42"/>
    <x v="0"/>
    <x v="2"/>
    <x v="3"/>
    <x v="3"/>
    <s v="Married"/>
    <n v="110698"/>
    <n v="6125"/>
    <x v="15"/>
    <x v="8"/>
    <n v="3"/>
    <s v="No"/>
    <n v="1"/>
    <x v="23"/>
    <n v="47"/>
    <x v="0"/>
    <n v="3"/>
    <x v="0"/>
  </r>
  <r>
    <n v="11007"/>
    <n v="50"/>
    <x v="0"/>
    <x v="2"/>
    <x v="4"/>
    <x v="2"/>
    <s v="Single"/>
    <n v="36366"/>
    <n v="5320"/>
    <x v="11"/>
    <x v="8"/>
    <n v="1"/>
    <s v="No"/>
    <n v="1"/>
    <x v="5"/>
    <n v="44"/>
    <x v="1"/>
    <n v="2"/>
    <x v="0"/>
  </r>
  <r>
    <n v="11008"/>
    <n v="33"/>
    <x v="0"/>
    <x v="3"/>
    <x v="0"/>
    <x v="3"/>
    <s v="Married"/>
    <n v="65737"/>
    <n v="34074"/>
    <x v="16"/>
    <x v="9"/>
    <n v="3"/>
    <s v="No"/>
    <n v="3"/>
    <x v="10"/>
    <n v="45"/>
    <x v="2"/>
    <n v="3"/>
    <x v="0"/>
  </r>
  <r>
    <n v="11009"/>
    <n v="36"/>
    <x v="0"/>
    <x v="5"/>
    <x v="4"/>
    <x v="2"/>
    <s v="Single"/>
    <n v="38939"/>
    <n v="36158"/>
    <x v="2"/>
    <x v="6"/>
    <n v="5"/>
    <s v="Yes"/>
    <n v="3"/>
    <x v="5"/>
    <n v="51"/>
    <x v="3"/>
    <n v="3"/>
    <x v="0"/>
  </r>
  <r>
    <n v="11010"/>
    <n v="46"/>
    <x v="0"/>
    <x v="2"/>
    <x v="1"/>
    <x v="2"/>
    <s v="Single"/>
    <n v="66367"/>
    <n v="33443"/>
    <x v="0"/>
    <x v="13"/>
    <n v="3"/>
    <s v="Yes"/>
    <n v="1"/>
    <x v="3"/>
    <n v="11"/>
    <x v="0"/>
    <n v="2"/>
    <x v="0"/>
  </r>
  <r>
    <n v="11011"/>
    <n v="47"/>
    <x v="1"/>
    <x v="2"/>
    <x v="0"/>
    <x v="2"/>
    <s v="Single"/>
    <n v="88664"/>
    <n v="23430"/>
    <x v="11"/>
    <x v="8"/>
    <n v="3"/>
    <s v="No"/>
    <n v="1"/>
    <x v="24"/>
    <n v="28"/>
    <x v="0"/>
    <n v="3"/>
    <x v="0"/>
  </r>
  <r>
    <n v="11012"/>
    <n v="51"/>
    <x v="1"/>
    <x v="2"/>
    <x v="4"/>
    <x v="2"/>
    <s v="Married"/>
    <n v="39902"/>
    <n v="13145"/>
    <x v="19"/>
    <x v="6"/>
    <n v="3"/>
    <s v="Yes"/>
    <n v="3"/>
    <x v="30"/>
    <n v="45"/>
    <x v="3"/>
    <n v="3"/>
    <x v="0"/>
  </r>
  <r>
    <n v="11013"/>
    <n v="57"/>
    <x v="1"/>
    <x v="3"/>
    <x v="1"/>
    <x v="0"/>
    <s v="Single"/>
    <n v="49661"/>
    <n v="47797"/>
    <x v="13"/>
    <x v="5"/>
    <n v="2"/>
    <s v="Yes"/>
    <n v="1"/>
    <x v="13"/>
    <n v="32"/>
    <x v="2"/>
    <n v="2"/>
    <x v="1"/>
  </r>
  <r>
    <n v="11014"/>
    <n v="21"/>
    <x v="0"/>
    <x v="5"/>
    <x v="1"/>
    <x v="2"/>
    <s v="Single"/>
    <n v="63651"/>
    <n v="29076"/>
    <x v="23"/>
    <x v="7"/>
    <n v="4"/>
    <s v="No"/>
    <n v="3"/>
    <x v="34"/>
    <n v="38"/>
    <x v="3"/>
    <n v="3"/>
    <x v="0"/>
  </r>
  <r>
    <n v="11015"/>
    <n v="41"/>
    <x v="1"/>
    <x v="0"/>
    <x v="1"/>
    <x v="0"/>
    <s v="Single"/>
    <n v="69903"/>
    <n v="2853"/>
    <x v="8"/>
    <x v="7"/>
    <n v="3"/>
    <s v="No"/>
    <n v="4"/>
    <x v="37"/>
    <n v="26"/>
    <x v="0"/>
    <n v="4"/>
    <x v="0"/>
  </r>
  <r>
    <n v="11016"/>
    <n v="49"/>
    <x v="1"/>
    <x v="2"/>
    <x v="1"/>
    <x v="2"/>
    <s v="Divorced"/>
    <n v="54262"/>
    <n v="33503"/>
    <x v="4"/>
    <x v="10"/>
    <n v="3"/>
    <s v="No"/>
    <n v="4"/>
    <x v="24"/>
    <n v="53"/>
    <x v="0"/>
    <n v="4"/>
    <x v="0"/>
  </r>
  <r>
    <n v="11017"/>
    <n v="41"/>
    <x v="1"/>
    <x v="2"/>
    <x v="1"/>
    <x v="2"/>
    <s v="Married"/>
    <n v="48649"/>
    <n v="36434"/>
    <x v="2"/>
    <x v="14"/>
    <n v="3"/>
    <s v="No"/>
    <n v="2"/>
    <x v="37"/>
    <n v="29"/>
    <x v="2"/>
    <n v="4"/>
    <x v="0"/>
  </r>
  <r>
    <n v="11018"/>
    <n v="59"/>
    <x v="0"/>
    <x v="5"/>
    <x v="5"/>
    <x v="2"/>
    <s v="Married"/>
    <n v="165087"/>
    <n v="42961"/>
    <x v="24"/>
    <x v="4"/>
    <n v="3"/>
    <s v="Yes"/>
    <n v="2"/>
    <x v="27"/>
    <n v="58"/>
    <x v="0"/>
    <n v="4"/>
    <x v="0"/>
  </r>
  <r>
    <n v="11019"/>
    <n v="26"/>
    <x v="0"/>
    <x v="2"/>
    <x v="3"/>
    <x v="2"/>
    <s v="Single"/>
    <n v="127153"/>
    <n v="19686"/>
    <x v="6"/>
    <x v="10"/>
    <n v="4"/>
    <s v="Yes"/>
    <n v="4"/>
    <x v="28"/>
    <n v="43"/>
    <x v="0"/>
    <n v="3"/>
    <x v="0"/>
  </r>
  <r>
    <n v="11020"/>
    <n v="44"/>
    <x v="0"/>
    <x v="1"/>
    <x v="1"/>
    <x v="2"/>
    <s v="Married"/>
    <n v="45909"/>
    <n v="38464"/>
    <x v="21"/>
    <x v="10"/>
    <n v="1"/>
    <s v="Yes"/>
    <n v="4"/>
    <x v="25"/>
    <n v="32"/>
    <x v="3"/>
    <n v="2"/>
    <x v="0"/>
  </r>
  <r>
    <n v="11021"/>
    <n v="25"/>
    <x v="0"/>
    <x v="2"/>
    <x v="4"/>
    <x v="2"/>
    <s v="Married"/>
    <n v="26153"/>
    <n v="24475"/>
    <x v="17"/>
    <x v="10"/>
    <n v="2"/>
    <s v="No"/>
    <n v="3"/>
    <x v="16"/>
    <n v="42"/>
    <x v="2"/>
    <n v="3"/>
    <x v="1"/>
  </r>
  <r>
    <n v="11022"/>
    <n v="35"/>
    <x v="0"/>
    <x v="1"/>
    <x v="4"/>
    <x v="2"/>
    <s v="Single"/>
    <n v="41004"/>
    <n v="17297"/>
    <x v="18"/>
    <x v="7"/>
    <n v="3"/>
    <s v="No"/>
    <n v="3"/>
    <x v="18"/>
    <n v="30"/>
    <x v="3"/>
    <n v="4"/>
    <x v="1"/>
  </r>
  <r>
    <n v="11023"/>
    <n v="34"/>
    <x v="0"/>
    <x v="1"/>
    <x v="1"/>
    <x v="0"/>
    <s v="Married"/>
    <n v="45102"/>
    <n v="12224"/>
    <x v="15"/>
    <x v="2"/>
    <n v="3"/>
    <s v="No"/>
    <n v="4"/>
    <x v="10"/>
    <n v="55"/>
    <x v="0"/>
    <n v="2"/>
    <x v="0"/>
  </r>
  <r>
    <n v="11024"/>
    <n v="36"/>
    <x v="0"/>
    <x v="2"/>
    <x v="5"/>
    <x v="2"/>
    <s v="Single"/>
    <n v="145532"/>
    <n v="35515"/>
    <x v="14"/>
    <x v="6"/>
    <n v="1"/>
    <s v="No"/>
    <n v="2"/>
    <x v="2"/>
    <n v="44"/>
    <x v="0"/>
    <n v="4"/>
    <x v="0"/>
  </r>
  <r>
    <n v="11025"/>
    <n v="32"/>
    <x v="0"/>
    <x v="0"/>
    <x v="1"/>
    <x v="0"/>
    <s v="Single"/>
    <n v="54650"/>
    <n v="31070"/>
    <x v="9"/>
    <x v="9"/>
    <n v="3"/>
    <s v="Yes"/>
    <n v="3"/>
    <x v="4"/>
    <n v="49"/>
    <x v="1"/>
    <n v="3"/>
    <x v="0"/>
  </r>
  <r>
    <n v="11026"/>
    <n v="28"/>
    <x v="0"/>
    <x v="2"/>
    <x v="2"/>
    <x v="0"/>
    <s v="Married"/>
    <n v="11689"/>
    <n v="41121"/>
    <x v="20"/>
    <x v="13"/>
    <n v="3"/>
    <s v="No"/>
    <n v="2"/>
    <x v="2"/>
    <n v="51"/>
    <x v="3"/>
    <n v="3"/>
    <x v="0"/>
  </r>
  <r>
    <n v="11027"/>
    <n v="51"/>
    <x v="0"/>
    <x v="2"/>
    <x v="4"/>
    <x v="0"/>
    <s v="Single"/>
    <n v="42261"/>
    <n v="34442"/>
    <x v="20"/>
    <x v="11"/>
    <n v="3"/>
    <s v="No"/>
    <n v="3"/>
    <x v="10"/>
    <n v="25"/>
    <x v="0"/>
    <n v="3"/>
    <x v="0"/>
  </r>
  <r>
    <n v="11028"/>
    <n v="36"/>
    <x v="0"/>
    <x v="5"/>
    <x v="5"/>
    <x v="0"/>
    <s v="Married"/>
    <n v="149654"/>
    <n v="33459"/>
    <x v="23"/>
    <x v="4"/>
    <n v="3"/>
    <s v="Yes"/>
    <n v="3"/>
    <x v="23"/>
    <n v="38"/>
    <x v="3"/>
    <n v="4"/>
    <x v="0"/>
  </r>
  <r>
    <n v="11029"/>
    <n v="23"/>
    <x v="0"/>
    <x v="3"/>
    <x v="0"/>
    <x v="3"/>
    <s v="Married"/>
    <n v="64954"/>
    <n v="9216"/>
    <x v="23"/>
    <x v="11"/>
    <n v="3"/>
    <s v="No"/>
    <n v="3"/>
    <x v="1"/>
    <n v="6"/>
    <x v="1"/>
    <n v="2"/>
    <x v="1"/>
  </r>
  <r>
    <n v="11030"/>
    <n v="40"/>
    <x v="1"/>
    <x v="1"/>
    <x v="2"/>
    <x v="2"/>
    <s v="Single"/>
    <n v="16066"/>
    <n v="14570"/>
    <x v="0"/>
    <x v="1"/>
    <n v="1"/>
    <s v="No"/>
    <n v="2"/>
    <x v="38"/>
    <n v="34"/>
    <x v="1"/>
    <n v="4"/>
    <x v="0"/>
  </r>
  <r>
    <n v="11031"/>
    <n v="36"/>
    <x v="0"/>
    <x v="3"/>
    <x v="0"/>
    <x v="1"/>
    <s v="Single"/>
    <n v="60535"/>
    <n v="19481"/>
    <x v="19"/>
    <x v="13"/>
    <n v="4"/>
    <s v="No"/>
    <n v="2"/>
    <x v="38"/>
    <n v="43"/>
    <x v="2"/>
    <n v="4"/>
    <x v="1"/>
  </r>
  <r>
    <n v="11032"/>
    <n v="29"/>
    <x v="0"/>
    <x v="2"/>
    <x v="0"/>
    <x v="3"/>
    <s v="Single"/>
    <n v="79355"/>
    <n v="36192"/>
    <x v="10"/>
    <x v="7"/>
    <n v="3"/>
    <s v="No"/>
    <n v="3"/>
    <x v="21"/>
    <n v="55"/>
    <x v="3"/>
    <n v="3"/>
    <x v="0"/>
  </r>
  <r>
    <n v="11033"/>
    <n v="26"/>
    <x v="0"/>
    <x v="2"/>
    <x v="1"/>
    <x v="3"/>
    <s v="Single"/>
    <n v="53785"/>
    <n v="4138"/>
    <x v="20"/>
    <x v="10"/>
    <n v="3"/>
    <s v="No"/>
    <n v="2"/>
    <x v="17"/>
    <n v="21"/>
    <x v="2"/>
    <n v="3"/>
    <x v="1"/>
  </r>
  <r>
    <n v="11034"/>
    <n v="25"/>
    <x v="0"/>
    <x v="0"/>
    <x v="1"/>
    <x v="2"/>
    <s v="Married"/>
    <n v="60012"/>
    <n v="31090"/>
    <x v="13"/>
    <x v="2"/>
    <n v="4"/>
    <s v="Yes"/>
    <n v="1"/>
    <x v="18"/>
    <n v="15"/>
    <x v="2"/>
    <n v="2"/>
    <x v="1"/>
  </r>
  <r>
    <n v="11035"/>
    <n v="59"/>
    <x v="0"/>
    <x v="3"/>
    <x v="0"/>
    <x v="2"/>
    <s v="Divorced"/>
    <n v="77988"/>
    <n v="7649"/>
    <x v="9"/>
    <x v="12"/>
    <n v="4"/>
    <s v="Yes"/>
    <n v="4"/>
    <x v="16"/>
    <n v="36"/>
    <x v="0"/>
    <n v="4"/>
    <x v="0"/>
  </r>
  <r>
    <n v="11036"/>
    <n v="58"/>
    <x v="0"/>
    <x v="2"/>
    <x v="4"/>
    <x v="2"/>
    <s v="Married"/>
    <n v="33298"/>
    <n v="27411"/>
    <x v="22"/>
    <x v="3"/>
    <n v="2"/>
    <s v="No"/>
    <n v="2"/>
    <x v="8"/>
    <n v="27"/>
    <x v="0"/>
    <n v="3"/>
    <x v="0"/>
  </r>
  <r>
    <n v="11037"/>
    <n v="40"/>
    <x v="0"/>
    <x v="5"/>
    <x v="3"/>
    <x v="2"/>
    <s v="Single"/>
    <n v="120063"/>
    <n v="4094"/>
    <x v="1"/>
    <x v="1"/>
    <n v="4"/>
    <s v="No"/>
    <n v="4"/>
    <x v="15"/>
    <n v="12"/>
    <x v="1"/>
    <n v="4"/>
    <x v="0"/>
  </r>
  <r>
    <n v="11038"/>
    <n v="45"/>
    <x v="0"/>
    <x v="2"/>
    <x v="2"/>
    <x v="3"/>
    <s v="Divorced"/>
    <n v="16549"/>
    <n v="41384"/>
    <x v="16"/>
    <x v="12"/>
    <n v="3"/>
    <s v="Yes"/>
    <n v="3"/>
    <x v="34"/>
    <n v="47"/>
    <x v="2"/>
    <n v="3"/>
    <x v="0"/>
  </r>
  <r>
    <n v="11039"/>
    <n v="29"/>
    <x v="0"/>
    <x v="5"/>
    <x v="4"/>
    <x v="0"/>
    <s v="Single"/>
    <n v="39705"/>
    <n v="25365"/>
    <x v="19"/>
    <x v="6"/>
    <n v="3"/>
    <s v="No"/>
    <n v="4"/>
    <x v="1"/>
    <n v="46"/>
    <x v="3"/>
    <n v="2"/>
    <x v="0"/>
  </r>
  <r>
    <n v="11040"/>
    <n v="21"/>
    <x v="1"/>
    <x v="5"/>
    <x v="4"/>
    <x v="2"/>
    <s v="Married"/>
    <n v="42374"/>
    <n v="48437"/>
    <x v="19"/>
    <x v="12"/>
    <n v="1"/>
    <s v="No"/>
    <n v="3"/>
    <x v="13"/>
    <n v="30"/>
    <x v="3"/>
    <n v="2"/>
    <x v="0"/>
  </r>
  <r>
    <n v="11041"/>
    <n v="33"/>
    <x v="1"/>
    <x v="2"/>
    <x v="3"/>
    <x v="0"/>
    <s v="Married"/>
    <n v="109665"/>
    <n v="12467"/>
    <x v="6"/>
    <x v="12"/>
    <n v="1"/>
    <s v="No"/>
    <n v="3"/>
    <x v="7"/>
    <n v="10"/>
    <x v="1"/>
    <n v="2"/>
    <x v="0"/>
  </r>
  <r>
    <n v="11042"/>
    <n v="49"/>
    <x v="0"/>
    <x v="2"/>
    <x v="4"/>
    <x v="1"/>
    <s v="Single"/>
    <n v="25693"/>
    <n v="42681"/>
    <x v="16"/>
    <x v="5"/>
    <n v="4"/>
    <s v="No"/>
    <n v="3"/>
    <x v="18"/>
    <n v="51"/>
    <x v="3"/>
    <n v="4"/>
    <x v="0"/>
  </r>
  <r>
    <n v="11043"/>
    <n v="45"/>
    <x v="0"/>
    <x v="2"/>
    <x v="1"/>
    <x v="2"/>
    <s v="Single"/>
    <n v="68839"/>
    <n v="945"/>
    <x v="10"/>
    <x v="4"/>
    <n v="5"/>
    <s v="No"/>
    <n v="4"/>
    <x v="31"/>
    <n v="35"/>
    <x v="1"/>
    <n v="4"/>
    <x v="0"/>
  </r>
  <r>
    <n v="11044"/>
    <n v="20"/>
    <x v="0"/>
    <x v="4"/>
    <x v="4"/>
    <x v="2"/>
    <s v="Single"/>
    <n v="27912"/>
    <n v="3185"/>
    <x v="20"/>
    <x v="8"/>
    <n v="3"/>
    <s v="No"/>
    <n v="3"/>
    <x v="34"/>
    <n v="43"/>
    <x v="0"/>
    <n v="4"/>
    <x v="0"/>
  </r>
  <r>
    <n v="11045"/>
    <n v="47"/>
    <x v="0"/>
    <x v="2"/>
    <x v="4"/>
    <x v="3"/>
    <s v="Married"/>
    <n v="41472"/>
    <n v="32517"/>
    <x v="5"/>
    <x v="1"/>
    <n v="3"/>
    <s v="No"/>
    <n v="3"/>
    <x v="31"/>
    <n v="40"/>
    <x v="0"/>
    <n v="3"/>
    <x v="0"/>
  </r>
  <r>
    <n v="11046"/>
    <n v="56"/>
    <x v="1"/>
    <x v="2"/>
    <x v="1"/>
    <x v="3"/>
    <s v="Single"/>
    <n v="48613"/>
    <n v="3837"/>
    <x v="23"/>
    <x v="5"/>
    <n v="4"/>
    <s v="No"/>
    <n v="3"/>
    <x v="31"/>
    <n v="23"/>
    <x v="0"/>
    <n v="4"/>
    <x v="0"/>
  </r>
  <r>
    <n v="11047"/>
    <n v="22"/>
    <x v="0"/>
    <x v="3"/>
    <x v="2"/>
    <x v="2"/>
    <s v="Married"/>
    <n v="15817"/>
    <n v="47097"/>
    <x v="18"/>
    <x v="9"/>
    <n v="3"/>
    <s v="No"/>
    <n v="3"/>
    <x v="30"/>
    <n v="14"/>
    <x v="2"/>
    <n v="2"/>
    <x v="0"/>
  </r>
  <r>
    <n v="11048"/>
    <n v="58"/>
    <x v="0"/>
    <x v="3"/>
    <x v="0"/>
    <x v="1"/>
    <s v="Single"/>
    <n v="64374"/>
    <n v="13336"/>
    <x v="8"/>
    <x v="9"/>
    <n v="3"/>
    <s v="No"/>
    <n v="1"/>
    <x v="5"/>
    <n v="43"/>
    <x v="2"/>
    <n v="2"/>
    <x v="1"/>
  </r>
  <r>
    <n v="11049"/>
    <n v="39"/>
    <x v="1"/>
    <x v="4"/>
    <x v="1"/>
    <x v="3"/>
    <s v="Married"/>
    <n v="50123"/>
    <n v="44945"/>
    <x v="22"/>
    <x v="1"/>
    <n v="4"/>
    <s v="No"/>
    <n v="2"/>
    <x v="17"/>
    <n v="39"/>
    <x v="2"/>
    <n v="3"/>
    <x v="1"/>
  </r>
  <r>
    <n v="11050"/>
    <n v="40"/>
    <x v="0"/>
    <x v="2"/>
    <x v="4"/>
    <x v="2"/>
    <s v="Single"/>
    <n v="34228"/>
    <n v="32314"/>
    <x v="13"/>
    <x v="4"/>
    <n v="3"/>
    <s v="No"/>
    <n v="2"/>
    <x v="17"/>
    <n v="40"/>
    <x v="1"/>
    <n v="3"/>
    <x v="0"/>
  </r>
  <r>
    <n v="11051"/>
    <n v="37"/>
    <x v="0"/>
    <x v="2"/>
    <x v="1"/>
    <x v="2"/>
    <s v="Married"/>
    <n v="64755"/>
    <n v="39253"/>
    <x v="22"/>
    <x v="9"/>
    <n v="4"/>
    <s v="No"/>
    <n v="3"/>
    <x v="37"/>
    <n v="46"/>
    <x v="3"/>
    <n v="1"/>
    <x v="0"/>
  </r>
  <r>
    <n v="11052"/>
    <n v="24"/>
    <x v="0"/>
    <x v="4"/>
    <x v="4"/>
    <x v="3"/>
    <s v="Single"/>
    <n v="27025"/>
    <n v="10935"/>
    <x v="20"/>
    <x v="11"/>
    <n v="4"/>
    <s v="No"/>
    <n v="1"/>
    <x v="18"/>
    <n v="36"/>
    <x v="3"/>
    <n v="1"/>
    <x v="0"/>
  </r>
  <r>
    <n v="11053"/>
    <n v="21"/>
    <x v="0"/>
    <x v="4"/>
    <x v="0"/>
    <x v="1"/>
    <s v="Married"/>
    <n v="89461"/>
    <n v="6880"/>
    <x v="2"/>
    <x v="9"/>
    <n v="4"/>
    <s v="Yes"/>
    <n v="4"/>
    <x v="16"/>
    <n v="45"/>
    <x v="3"/>
    <n v="2"/>
    <x v="0"/>
  </r>
  <r>
    <n v="11054"/>
    <n v="20"/>
    <x v="0"/>
    <x v="4"/>
    <x v="3"/>
    <x v="0"/>
    <s v="Married"/>
    <n v="94052"/>
    <n v="18458"/>
    <x v="20"/>
    <x v="3"/>
    <n v="1"/>
    <s v="No"/>
    <n v="1"/>
    <x v="24"/>
    <n v="25"/>
    <x v="0"/>
    <n v="3"/>
    <x v="1"/>
  </r>
  <r>
    <n v="11055"/>
    <n v="52"/>
    <x v="1"/>
    <x v="4"/>
    <x v="1"/>
    <x v="2"/>
    <s v="Married"/>
    <n v="62916"/>
    <n v="21983"/>
    <x v="16"/>
    <x v="10"/>
    <n v="3"/>
    <s v="No"/>
    <n v="3"/>
    <x v="8"/>
    <n v="17"/>
    <x v="0"/>
    <n v="2"/>
    <x v="0"/>
  </r>
  <r>
    <n v="11056"/>
    <n v="25"/>
    <x v="1"/>
    <x v="4"/>
    <x v="1"/>
    <x v="2"/>
    <s v="Single"/>
    <n v="46835"/>
    <n v="9179"/>
    <x v="20"/>
    <x v="9"/>
    <n v="3"/>
    <s v="No"/>
    <n v="4"/>
    <x v="23"/>
    <n v="16"/>
    <x v="2"/>
    <n v="2"/>
    <x v="0"/>
  </r>
  <r>
    <n v="11057"/>
    <n v="21"/>
    <x v="0"/>
    <x v="3"/>
    <x v="0"/>
    <x v="2"/>
    <s v="Married"/>
    <n v="76803"/>
    <n v="15164"/>
    <x v="5"/>
    <x v="12"/>
    <n v="4"/>
    <s v="Yes"/>
    <n v="4"/>
    <x v="7"/>
    <n v="29"/>
    <x v="1"/>
    <n v="4"/>
    <x v="0"/>
  </r>
  <r>
    <n v="11058"/>
    <n v="31"/>
    <x v="0"/>
    <x v="2"/>
    <x v="1"/>
    <x v="0"/>
    <s v="Single"/>
    <n v="56701"/>
    <n v="40912"/>
    <x v="4"/>
    <x v="8"/>
    <n v="1"/>
    <s v="No"/>
    <n v="4"/>
    <x v="26"/>
    <n v="12"/>
    <x v="3"/>
    <n v="3"/>
    <x v="0"/>
  </r>
  <r>
    <n v="11059"/>
    <n v="37"/>
    <x v="0"/>
    <x v="3"/>
    <x v="4"/>
    <x v="3"/>
    <s v="Married"/>
    <n v="25170"/>
    <n v="11946"/>
    <x v="11"/>
    <x v="13"/>
    <n v="3"/>
    <s v="No"/>
    <n v="3"/>
    <x v="25"/>
    <n v="47"/>
    <x v="0"/>
    <n v="2"/>
    <x v="1"/>
  </r>
  <r>
    <n v="11060"/>
    <n v="35"/>
    <x v="1"/>
    <x v="1"/>
    <x v="1"/>
    <x v="0"/>
    <s v="Single"/>
    <n v="59949"/>
    <n v="17578"/>
    <x v="5"/>
    <x v="3"/>
    <n v="4"/>
    <s v="No"/>
    <n v="2"/>
    <x v="18"/>
    <n v="47"/>
    <x v="3"/>
    <n v="3"/>
    <x v="0"/>
  </r>
  <r>
    <n v="11061"/>
    <n v="54"/>
    <x v="0"/>
    <x v="4"/>
    <x v="0"/>
    <x v="3"/>
    <s v="Married"/>
    <n v="84937"/>
    <n v="48504"/>
    <x v="11"/>
    <x v="13"/>
    <n v="4"/>
    <s v="No"/>
    <n v="2"/>
    <x v="28"/>
    <n v="40"/>
    <x v="1"/>
    <n v="3"/>
    <x v="0"/>
  </r>
  <r>
    <n v="11062"/>
    <n v="35"/>
    <x v="0"/>
    <x v="4"/>
    <x v="0"/>
    <x v="2"/>
    <s v="Married"/>
    <n v="82987"/>
    <n v="14895"/>
    <x v="9"/>
    <x v="1"/>
    <n v="3"/>
    <s v="No"/>
    <n v="4"/>
    <x v="20"/>
    <n v="43"/>
    <x v="0"/>
    <n v="2"/>
    <x v="0"/>
  </r>
  <r>
    <n v="11063"/>
    <n v="50"/>
    <x v="0"/>
    <x v="0"/>
    <x v="0"/>
    <x v="0"/>
    <s v="Married"/>
    <n v="78070"/>
    <n v="18456"/>
    <x v="6"/>
    <x v="1"/>
    <n v="3"/>
    <s v="No"/>
    <n v="1"/>
    <x v="6"/>
    <n v="49"/>
    <x v="0"/>
    <n v="3"/>
    <x v="0"/>
  </r>
  <r>
    <n v="11064"/>
    <n v="21"/>
    <x v="0"/>
    <x v="5"/>
    <x v="1"/>
    <x v="1"/>
    <s v="Single"/>
    <n v="60758"/>
    <n v="26563"/>
    <x v="17"/>
    <x v="4"/>
    <n v="3"/>
    <s v="No"/>
    <n v="4"/>
    <x v="25"/>
    <n v="17"/>
    <x v="3"/>
    <n v="3"/>
    <x v="0"/>
  </r>
  <r>
    <n v="11065"/>
    <n v="42"/>
    <x v="1"/>
    <x v="2"/>
    <x v="1"/>
    <x v="2"/>
    <s v="Divorced"/>
    <n v="60689"/>
    <n v="29292"/>
    <x v="1"/>
    <x v="14"/>
    <n v="3"/>
    <s v="No"/>
    <n v="3"/>
    <x v="11"/>
    <n v="21"/>
    <x v="0"/>
    <n v="2"/>
    <x v="0"/>
  </r>
  <r>
    <n v="11066"/>
    <n v="53"/>
    <x v="1"/>
    <x v="5"/>
    <x v="0"/>
    <x v="2"/>
    <s v="Married"/>
    <n v="68308"/>
    <n v="43432"/>
    <x v="12"/>
    <x v="1"/>
    <n v="3"/>
    <s v="No"/>
    <n v="3"/>
    <x v="24"/>
    <n v="47"/>
    <x v="0"/>
    <n v="2"/>
    <x v="0"/>
  </r>
  <r>
    <n v="11067"/>
    <n v="28"/>
    <x v="0"/>
    <x v="3"/>
    <x v="1"/>
    <x v="2"/>
    <s v="Married"/>
    <n v="56333"/>
    <n v="44619"/>
    <x v="3"/>
    <x v="12"/>
    <n v="2"/>
    <s v="No"/>
    <n v="1"/>
    <x v="0"/>
    <n v="33"/>
    <x v="0"/>
    <n v="2"/>
    <x v="0"/>
  </r>
  <r>
    <n v="11068"/>
    <n v="36"/>
    <x v="0"/>
    <x v="2"/>
    <x v="4"/>
    <x v="2"/>
    <s v="Married"/>
    <n v="43640"/>
    <n v="10683"/>
    <x v="7"/>
    <x v="6"/>
    <n v="2"/>
    <s v="No"/>
    <n v="4"/>
    <x v="35"/>
    <n v="33"/>
    <x v="0"/>
    <n v="2"/>
    <x v="0"/>
  </r>
  <r>
    <n v="11069"/>
    <n v="35"/>
    <x v="0"/>
    <x v="3"/>
    <x v="1"/>
    <x v="2"/>
    <s v="Single"/>
    <n v="61802"/>
    <n v="28797"/>
    <x v="6"/>
    <x v="0"/>
    <n v="3"/>
    <s v="Yes"/>
    <n v="1"/>
    <x v="32"/>
    <n v="56"/>
    <x v="0"/>
    <n v="1"/>
    <x v="1"/>
  </r>
  <r>
    <n v="11070"/>
    <n v="28"/>
    <x v="0"/>
    <x v="1"/>
    <x v="3"/>
    <x v="2"/>
    <s v="Single"/>
    <n v="92021"/>
    <n v="44078"/>
    <x v="20"/>
    <x v="13"/>
    <n v="4"/>
    <s v="Yes"/>
    <n v="4"/>
    <x v="32"/>
    <n v="32"/>
    <x v="3"/>
    <n v="2"/>
    <x v="0"/>
  </r>
  <r>
    <n v="11071"/>
    <n v="54"/>
    <x v="1"/>
    <x v="2"/>
    <x v="4"/>
    <x v="2"/>
    <s v="Married"/>
    <n v="33400"/>
    <n v="11055"/>
    <x v="8"/>
    <x v="14"/>
    <n v="4"/>
    <s v="No"/>
    <n v="3"/>
    <x v="13"/>
    <n v="21"/>
    <x v="0"/>
    <n v="4"/>
    <x v="0"/>
  </r>
  <r>
    <n v="11072"/>
    <n v="46"/>
    <x v="0"/>
    <x v="2"/>
    <x v="4"/>
    <x v="3"/>
    <s v="Single"/>
    <n v="31817"/>
    <n v="42514"/>
    <x v="22"/>
    <x v="3"/>
    <n v="3"/>
    <s v="No"/>
    <n v="4"/>
    <x v="26"/>
    <n v="39"/>
    <x v="0"/>
    <n v="4"/>
    <x v="0"/>
  </r>
  <r>
    <n v="11073"/>
    <n v="48"/>
    <x v="1"/>
    <x v="5"/>
    <x v="4"/>
    <x v="2"/>
    <s v="Married"/>
    <n v="32398"/>
    <n v="13627"/>
    <x v="6"/>
    <x v="3"/>
    <n v="3"/>
    <s v="No"/>
    <n v="2"/>
    <x v="11"/>
    <n v="51"/>
    <x v="3"/>
    <n v="3"/>
    <x v="0"/>
  </r>
  <r>
    <n v="11074"/>
    <n v="42"/>
    <x v="1"/>
    <x v="2"/>
    <x v="0"/>
    <x v="3"/>
    <s v="Married"/>
    <n v="67150"/>
    <n v="22428"/>
    <x v="0"/>
    <x v="11"/>
    <n v="3"/>
    <s v="No"/>
    <n v="3"/>
    <x v="34"/>
    <n v="49"/>
    <x v="0"/>
    <n v="2"/>
    <x v="0"/>
  </r>
  <r>
    <n v="11075"/>
    <n v="51"/>
    <x v="1"/>
    <x v="2"/>
    <x v="2"/>
    <x v="0"/>
    <s v="Single"/>
    <n v="18343"/>
    <n v="21578"/>
    <x v="2"/>
    <x v="13"/>
    <n v="4"/>
    <s v="No"/>
    <n v="2"/>
    <x v="4"/>
    <n v="52"/>
    <x v="3"/>
    <n v="3"/>
    <x v="0"/>
  </r>
  <r>
    <n v="11076"/>
    <n v="43"/>
    <x v="0"/>
    <x v="5"/>
    <x v="3"/>
    <x v="3"/>
    <s v="Married"/>
    <n v="94090"/>
    <n v="45347"/>
    <x v="16"/>
    <x v="2"/>
    <n v="3"/>
    <s v="No"/>
    <n v="3"/>
    <x v="26"/>
    <n v="25"/>
    <x v="3"/>
    <n v="3"/>
    <x v="0"/>
  </r>
  <r>
    <n v="11077"/>
    <n v="34"/>
    <x v="1"/>
    <x v="2"/>
    <x v="1"/>
    <x v="3"/>
    <s v="Single"/>
    <n v="45489"/>
    <n v="19028"/>
    <x v="4"/>
    <x v="2"/>
    <n v="4"/>
    <s v="No"/>
    <n v="4"/>
    <x v="25"/>
    <n v="19"/>
    <x v="1"/>
    <n v="2"/>
    <x v="0"/>
  </r>
  <r>
    <n v="11078"/>
    <n v="34"/>
    <x v="0"/>
    <x v="5"/>
    <x v="1"/>
    <x v="3"/>
    <s v="Married"/>
    <n v="45029"/>
    <n v="27702"/>
    <x v="6"/>
    <x v="1"/>
    <n v="4"/>
    <s v="No"/>
    <n v="2"/>
    <x v="17"/>
    <n v="23"/>
    <x v="1"/>
    <n v="4"/>
    <x v="1"/>
  </r>
  <r>
    <n v="11079"/>
    <n v="32"/>
    <x v="0"/>
    <x v="2"/>
    <x v="1"/>
    <x v="2"/>
    <s v="Single"/>
    <n v="58051"/>
    <n v="26250"/>
    <x v="2"/>
    <x v="9"/>
    <n v="2"/>
    <s v="Yes"/>
    <n v="2"/>
    <x v="36"/>
    <n v="18"/>
    <x v="0"/>
    <n v="4"/>
    <x v="0"/>
  </r>
  <r>
    <n v="11080"/>
    <n v="54"/>
    <x v="0"/>
    <x v="2"/>
    <x v="4"/>
    <x v="0"/>
    <s v="Single"/>
    <n v="35796"/>
    <n v="45211"/>
    <x v="23"/>
    <x v="0"/>
    <n v="5"/>
    <s v="Yes"/>
    <n v="2"/>
    <x v="35"/>
    <n v="37"/>
    <x v="2"/>
    <n v="3"/>
    <x v="0"/>
  </r>
  <r>
    <n v="11081"/>
    <n v="30"/>
    <x v="0"/>
    <x v="5"/>
    <x v="1"/>
    <x v="3"/>
    <s v="Married"/>
    <n v="62576"/>
    <n v="27014"/>
    <x v="3"/>
    <x v="3"/>
    <n v="3"/>
    <s v="No"/>
    <n v="3"/>
    <x v="2"/>
    <n v="8"/>
    <x v="0"/>
    <n v="3"/>
    <x v="0"/>
  </r>
  <r>
    <n v="11082"/>
    <n v="27"/>
    <x v="0"/>
    <x v="3"/>
    <x v="4"/>
    <x v="2"/>
    <s v="Married"/>
    <n v="26093"/>
    <n v="42180"/>
    <x v="17"/>
    <x v="9"/>
    <n v="3"/>
    <s v="No"/>
    <n v="3"/>
    <x v="14"/>
    <n v="47"/>
    <x v="3"/>
    <n v="3"/>
    <x v="0"/>
  </r>
  <r>
    <n v="11083"/>
    <n v="26"/>
    <x v="0"/>
    <x v="2"/>
    <x v="1"/>
    <x v="0"/>
    <s v="Married"/>
    <n v="67888"/>
    <n v="41717"/>
    <x v="3"/>
    <x v="10"/>
    <n v="2"/>
    <s v="Yes"/>
    <n v="2"/>
    <x v="10"/>
    <n v="36"/>
    <x v="0"/>
    <n v="4"/>
    <x v="0"/>
  </r>
  <r>
    <n v="11084"/>
    <n v="59"/>
    <x v="0"/>
    <x v="3"/>
    <x v="1"/>
    <x v="2"/>
    <s v="Single"/>
    <n v="50516"/>
    <n v="9200"/>
    <x v="14"/>
    <x v="1"/>
    <n v="1"/>
    <s v="No"/>
    <n v="3"/>
    <x v="18"/>
    <n v="29"/>
    <x v="3"/>
    <n v="4"/>
    <x v="0"/>
  </r>
  <r>
    <n v="11085"/>
    <n v="54"/>
    <x v="1"/>
    <x v="3"/>
    <x v="1"/>
    <x v="2"/>
    <s v="Single"/>
    <n v="59816"/>
    <n v="17540"/>
    <x v="23"/>
    <x v="8"/>
    <n v="3"/>
    <s v="No"/>
    <n v="3"/>
    <x v="0"/>
    <n v="13"/>
    <x v="3"/>
    <n v="4"/>
    <x v="0"/>
  </r>
  <r>
    <n v="11086"/>
    <n v="47"/>
    <x v="1"/>
    <x v="3"/>
    <x v="0"/>
    <x v="3"/>
    <s v="Single"/>
    <n v="74147"/>
    <n v="17956"/>
    <x v="7"/>
    <x v="10"/>
    <n v="5"/>
    <s v="No"/>
    <n v="4"/>
    <x v="29"/>
    <n v="44"/>
    <x v="1"/>
    <n v="3"/>
    <x v="0"/>
  </r>
  <r>
    <n v="11087"/>
    <n v="47"/>
    <x v="0"/>
    <x v="2"/>
    <x v="2"/>
    <x v="2"/>
    <s v="Single"/>
    <n v="17799"/>
    <n v="25147"/>
    <x v="19"/>
    <x v="10"/>
    <n v="1"/>
    <s v="Yes"/>
    <n v="3"/>
    <x v="27"/>
    <n v="47"/>
    <x v="1"/>
    <n v="2"/>
    <x v="0"/>
  </r>
  <r>
    <n v="11088"/>
    <n v="54"/>
    <x v="1"/>
    <x v="3"/>
    <x v="4"/>
    <x v="0"/>
    <s v="Married"/>
    <n v="26177"/>
    <n v="22661"/>
    <x v="5"/>
    <x v="6"/>
    <n v="2"/>
    <s v="No"/>
    <n v="3"/>
    <x v="1"/>
    <n v="15"/>
    <x v="1"/>
    <n v="2"/>
    <x v="1"/>
  </r>
  <r>
    <n v="11089"/>
    <n v="56"/>
    <x v="1"/>
    <x v="3"/>
    <x v="1"/>
    <x v="1"/>
    <s v="Married"/>
    <n v="55232"/>
    <n v="18280"/>
    <x v="15"/>
    <x v="7"/>
    <n v="4"/>
    <s v="No"/>
    <n v="1"/>
    <x v="35"/>
    <n v="36"/>
    <x v="2"/>
    <n v="4"/>
    <x v="1"/>
  </r>
  <r>
    <n v="11090"/>
    <n v="38"/>
    <x v="1"/>
    <x v="3"/>
    <x v="4"/>
    <x v="2"/>
    <s v="Divorced"/>
    <n v="27661"/>
    <n v="11137"/>
    <x v="0"/>
    <x v="3"/>
    <n v="3"/>
    <s v="No"/>
    <n v="2"/>
    <x v="25"/>
    <n v="51"/>
    <x v="3"/>
    <n v="2"/>
    <x v="0"/>
  </r>
  <r>
    <n v="11091"/>
    <n v="29"/>
    <x v="0"/>
    <x v="2"/>
    <x v="2"/>
    <x v="0"/>
    <s v="Married"/>
    <n v="11437"/>
    <n v="18226"/>
    <x v="10"/>
    <x v="3"/>
    <n v="3"/>
    <s v="No"/>
    <n v="4"/>
    <x v="1"/>
    <n v="10"/>
    <x v="3"/>
    <n v="3"/>
    <x v="0"/>
  </r>
  <r>
    <n v="11092"/>
    <n v="21"/>
    <x v="1"/>
    <x v="3"/>
    <x v="0"/>
    <x v="0"/>
    <s v="Married"/>
    <n v="89048"/>
    <n v="4886"/>
    <x v="16"/>
    <x v="2"/>
    <n v="3"/>
    <s v="No"/>
    <n v="3"/>
    <x v="27"/>
    <n v="25"/>
    <x v="3"/>
    <n v="1"/>
    <x v="0"/>
  </r>
  <r>
    <n v="11093"/>
    <n v="21"/>
    <x v="0"/>
    <x v="2"/>
    <x v="4"/>
    <x v="3"/>
    <s v="Married"/>
    <n v="31733"/>
    <n v="24812"/>
    <x v="23"/>
    <x v="10"/>
    <n v="5"/>
    <s v="No"/>
    <n v="3"/>
    <x v="33"/>
    <n v="8"/>
    <x v="0"/>
    <n v="3"/>
    <x v="0"/>
  </r>
  <r>
    <n v="11094"/>
    <n v="22"/>
    <x v="0"/>
    <x v="2"/>
    <x v="4"/>
    <x v="0"/>
    <s v="Married"/>
    <n v="43422"/>
    <n v="9533"/>
    <x v="19"/>
    <x v="1"/>
    <n v="3"/>
    <s v="Yes"/>
    <n v="1"/>
    <x v="0"/>
    <n v="6"/>
    <x v="1"/>
    <n v="2"/>
    <x v="1"/>
  </r>
  <r>
    <n v="11095"/>
    <n v="51"/>
    <x v="0"/>
    <x v="3"/>
    <x v="3"/>
    <x v="3"/>
    <s v="Married"/>
    <n v="90193"/>
    <n v="31760"/>
    <x v="17"/>
    <x v="6"/>
    <n v="4"/>
    <s v="No"/>
    <n v="2"/>
    <x v="29"/>
    <n v="40"/>
    <x v="2"/>
    <n v="3"/>
    <x v="0"/>
  </r>
  <r>
    <n v="11096"/>
    <n v="21"/>
    <x v="0"/>
    <x v="1"/>
    <x v="1"/>
    <x v="2"/>
    <s v="Married"/>
    <n v="48526"/>
    <n v="47099"/>
    <x v="19"/>
    <x v="14"/>
    <n v="5"/>
    <s v="Yes"/>
    <n v="3"/>
    <x v="5"/>
    <n v="43"/>
    <x v="0"/>
    <n v="3"/>
    <x v="0"/>
  </r>
  <r>
    <n v="11097"/>
    <n v="20"/>
    <x v="0"/>
    <x v="3"/>
    <x v="4"/>
    <x v="3"/>
    <s v="Married"/>
    <n v="41586"/>
    <n v="13065"/>
    <x v="9"/>
    <x v="13"/>
    <n v="4"/>
    <s v="Yes"/>
    <n v="2"/>
    <x v="21"/>
    <n v="26"/>
    <x v="3"/>
    <n v="2"/>
    <x v="0"/>
  </r>
  <r>
    <n v="11098"/>
    <n v="46"/>
    <x v="0"/>
    <x v="0"/>
    <x v="3"/>
    <x v="0"/>
    <s v="Divorced"/>
    <n v="101049"/>
    <n v="21432"/>
    <x v="12"/>
    <x v="14"/>
    <n v="3"/>
    <s v="No"/>
    <n v="3"/>
    <x v="30"/>
    <n v="24"/>
    <x v="0"/>
    <n v="3"/>
    <x v="0"/>
  </r>
  <r>
    <n v="11099"/>
    <n v="37"/>
    <x v="0"/>
    <x v="3"/>
    <x v="0"/>
    <x v="2"/>
    <s v="Single"/>
    <n v="76385"/>
    <n v="44979"/>
    <x v="10"/>
    <x v="12"/>
    <n v="1"/>
    <s v="No"/>
    <n v="2"/>
    <x v="19"/>
    <n v="21"/>
    <x v="0"/>
    <n v="3"/>
    <x v="0"/>
  </r>
  <r>
    <n v="11100"/>
    <n v="30"/>
    <x v="0"/>
    <x v="3"/>
    <x v="4"/>
    <x v="3"/>
    <s v="Single"/>
    <n v="32445"/>
    <n v="31076"/>
    <x v="22"/>
    <x v="4"/>
    <n v="4"/>
    <s v="No"/>
    <n v="2"/>
    <x v="29"/>
    <n v="29"/>
    <x v="0"/>
    <n v="3"/>
    <x v="1"/>
  </r>
  <r>
    <n v="11101"/>
    <n v="53"/>
    <x v="0"/>
    <x v="2"/>
    <x v="4"/>
    <x v="2"/>
    <s v="Married"/>
    <n v="30818"/>
    <n v="41093"/>
    <x v="21"/>
    <x v="0"/>
    <n v="3"/>
    <s v="No"/>
    <n v="2"/>
    <x v="29"/>
    <n v="20"/>
    <x v="1"/>
    <n v="3"/>
    <x v="1"/>
  </r>
  <r>
    <n v="11102"/>
    <n v="40"/>
    <x v="0"/>
    <x v="2"/>
    <x v="0"/>
    <x v="2"/>
    <s v="Married"/>
    <n v="62921"/>
    <n v="9028"/>
    <x v="20"/>
    <x v="1"/>
    <n v="3"/>
    <s v="No"/>
    <n v="3"/>
    <x v="32"/>
    <n v="50"/>
    <x v="2"/>
    <n v="2"/>
    <x v="0"/>
  </r>
  <r>
    <n v="11103"/>
    <n v="51"/>
    <x v="0"/>
    <x v="4"/>
    <x v="1"/>
    <x v="3"/>
    <s v="Single"/>
    <n v="54605"/>
    <n v="15817"/>
    <x v="15"/>
    <x v="6"/>
    <n v="5"/>
    <s v="Yes"/>
    <n v="4"/>
    <x v="6"/>
    <n v="6"/>
    <x v="1"/>
    <n v="2"/>
    <x v="0"/>
  </r>
  <r>
    <n v="11104"/>
    <n v="58"/>
    <x v="1"/>
    <x v="2"/>
    <x v="4"/>
    <x v="3"/>
    <s v="Married"/>
    <n v="26978"/>
    <n v="16128"/>
    <x v="15"/>
    <x v="4"/>
    <n v="3"/>
    <s v="No"/>
    <n v="2"/>
    <x v="14"/>
    <n v="59"/>
    <x v="2"/>
    <n v="3"/>
    <x v="0"/>
  </r>
  <r>
    <n v="11105"/>
    <n v="26"/>
    <x v="0"/>
    <x v="2"/>
    <x v="4"/>
    <x v="3"/>
    <s v="Single"/>
    <n v="29371"/>
    <n v="23816"/>
    <x v="2"/>
    <x v="13"/>
    <n v="4"/>
    <s v="No"/>
    <n v="3"/>
    <x v="34"/>
    <n v="53"/>
    <x v="3"/>
    <n v="2"/>
    <x v="0"/>
  </r>
  <r>
    <n v="11106"/>
    <n v="53"/>
    <x v="0"/>
    <x v="3"/>
    <x v="5"/>
    <x v="3"/>
    <s v="Married"/>
    <n v="142998"/>
    <n v="19518"/>
    <x v="14"/>
    <x v="8"/>
    <n v="2"/>
    <s v="No"/>
    <n v="3"/>
    <x v="10"/>
    <n v="9"/>
    <x v="0"/>
    <n v="2"/>
    <x v="0"/>
  </r>
  <r>
    <n v="11107"/>
    <n v="47"/>
    <x v="0"/>
    <x v="0"/>
    <x v="4"/>
    <x v="3"/>
    <s v="Single"/>
    <n v="40223"/>
    <n v="21521"/>
    <x v="23"/>
    <x v="10"/>
    <n v="4"/>
    <s v="No"/>
    <n v="3"/>
    <x v="26"/>
    <n v="13"/>
    <x v="0"/>
    <n v="3"/>
    <x v="0"/>
  </r>
  <r>
    <n v="11108"/>
    <n v="47"/>
    <x v="1"/>
    <x v="2"/>
    <x v="1"/>
    <x v="2"/>
    <s v="Single"/>
    <n v="56353"/>
    <n v="28562"/>
    <x v="1"/>
    <x v="0"/>
    <n v="3"/>
    <s v="No"/>
    <n v="4"/>
    <x v="25"/>
    <n v="45"/>
    <x v="2"/>
    <n v="3"/>
    <x v="0"/>
  </r>
  <r>
    <n v="11109"/>
    <n v="39"/>
    <x v="1"/>
    <x v="2"/>
    <x v="1"/>
    <x v="2"/>
    <s v="Single"/>
    <n v="54638"/>
    <n v="24647"/>
    <x v="12"/>
    <x v="6"/>
    <n v="5"/>
    <s v="No"/>
    <n v="1"/>
    <x v="32"/>
    <n v="55"/>
    <x v="0"/>
    <n v="2"/>
    <x v="0"/>
  </r>
  <r>
    <n v="11110"/>
    <n v="38"/>
    <x v="0"/>
    <x v="3"/>
    <x v="0"/>
    <x v="1"/>
    <s v="Single"/>
    <n v="86954"/>
    <n v="2871"/>
    <x v="12"/>
    <x v="5"/>
    <n v="4"/>
    <s v="No"/>
    <n v="2"/>
    <x v="14"/>
    <n v="7"/>
    <x v="3"/>
    <n v="2"/>
    <x v="0"/>
  </r>
  <r>
    <n v="11111"/>
    <n v="53"/>
    <x v="0"/>
    <x v="3"/>
    <x v="0"/>
    <x v="2"/>
    <s v="Divorced"/>
    <n v="87022"/>
    <n v="21891"/>
    <x v="7"/>
    <x v="4"/>
    <n v="4"/>
    <s v="Yes"/>
    <n v="3"/>
    <x v="3"/>
    <n v="20"/>
    <x v="3"/>
    <n v="1"/>
    <x v="0"/>
  </r>
  <r>
    <n v="11112"/>
    <n v="22"/>
    <x v="0"/>
    <x v="2"/>
    <x v="4"/>
    <x v="3"/>
    <s v="Single"/>
    <n v="42105"/>
    <n v="31601"/>
    <x v="2"/>
    <x v="14"/>
    <n v="3"/>
    <s v="No"/>
    <n v="3"/>
    <x v="25"/>
    <n v="12"/>
    <x v="0"/>
    <n v="1"/>
    <x v="0"/>
  </r>
  <r>
    <n v="11113"/>
    <n v="24"/>
    <x v="1"/>
    <x v="2"/>
    <x v="1"/>
    <x v="2"/>
    <s v="Single"/>
    <n v="60091"/>
    <n v="26968"/>
    <x v="24"/>
    <x v="5"/>
    <n v="3"/>
    <s v="No"/>
    <n v="3"/>
    <x v="22"/>
    <n v="11"/>
    <x v="0"/>
    <n v="2"/>
    <x v="0"/>
  </r>
  <r>
    <n v="11114"/>
    <n v="36"/>
    <x v="1"/>
    <x v="3"/>
    <x v="3"/>
    <x v="3"/>
    <s v="Divorced"/>
    <n v="126088"/>
    <n v="17127"/>
    <x v="4"/>
    <x v="2"/>
    <n v="4"/>
    <s v="No"/>
    <n v="3"/>
    <x v="36"/>
    <n v="49"/>
    <x v="0"/>
    <n v="1"/>
    <x v="0"/>
  </r>
  <r>
    <n v="11115"/>
    <n v="52"/>
    <x v="0"/>
    <x v="3"/>
    <x v="0"/>
    <x v="2"/>
    <s v="Single"/>
    <n v="73444"/>
    <n v="12719"/>
    <x v="24"/>
    <x v="2"/>
    <n v="3"/>
    <s v="No"/>
    <n v="4"/>
    <x v="18"/>
    <n v="30"/>
    <x v="0"/>
    <n v="1"/>
    <x v="0"/>
  </r>
  <r>
    <n v="11116"/>
    <n v="43"/>
    <x v="0"/>
    <x v="5"/>
    <x v="1"/>
    <x v="2"/>
    <s v="Single"/>
    <n v="51121"/>
    <n v="35502"/>
    <x v="20"/>
    <x v="10"/>
    <n v="4"/>
    <s v="No"/>
    <n v="4"/>
    <x v="2"/>
    <n v="13"/>
    <x v="0"/>
    <n v="3"/>
    <x v="0"/>
  </r>
  <r>
    <n v="11117"/>
    <n v="20"/>
    <x v="0"/>
    <x v="2"/>
    <x v="0"/>
    <x v="3"/>
    <s v="Married"/>
    <n v="71465"/>
    <n v="6242"/>
    <x v="24"/>
    <x v="14"/>
    <n v="4"/>
    <s v="No"/>
    <n v="2"/>
    <x v="1"/>
    <n v="52"/>
    <x v="0"/>
    <n v="4"/>
    <x v="1"/>
  </r>
  <r>
    <n v="11118"/>
    <n v="58"/>
    <x v="1"/>
    <x v="1"/>
    <x v="4"/>
    <x v="3"/>
    <s v="Single"/>
    <n v="39297"/>
    <n v="18447"/>
    <x v="10"/>
    <x v="4"/>
    <n v="4"/>
    <s v="No"/>
    <n v="2"/>
    <x v="10"/>
    <n v="21"/>
    <x v="1"/>
    <n v="1"/>
    <x v="0"/>
  </r>
  <r>
    <n v="11119"/>
    <n v="32"/>
    <x v="1"/>
    <x v="5"/>
    <x v="0"/>
    <x v="2"/>
    <s v="Single"/>
    <n v="77214"/>
    <n v="33602"/>
    <x v="8"/>
    <x v="14"/>
    <n v="3"/>
    <s v="No"/>
    <n v="3"/>
    <x v="34"/>
    <n v="42"/>
    <x v="0"/>
    <n v="3"/>
    <x v="0"/>
  </r>
  <r>
    <n v="11120"/>
    <n v="25"/>
    <x v="0"/>
    <x v="1"/>
    <x v="2"/>
    <x v="2"/>
    <s v="Married"/>
    <n v="11737"/>
    <n v="22635"/>
    <x v="23"/>
    <x v="5"/>
    <n v="4"/>
    <s v="No"/>
    <n v="2"/>
    <x v="6"/>
    <n v="10"/>
    <x v="3"/>
    <n v="3"/>
    <x v="0"/>
  </r>
  <r>
    <n v="11121"/>
    <n v="31"/>
    <x v="0"/>
    <x v="2"/>
    <x v="4"/>
    <x v="3"/>
    <s v="Single"/>
    <n v="30505"/>
    <n v="24868"/>
    <x v="7"/>
    <x v="5"/>
    <n v="2"/>
    <s v="No"/>
    <n v="4"/>
    <x v="20"/>
    <n v="31"/>
    <x v="1"/>
    <n v="2"/>
    <x v="0"/>
  </r>
  <r>
    <n v="11122"/>
    <n v="57"/>
    <x v="0"/>
    <x v="1"/>
    <x v="4"/>
    <x v="2"/>
    <s v="Single"/>
    <n v="40640"/>
    <n v="33033"/>
    <x v="19"/>
    <x v="10"/>
    <n v="3"/>
    <s v="No"/>
    <n v="4"/>
    <x v="31"/>
    <n v="29"/>
    <x v="2"/>
    <n v="1"/>
    <x v="0"/>
  </r>
  <r>
    <n v="11123"/>
    <n v="50"/>
    <x v="0"/>
    <x v="4"/>
    <x v="1"/>
    <x v="2"/>
    <s v="Married"/>
    <n v="54368"/>
    <n v="18927"/>
    <x v="15"/>
    <x v="5"/>
    <n v="4"/>
    <s v="No"/>
    <n v="3"/>
    <x v="23"/>
    <n v="37"/>
    <x v="0"/>
    <n v="3"/>
    <x v="0"/>
  </r>
  <r>
    <n v="11124"/>
    <n v="59"/>
    <x v="0"/>
    <x v="3"/>
    <x v="0"/>
    <x v="3"/>
    <s v="Single"/>
    <n v="62751"/>
    <n v="5848"/>
    <x v="12"/>
    <x v="8"/>
    <n v="4"/>
    <s v="No"/>
    <n v="3"/>
    <x v="37"/>
    <n v="43"/>
    <x v="0"/>
    <n v="4"/>
    <x v="0"/>
  </r>
  <r>
    <n v="11125"/>
    <n v="46"/>
    <x v="0"/>
    <x v="3"/>
    <x v="4"/>
    <x v="1"/>
    <s v="Married"/>
    <n v="30254"/>
    <n v="35284"/>
    <x v="21"/>
    <x v="8"/>
    <n v="2"/>
    <s v="Yes"/>
    <n v="4"/>
    <x v="28"/>
    <n v="7"/>
    <x v="3"/>
    <n v="3"/>
    <x v="0"/>
  </r>
  <r>
    <n v="11126"/>
    <n v="47"/>
    <x v="0"/>
    <x v="2"/>
    <x v="4"/>
    <x v="0"/>
    <s v="Married"/>
    <n v="41327"/>
    <n v="23089"/>
    <x v="22"/>
    <x v="7"/>
    <n v="4"/>
    <s v="No"/>
    <n v="2"/>
    <x v="13"/>
    <n v="15"/>
    <x v="0"/>
    <n v="3"/>
    <x v="0"/>
  </r>
  <r>
    <n v="11127"/>
    <n v="27"/>
    <x v="0"/>
    <x v="4"/>
    <x v="4"/>
    <x v="2"/>
    <s v="Married"/>
    <n v="41653"/>
    <n v="27488"/>
    <x v="24"/>
    <x v="4"/>
    <n v="2"/>
    <s v="Yes"/>
    <n v="4"/>
    <x v="1"/>
    <n v="50"/>
    <x v="0"/>
    <n v="2"/>
    <x v="0"/>
  </r>
  <r>
    <n v="11128"/>
    <n v="26"/>
    <x v="0"/>
    <x v="2"/>
    <x v="0"/>
    <x v="0"/>
    <s v="Single"/>
    <n v="76324"/>
    <n v="7432"/>
    <x v="16"/>
    <x v="8"/>
    <n v="2"/>
    <s v="Yes"/>
    <n v="3"/>
    <x v="19"/>
    <n v="23"/>
    <x v="0"/>
    <n v="2"/>
    <x v="0"/>
  </r>
  <r>
    <n v="11129"/>
    <n v="46"/>
    <x v="0"/>
    <x v="3"/>
    <x v="1"/>
    <x v="2"/>
    <s v="Single"/>
    <n v="60261"/>
    <n v="9788"/>
    <x v="19"/>
    <x v="9"/>
    <n v="2"/>
    <s v="No"/>
    <n v="3"/>
    <x v="17"/>
    <n v="10"/>
    <x v="2"/>
    <n v="1"/>
    <x v="1"/>
  </r>
  <r>
    <n v="11130"/>
    <n v="31"/>
    <x v="0"/>
    <x v="0"/>
    <x v="2"/>
    <x v="0"/>
    <s v="Married"/>
    <n v="11017"/>
    <n v="18336"/>
    <x v="7"/>
    <x v="5"/>
    <n v="4"/>
    <s v="Yes"/>
    <n v="4"/>
    <x v="20"/>
    <n v="29"/>
    <x v="0"/>
    <n v="2"/>
    <x v="0"/>
  </r>
  <r>
    <n v="11131"/>
    <n v="21"/>
    <x v="1"/>
    <x v="3"/>
    <x v="4"/>
    <x v="1"/>
    <s v="Married"/>
    <n v="37289"/>
    <n v="4685"/>
    <x v="12"/>
    <x v="8"/>
    <n v="3"/>
    <s v="No"/>
    <n v="4"/>
    <x v="37"/>
    <n v="53"/>
    <x v="1"/>
    <n v="1"/>
    <x v="0"/>
  </r>
  <r>
    <n v="11132"/>
    <n v="49"/>
    <x v="0"/>
    <x v="2"/>
    <x v="4"/>
    <x v="2"/>
    <s v="Married"/>
    <n v="35811"/>
    <n v="30059"/>
    <x v="7"/>
    <x v="12"/>
    <n v="3"/>
    <s v="Yes"/>
    <n v="4"/>
    <x v="24"/>
    <n v="21"/>
    <x v="0"/>
    <n v="4"/>
    <x v="0"/>
  </r>
  <r>
    <n v="11133"/>
    <n v="30"/>
    <x v="0"/>
    <x v="0"/>
    <x v="0"/>
    <x v="2"/>
    <s v="Single"/>
    <n v="66681"/>
    <n v="46741"/>
    <x v="14"/>
    <x v="2"/>
    <n v="3"/>
    <s v="No"/>
    <n v="3"/>
    <x v="26"/>
    <n v="58"/>
    <x v="3"/>
    <n v="2"/>
    <x v="0"/>
  </r>
  <r>
    <n v="11134"/>
    <n v="35"/>
    <x v="0"/>
    <x v="1"/>
    <x v="1"/>
    <x v="3"/>
    <s v="Divorced"/>
    <n v="53791"/>
    <n v="19541"/>
    <x v="22"/>
    <x v="9"/>
    <n v="5"/>
    <s v="No"/>
    <n v="3"/>
    <x v="5"/>
    <n v="18"/>
    <x v="3"/>
    <n v="3"/>
    <x v="0"/>
  </r>
  <r>
    <n v="11135"/>
    <n v="38"/>
    <x v="1"/>
    <x v="2"/>
    <x v="1"/>
    <x v="2"/>
    <s v="Married"/>
    <n v="62882"/>
    <n v="44828"/>
    <x v="15"/>
    <x v="10"/>
    <n v="3"/>
    <s v="No"/>
    <n v="3"/>
    <x v="26"/>
    <n v="29"/>
    <x v="1"/>
    <n v="1"/>
    <x v="0"/>
  </r>
  <r>
    <n v="11136"/>
    <n v="59"/>
    <x v="0"/>
    <x v="2"/>
    <x v="4"/>
    <x v="2"/>
    <s v="Married"/>
    <n v="39052"/>
    <n v="10078"/>
    <x v="8"/>
    <x v="11"/>
    <n v="2"/>
    <s v="Yes"/>
    <n v="4"/>
    <x v="18"/>
    <n v="46"/>
    <x v="1"/>
    <n v="2"/>
    <x v="0"/>
  </r>
  <r>
    <n v="11137"/>
    <n v="53"/>
    <x v="0"/>
    <x v="2"/>
    <x v="4"/>
    <x v="3"/>
    <s v="Single"/>
    <n v="26649"/>
    <n v="20521"/>
    <x v="5"/>
    <x v="2"/>
    <n v="3"/>
    <s v="Yes"/>
    <n v="3"/>
    <x v="0"/>
    <n v="15"/>
    <x v="1"/>
    <n v="1"/>
    <x v="0"/>
  </r>
  <r>
    <n v="11138"/>
    <n v="41"/>
    <x v="0"/>
    <x v="2"/>
    <x v="3"/>
    <x v="0"/>
    <s v="Married"/>
    <n v="106640"/>
    <n v="38036"/>
    <x v="18"/>
    <x v="12"/>
    <n v="3"/>
    <s v="No"/>
    <n v="4"/>
    <x v="37"/>
    <n v="15"/>
    <x v="0"/>
    <n v="1"/>
    <x v="0"/>
  </r>
  <r>
    <n v="11139"/>
    <n v="42"/>
    <x v="1"/>
    <x v="2"/>
    <x v="0"/>
    <x v="0"/>
    <s v="Married"/>
    <n v="60488"/>
    <n v="32697"/>
    <x v="12"/>
    <x v="0"/>
    <n v="3"/>
    <s v="No"/>
    <n v="2"/>
    <x v="10"/>
    <n v="55"/>
    <x v="3"/>
    <n v="3"/>
    <x v="0"/>
  </r>
  <r>
    <n v="11140"/>
    <n v="24"/>
    <x v="0"/>
    <x v="3"/>
    <x v="5"/>
    <x v="0"/>
    <s v="Married"/>
    <n v="146015"/>
    <n v="7826"/>
    <x v="22"/>
    <x v="5"/>
    <n v="3"/>
    <s v="No"/>
    <n v="3"/>
    <x v="26"/>
    <n v="22"/>
    <x v="0"/>
    <n v="3"/>
    <x v="0"/>
  </r>
  <r>
    <n v="11141"/>
    <n v="21"/>
    <x v="0"/>
    <x v="4"/>
    <x v="1"/>
    <x v="2"/>
    <s v="Single"/>
    <n v="56888"/>
    <n v="28014"/>
    <x v="22"/>
    <x v="12"/>
    <n v="3"/>
    <s v="No"/>
    <n v="3"/>
    <x v="29"/>
    <n v="29"/>
    <x v="0"/>
    <n v="2"/>
    <x v="0"/>
  </r>
  <r>
    <n v="11142"/>
    <n v="24"/>
    <x v="0"/>
    <x v="1"/>
    <x v="4"/>
    <x v="2"/>
    <s v="Single"/>
    <n v="37368"/>
    <n v="48392"/>
    <x v="21"/>
    <x v="10"/>
    <n v="3"/>
    <s v="No"/>
    <n v="2"/>
    <x v="27"/>
    <n v="23"/>
    <x v="0"/>
    <n v="3"/>
    <x v="1"/>
  </r>
  <r>
    <n v="11143"/>
    <n v="52"/>
    <x v="1"/>
    <x v="2"/>
    <x v="1"/>
    <x v="0"/>
    <s v="Single"/>
    <n v="54610"/>
    <n v="43023"/>
    <x v="19"/>
    <x v="11"/>
    <n v="4"/>
    <s v="No"/>
    <n v="3"/>
    <x v="28"/>
    <n v="33"/>
    <x v="0"/>
    <n v="3"/>
    <x v="0"/>
  </r>
  <r>
    <n v="11144"/>
    <n v="42"/>
    <x v="1"/>
    <x v="3"/>
    <x v="0"/>
    <x v="2"/>
    <s v="Divorced"/>
    <n v="62332"/>
    <n v="26564"/>
    <x v="16"/>
    <x v="14"/>
    <n v="3"/>
    <s v="Yes"/>
    <n v="3"/>
    <x v="23"/>
    <n v="33"/>
    <x v="0"/>
    <n v="3"/>
    <x v="0"/>
  </r>
  <r>
    <n v="11145"/>
    <n v="44"/>
    <x v="1"/>
    <x v="2"/>
    <x v="1"/>
    <x v="2"/>
    <s v="Single"/>
    <n v="51325"/>
    <n v="17490"/>
    <x v="10"/>
    <x v="11"/>
    <n v="3"/>
    <s v="No"/>
    <n v="4"/>
    <x v="34"/>
    <n v="10"/>
    <x v="3"/>
    <n v="3"/>
    <x v="0"/>
  </r>
  <r>
    <n v="11146"/>
    <n v="41"/>
    <x v="1"/>
    <x v="3"/>
    <x v="4"/>
    <x v="2"/>
    <s v="Married"/>
    <n v="36114"/>
    <n v="47836"/>
    <x v="2"/>
    <x v="9"/>
    <n v="3"/>
    <s v="No"/>
    <n v="3"/>
    <x v="20"/>
    <n v="41"/>
    <x v="3"/>
    <n v="4"/>
    <x v="0"/>
  </r>
  <r>
    <n v="11147"/>
    <n v="40"/>
    <x v="1"/>
    <x v="3"/>
    <x v="4"/>
    <x v="3"/>
    <s v="Married"/>
    <n v="36125"/>
    <n v="46134"/>
    <x v="0"/>
    <x v="2"/>
    <n v="4"/>
    <s v="Yes"/>
    <n v="1"/>
    <x v="10"/>
    <n v="33"/>
    <x v="3"/>
    <n v="3"/>
    <x v="1"/>
  </r>
  <r>
    <n v="11148"/>
    <n v="35"/>
    <x v="0"/>
    <x v="2"/>
    <x v="4"/>
    <x v="2"/>
    <s v="Married"/>
    <n v="29087"/>
    <n v="13795"/>
    <x v="21"/>
    <x v="6"/>
    <n v="4"/>
    <s v="No"/>
    <n v="4"/>
    <x v="5"/>
    <n v="13"/>
    <x v="3"/>
    <n v="1"/>
    <x v="0"/>
  </r>
  <r>
    <n v="11149"/>
    <n v="50"/>
    <x v="0"/>
    <x v="5"/>
    <x v="4"/>
    <x v="2"/>
    <s v="Divorced"/>
    <n v="26872"/>
    <n v="1374"/>
    <x v="19"/>
    <x v="0"/>
    <n v="3"/>
    <s v="No"/>
    <n v="1"/>
    <x v="16"/>
    <n v="20"/>
    <x v="2"/>
    <n v="4"/>
    <x v="1"/>
  </r>
  <r>
    <n v="11150"/>
    <n v="56"/>
    <x v="0"/>
    <x v="0"/>
    <x v="5"/>
    <x v="2"/>
    <s v="Single"/>
    <n v="160736"/>
    <n v="36380"/>
    <x v="0"/>
    <x v="10"/>
    <n v="4"/>
    <s v="No"/>
    <n v="4"/>
    <x v="3"/>
    <n v="24"/>
    <x v="2"/>
    <n v="2"/>
    <x v="0"/>
  </r>
  <r>
    <n v="11151"/>
    <n v="38"/>
    <x v="1"/>
    <x v="4"/>
    <x v="4"/>
    <x v="3"/>
    <s v="Divorced"/>
    <n v="33506"/>
    <n v="30401"/>
    <x v="18"/>
    <x v="3"/>
    <n v="5"/>
    <s v="No"/>
    <n v="3"/>
    <x v="0"/>
    <n v="58"/>
    <x v="2"/>
    <n v="3"/>
    <x v="1"/>
  </r>
  <r>
    <n v="11152"/>
    <n v="39"/>
    <x v="1"/>
    <x v="2"/>
    <x v="1"/>
    <x v="3"/>
    <s v="Married"/>
    <n v="56782"/>
    <n v="43552"/>
    <x v="17"/>
    <x v="10"/>
    <n v="3"/>
    <s v="No"/>
    <n v="3"/>
    <x v="1"/>
    <n v="45"/>
    <x v="3"/>
    <n v="4"/>
    <x v="0"/>
  </r>
  <r>
    <n v="11153"/>
    <n v="28"/>
    <x v="1"/>
    <x v="5"/>
    <x v="3"/>
    <x v="2"/>
    <s v="Married"/>
    <n v="91316"/>
    <n v="11735"/>
    <x v="7"/>
    <x v="1"/>
    <n v="3"/>
    <s v="No"/>
    <n v="4"/>
    <x v="19"/>
    <n v="9"/>
    <x v="0"/>
    <n v="3"/>
    <x v="0"/>
  </r>
  <r>
    <n v="11154"/>
    <n v="57"/>
    <x v="0"/>
    <x v="2"/>
    <x v="1"/>
    <x v="2"/>
    <s v="Married"/>
    <n v="59530"/>
    <n v="26790"/>
    <x v="10"/>
    <x v="5"/>
    <n v="3"/>
    <s v="No"/>
    <n v="4"/>
    <x v="24"/>
    <n v="49"/>
    <x v="0"/>
    <n v="2"/>
    <x v="0"/>
  </r>
  <r>
    <n v="11155"/>
    <n v="55"/>
    <x v="0"/>
    <x v="2"/>
    <x v="3"/>
    <x v="3"/>
    <s v="Married"/>
    <n v="91237"/>
    <n v="25274"/>
    <x v="18"/>
    <x v="6"/>
    <n v="4"/>
    <s v="Yes"/>
    <n v="1"/>
    <x v="33"/>
    <n v="19"/>
    <x v="0"/>
    <n v="2"/>
    <x v="0"/>
  </r>
  <r>
    <n v="11156"/>
    <n v="50"/>
    <x v="0"/>
    <x v="2"/>
    <x v="0"/>
    <x v="0"/>
    <s v="Married"/>
    <n v="80006"/>
    <n v="1262"/>
    <x v="0"/>
    <x v="11"/>
    <n v="3"/>
    <s v="No"/>
    <n v="4"/>
    <x v="20"/>
    <n v="40"/>
    <x v="1"/>
    <n v="1"/>
    <x v="0"/>
  </r>
  <r>
    <n v="11157"/>
    <n v="31"/>
    <x v="1"/>
    <x v="4"/>
    <x v="1"/>
    <x v="0"/>
    <s v="Single"/>
    <n v="50468"/>
    <n v="1611"/>
    <x v="14"/>
    <x v="2"/>
    <n v="2"/>
    <s v="Yes"/>
    <n v="3"/>
    <x v="19"/>
    <n v="35"/>
    <x v="0"/>
    <n v="3"/>
    <x v="0"/>
  </r>
  <r>
    <n v="11158"/>
    <n v="40"/>
    <x v="0"/>
    <x v="2"/>
    <x v="0"/>
    <x v="2"/>
    <s v="Single"/>
    <n v="63099"/>
    <n v="6732"/>
    <x v="24"/>
    <x v="8"/>
    <n v="4"/>
    <s v="No"/>
    <n v="2"/>
    <x v="34"/>
    <n v="40"/>
    <x v="0"/>
    <n v="3"/>
    <x v="0"/>
  </r>
  <r>
    <n v="11159"/>
    <n v="53"/>
    <x v="0"/>
    <x v="2"/>
    <x v="0"/>
    <x v="2"/>
    <s v="Married"/>
    <n v="76192"/>
    <n v="16328"/>
    <x v="22"/>
    <x v="8"/>
    <n v="2"/>
    <s v="Yes"/>
    <n v="3"/>
    <x v="10"/>
    <n v="59"/>
    <x v="3"/>
    <n v="1"/>
    <x v="0"/>
  </r>
  <r>
    <n v="11160"/>
    <n v="42"/>
    <x v="0"/>
    <x v="2"/>
    <x v="5"/>
    <x v="2"/>
    <s v="Married"/>
    <n v="143434"/>
    <n v="46745"/>
    <x v="23"/>
    <x v="14"/>
    <n v="4"/>
    <s v="No"/>
    <n v="4"/>
    <x v="27"/>
    <n v="29"/>
    <x v="0"/>
    <n v="2"/>
    <x v="0"/>
  </r>
  <r>
    <n v="11161"/>
    <n v="27"/>
    <x v="0"/>
    <x v="4"/>
    <x v="1"/>
    <x v="0"/>
    <s v="Single"/>
    <n v="54505"/>
    <n v="11845"/>
    <x v="10"/>
    <x v="4"/>
    <n v="4"/>
    <s v="No"/>
    <n v="3"/>
    <x v="15"/>
    <n v="39"/>
    <x v="2"/>
    <n v="2"/>
    <x v="0"/>
  </r>
  <r>
    <n v="11162"/>
    <n v="21"/>
    <x v="1"/>
    <x v="2"/>
    <x v="5"/>
    <x v="3"/>
    <s v="Married"/>
    <n v="139124"/>
    <n v="38476"/>
    <x v="19"/>
    <x v="2"/>
    <n v="3"/>
    <s v="Yes"/>
    <n v="1"/>
    <x v="11"/>
    <n v="25"/>
    <x v="2"/>
    <n v="1"/>
    <x v="0"/>
  </r>
  <r>
    <n v="11163"/>
    <n v="43"/>
    <x v="0"/>
    <x v="2"/>
    <x v="3"/>
    <x v="3"/>
    <s v="Married"/>
    <n v="126731"/>
    <n v="2099"/>
    <x v="1"/>
    <x v="11"/>
    <n v="4"/>
    <s v="No"/>
    <n v="2"/>
    <x v="32"/>
    <n v="14"/>
    <x v="2"/>
    <n v="3"/>
    <x v="1"/>
  </r>
  <r>
    <n v="11164"/>
    <n v="47"/>
    <x v="0"/>
    <x v="4"/>
    <x v="1"/>
    <x v="3"/>
    <s v="Married"/>
    <n v="52988"/>
    <n v="8947"/>
    <x v="14"/>
    <x v="7"/>
    <n v="3"/>
    <s v="Yes"/>
    <n v="2"/>
    <x v="16"/>
    <n v="50"/>
    <x v="1"/>
    <n v="3"/>
    <x v="0"/>
  </r>
  <r>
    <n v="11165"/>
    <n v="39"/>
    <x v="0"/>
    <x v="2"/>
    <x v="4"/>
    <x v="2"/>
    <s v="Married"/>
    <n v="34515"/>
    <n v="9200"/>
    <x v="18"/>
    <x v="0"/>
    <n v="3"/>
    <s v="No"/>
    <n v="2"/>
    <x v="8"/>
    <n v="6"/>
    <x v="2"/>
    <n v="2"/>
    <x v="0"/>
  </r>
  <r>
    <n v="11166"/>
    <n v="33"/>
    <x v="1"/>
    <x v="4"/>
    <x v="1"/>
    <x v="2"/>
    <s v="Married"/>
    <n v="66482"/>
    <n v="37269"/>
    <x v="19"/>
    <x v="6"/>
    <n v="3"/>
    <s v="No"/>
    <n v="4"/>
    <x v="9"/>
    <n v="10"/>
    <x v="3"/>
    <n v="3"/>
    <x v="0"/>
  </r>
  <r>
    <n v="11167"/>
    <n v="56"/>
    <x v="1"/>
    <x v="3"/>
    <x v="4"/>
    <x v="2"/>
    <s v="Divorced"/>
    <n v="38184"/>
    <n v="32575"/>
    <x v="14"/>
    <x v="8"/>
    <n v="2"/>
    <s v="No"/>
    <n v="4"/>
    <x v="5"/>
    <n v="11"/>
    <x v="2"/>
    <n v="3"/>
    <x v="0"/>
  </r>
  <r>
    <n v="11168"/>
    <n v="45"/>
    <x v="0"/>
    <x v="3"/>
    <x v="3"/>
    <x v="3"/>
    <s v="Married"/>
    <n v="93051"/>
    <n v="2694"/>
    <x v="23"/>
    <x v="12"/>
    <n v="3"/>
    <s v="No"/>
    <n v="2"/>
    <x v="9"/>
    <n v="58"/>
    <x v="0"/>
    <n v="2"/>
    <x v="1"/>
  </r>
  <r>
    <n v="11169"/>
    <n v="47"/>
    <x v="1"/>
    <x v="5"/>
    <x v="1"/>
    <x v="2"/>
    <s v="Single"/>
    <n v="57032"/>
    <n v="30101"/>
    <x v="1"/>
    <x v="6"/>
    <n v="3"/>
    <s v="No"/>
    <n v="3"/>
    <x v="35"/>
    <n v="32"/>
    <x v="3"/>
    <n v="3"/>
    <x v="0"/>
  </r>
  <r>
    <n v="11170"/>
    <n v="39"/>
    <x v="1"/>
    <x v="1"/>
    <x v="2"/>
    <x v="0"/>
    <s v="Married"/>
    <n v="14194"/>
    <n v="7297"/>
    <x v="3"/>
    <x v="11"/>
    <n v="5"/>
    <s v="No"/>
    <n v="3"/>
    <x v="33"/>
    <n v="37"/>
    <x v="2"/>
    <n v="2"/>
    <x v="1"/>
  </r>
  <r>
    <n v="11171"/>
    <n v="51"/>
    <x v="0"/>
    <x v="5"/>
    <x v="5"/>
    <x v="2"/>
    <s v="Single"/>
    <n v="153781"/>
    <n v="40286"/>
    <x v="1"/>
    <x v="8"/>
    <n v="3"/>
    <s v="Yes"/>
    <n v="4"/>
    <x v="12"/>
    <n v="54"/>
    <x v="0"/>
    <n v="3"/>
    <x v="0"/>
  </r>
  <r>
    <n v="11172"/>
    <n v="48"/>
    <x v="0"/>
    <x v="2"/>
    <x v="1"/>
    <x v="2"/>
    <s v="Married"/>
    <n v="69911"/>
    <n v="9151"/>
    <x v="16"/>
    <x v="0"/>
    <n v="2"/>
    <s v="No"/>
    <n v="1"/>
    <x v="18"/>
    <n v="19"/>
    <x v="2"/>
    <n v="2"/>
    <x v="1"/>
  </r>
  <r>
    <n v="11173"/>
    <n v="59"/>
    <x v="1"/>
    <x v="0"/>
    <x v="1"/>
    <x v="3"/>
    <s v="Single"/>
    <n v="48435"/>
    <n v="23062"/>
    <x v="0"/>
    <x v="10"/>
    <n v="5"/>
    <s v="No"/>
    <n v="3"/>
    <x v="30"/>
    <n v="48"/>
    <x v="0"/>
    <n v="2"/>
    <x v="0"/>
  </r>
  <r>
    <n v="11174"/>
    <n v="44"/>
    <x v="0"/>
    <x v="1"/>
    <x v="4"/>
    <x v="0"/>
    <s v="Married"/>
    <n v="32944"/>
    <n v="35583"/>
    <x v="9"/>
    <x v="8"/>
    <n v="3"/>
    <s v="No"/>
    <n v="4"/>
    <x v="31"/>
    <n v="42"/>
    <x v="1"/>
    <n v="2"/>
    <x v="0"/>
  </r>
  <r>
    <n v="11175"/>
    <n v="40"/>
    <x v="0"/>
    <x v="3"/>
    <x v="0"/>
    <x v="3"/>
    <s v="Single"/>
    <n v="72332"/>
    <n v="11036"/>
    <x v="24"/>
    <x v="7"/>
    <n v="3"/>
    <s v="No"/>
    <n v="3"/>
    <x v="37"/>
    <n v="22"/>
    <x v="3"/>
    <n v="3"/>
    <x v="0"/>
  </r>
  <r>
    <n v="11176"/>
    <n v="47"/>
    <x v="0"/>
    <x v="3"/>
    <x v="3"/>
    <x v="0"/>
    <s v="Married"/>
    <n v="112285"/>
    <n v="45890"/>
    <x v="3"/>
    <x v="8"/>
    <n v="3"/>
    <s v="No"/>
    <n v="4"/>
    <x v="30"/>
    <n v="18"/>
    <x v="0"/>
    <n v="2"/>
    <x v="0"/>
  </r>
  <r>
    <n v="11177"/>
    <n v="39"/>
    <x v="0"/>
    <x v="3"/>
    <x v="0"/>
    <x v="2"/>
    <s v="Married"/>
    <n v="85642"/>
    <n v="40949"/>
    <x v="0"/>
    <x v="1"/>
    <n v="3"/>
    <s v="No"/>
    <n v="4"/>
    <x v="24"/>
    <n v="31"/>
    <x v="3"/>
    <n v="4"/>
    <x v="0"/>
  </r>
  <r>
    <n v="11178"/>
    <n v="52"/>
    <x v="1"/>
    <x v="2"/>
    <x v="4"/>
    <x v="1"/>
    <s v="Single"/>
    <n v="33002"/>
    <n v="25390"/>
    <x v="19"/>
    <x v="7"/>
    <n v="4"/>
    <s v="No"/>
    <n v="2"/>
    <x v="36"/>
    <n v="12"/>
    <x v="0"/>
    <n v="2"/>
    <x v="0"/>
  </r>
  <r>
    <n v="11179"/>
    <n v="26"/>
    <x v="1"/>
    <x v="2"/>
    <x v="4"/>
    <x v="2"/>
    <s v="Single"/>
    <n v="28888"/>
    <n v="45540"/>
    <x v="17"/>
    <x v="9"/>
    <n v="4"/>
    <s v="No"/>
    <n v="3"/>
    <x v="34"/>
    <n v="7"/>
    <x v="0"/>
    <n v="4"/>
    <x v="0"/>
  </r>
  <r>
    <n v="11180"/>
    <n v="35"/>
    <x v="0"/>
    <x v="3"/>
    <x v="5"/>
    <x v="3"/>
    <s v="Married"/>
    <n v="159883"/>
    <n v="34515"/>
    <x v="20"/>
    <x v="11"/>
    <n v="4"/>
    <s v="No"/>
    <n v="3"/>
    <x v="22"/>
    <n v="43"/>
    <x v="3"/>
    <n v="3"/>
    <x v="0"/>
  </r>
  <r>
    <n v="11181"/>
    <n v="22"/>
    <x v="0"/>
    <x v="5"/>
    <x v="1"/>
    <x v="2"/>
    <s v="Single"/>
    <n v="50723"/>
    <n v="40740"/>
    <x v="9"/>
    <x v="13"/>
    <n v="3"/>
    <s v="No"/>
    <n v="1"/>
    <x v="20"/>
    <n v="16"/>
    <x v="0"/>
    <n v="3"/>
    <x v="1"/>
  </r>
  <r>
    <n v="11182"/>
    <n v="50"/>
    <x v="0"/>
    <x v="2"/>
    <x v="4"/>
    <x v="3"/>
    <s v="Single"/>
    <n v="33390"/>
    <n v="23083"/>
    <x v="24"/>
    <x v="10"/>
    <n v="3"/>
    <s v="Yes"/>
    <n v="3"/>
    <x v="26"/>
    <n v="18"/>
    <x v="0"/>
    <n v="3"/>
    <x v="0"/>
  </r>
  <r>
    <n v="11183"/>
    <n v="31"/>
    <x v="0"/>
    <x v="0"/>
    <x v="1"/>
    <x v="2"/>
    <s v="Married"/>
    <n v="49758"/>
    <n v="49534"/>
    <x v="17"/>
    <x v="7"/>
    <n v="3"/>
    <s v="No"/>
    <n v="2"/>
    <x v="24"/>
    <n v="31"/>
    <x v="3"/>
    <n v="4"/>
    <x v="1"/>
  </r>
  <r>
    <n v="11184"/>
    <n v="31"/>
    <x v="0"/>
    <x v="4"/>
    <x v="0"/>
    <x v="3"/>
    <s v="Single"/>
    <n v="88602"/>
    <n v="10247"/>
    <x v="4"/>
    <x v="4"/>
    <n v="3"/>
    <s v="Yes"/>
    <n v="3"/>
    <x v="38"/>
    <n v="19"/>
    <x v="1"/>
    <n v="3"/>
    <x v="1"/>
  </r>
  <r>
    <n v="11185"/>
    <n v="33"/>
    <x v="0"/>
    <x v="2"/>
    <x v="0"/>
    <x v="2"/>
    <s v="Single"/>
    <n v="77404"/>
    <n v="2535"/>
    <x v="9"/>
    <x v="9"/>
    <n v="4"/>
    <s v="No"/>
    <n v="1"/>
    <x v="23"/>
    <n v="22"/>
    <x v="3"/>
    <n v="1"/>
    <x v="0"/>
  </r>
  <r>
    <n v="11186"/>
    <n v="40"/>
    <x v="0"/>
    <x v="3"/>
    <x v="4"/>
    <x v="2"/>
    <s v="Married"/>
    <n v="36356"/>
    <n v="30956"/>
    <x v="13"/>
    <x v="2"/>
    <n v="2"/>
    <s v="No"/>
    <n v="4"/>
    <x v="30"/>
    <n v="6"/>
    <x v="1"/>
    <n v="3"/>
    <x v="0"/>
  </r>
  <r>
    <n v="11187"/>
    <n v="53"/>
    <x v="0"/>
    <x v="2"/>
    <x v="1"/>
    <x v="2"/>
    <s v="Married"/>
    <n v="58730"/>
    <n v="21117"/>
    <x v="8"/>
    <x v="11"/>
    <n v="3"/>
    <s v="No"/>
    <n v="4"/>
    <x v="1"/>
    <n v="49"/>
    <x v="3"/>
    <n v="3"/>
    <x v="0"/>
  </r>
  <r>
    <n v="11188"/>
    <n v="20"/>
    <x v="0"/>
    <x v="0"/>
    <x v="4"/>
    <x v="3"/>
    <s v="Divorced"/>
    <n v="37643"/>
    <n v="34354"/>
    <x v="19"/>
    <x v="12"/>
    <n v="3"/>
    <s v="No"/>
    <n v="4"/>
    <x v="24"/>
    <n v="48"/>
    <x v="1"/>
    <n v="3"/>
    <x v="0"/>
  </r>
  <r>
    <n v="11189"/>
    <n v="54"/>
    <x v="1"/>
    <x v="2"/>
    <x v="1"/>
    <x v="2"/>
    <s v="Single"/>
    <n v="55228"/>
    <n v="37820"/>
    <x v="20"/>
    <x v="2"/>
    <n v="3"/>
    <s v="No"/>
    <n v="3"/>
    <x v="12"/>
    <n v="41"/>
    <x v="0"/>
    <n v="1"/>
    <x v="0"/>
  </r>
  <r>
    <n v="11190"/>
    <n v="59"/>
    <x v="0"/>
    <x v="3"/>
    <x v="2"/>
    <x v="3"/>
    <s v="Divorced"/>
    <n v="19926"/>
    <n v="49005"/>
    <x v="1"/>
    <x v="11"/>
    <n v="4"/>
    <s v="Yes"/>
    <n v="2"/>
    <x v="11"/>
    <n v="45"/>
    <x v="3"/>
    <n v="2"/>
    <x v="0"/>
  </r>
  <r>
    <n v="11191"/>
    <n v="35"/>
    <x v="1"/>
    <x v="2"/>
    <x v="1"/>
    <x v="2"/>
    <s v="Married"/>
    <n v="69112"/>
    <n v="41633"/>
    <x v="6"/>
    <x v="12"/>
    <n v="3"/>
    <s v="No"/>
    <n v="4"/>
    <x v="12"/>
    <n v="23"/>
    <x v="0"/>
    <n v="4"/>
    <x v="0"/>
  </r>
  <r>
    <n v="11192"/>
    <n v="55"/>
    <x v="0"/>
    <x v="0"/>
    <x v="1"/>
    <x v="3"/>
    <s v="Single"/>
    <n v="61683"/>
    <n v="22486"/>
    <x v="17"/>
    <x v="8"/>
    <n v="3"/>
    <s v="No"/>
    <n v="1"/>
    <x v="19"/>
    <n v="37"/>
    <x v="0"/>
    <n v="2"/>
    <x v="0"/>
  </r>
  <r>
    <n v="11193"/>
    <n v="52"/>
    <x v="1"/>
    <x v="2"/>
    <x v="4"/>
    <x v="2"/>
    <s v="Married"/>
    <n v="42246"/>
    <n v="22436"/>
    <x v="7"/>
    <x v="12"/>
    <n v="5"/>
    <s v="Yes"/>
    <n v="4"/>
    <x v="7"/>
    <n v="12"/>
    <x v="1"/>
    <n v="4"/>
    <x v="0"/>
  </r>
  <r>
    <n v="11194"/>
    <n v="46"/>
    <x v="1"/>
    <x v="2"/>
    <x v="4"/>
    <x v="0"/>
    <s v="Divorced"/>
    <n v="32114"/>
    <n v="12129"/>
    <x v="7"/>
    <x v="12"/>
    <n v="3"/>
    <s v="No"/>
    <n v="4"/>
    <x v="12"/>
    <n v="34"/>
    <x v="3"/>
    <n v="1"/>
    <x v="0"/>
  </r>
  <r>
    <n v="11195"/>
    <n v="29"/>
    <x v="1"/>
    <x v="3"/>
    <x v="3"/>
    <x v="0"/>
    <s v="Single"/>
    <n v="102767"/>
    <n v="3101"/>
    <x v="11"/>
    <x v="3"/>
    <n v="4"/>
    <s v="No"/>
    <n v="2"/>
    <x v="34"/>
    <n v="7"/>
    <x v="1"/>
    <n v="4"/>
    <x v="0"/>
  </r>
  <r>
    <n v="11196"/>
    <n v="55"/>
    <x v="1"/>
    <x v="3"/>
    <x v="4"/>
    <x v="2"/>
    <s v="Single"/>
    <n v="37842"/>
    <n v="47611"/>
    <x v="20"/>
    <x v="9"/>
    <n v="2"/>
    <s v="No"/>
    <n v="2"/>
    <x v="2"/>
    <n v="18"/>
    <x v="1"/>
    <n v="3"/>
    <x v="1"/>
  </r>
  <r>
    <n v="11197"/>
    <n v="22"/>
    <x v="0"/>
    <x v="4"/>
    <x v="4"/>
    <x v="3"/>
    <s v="Single"/>
    <n v="37264"/>
    <n v="32309"/>
    <x v="21"/>
    <x v="6"/>
    <n v="4"/>
    <s v="Yes"/>
    <n v="1"/>
    <x v="18"/>
    <n v="50"/>
    <x v="0"/>
    <n v="4"/>
    <x v="1"/>
  </r>
  <r>
    <n v="11198"/>
    <n v="50"/>
    <x v="0"/>
    <x v="3"/>
    <x v="3"/>
    <x v="1"/>
    <s v="Single"/>
    <n v="113124"/>
    <n v="809"/>
    <x v="17"/>
    <x v="12"/>
    <n v="3"/>
    <s v="No"/>
    <n v="2"/>
    <x v="24"/>
    <n v="38"/>
    <x v="2"/>
    <n v="4"/>
    <x v="0"/>
  </r>
  <r>
    <n v="11199"/>
    <n v="43"/>
    <x v="0"/>
    <x v="4"/>
    <x v="1"/>
    <x v="2"/>
    <s v="Married"/>
    <n v="59696"/>
    <n v="9514"/>
    <x v="8"/>
    <x v="0"/>
    <n v="3"/>
    <s v="Yes"/>
    <n v="3"/>
    <x v="13"/>
    <n v="10"/>
    <x v="3"/>
    <n v="1"/>
    <x v="0"/>
  </r>
  <r>
    <n v="11200"/>
    <n v="51"/>
    <x v="0"/>
    <x v="5"/>
    <x v="2"/>
    <x v="2"/>
    <s v="Divorced"/>
    <n v="19617"/>
    <n v="32956"/>
    <x v="24"/>
    <x v="3"/>
    <n v="4"/>
    <s v="No"/>
    <n v="3"/>
    <x v="34"/>
    <n v="26"/>
    <x v="0"/>
    <n v="2"/>
    <x v="0"/>
  </r>
  <r>
    <n v="11201"/>
    <n v="53"/>
    <x v="0"/>
    <x v="4"/>
    <x v="1"/>
    <x v="2"/>
    <s v="Single"/>
    <n v="46827"/>
    <n v="37206"/>
    <x v="2"/>
    <x v="1"/>
    <n v="3"/>
    <s v="No"/>
    <n v="3"/>
    <x v="33"/>
    <n v="29"/>
    <x v="0"/>
    <n v="1"/>
    <x v="0"/>
  </r>
  <r>
    <n v="11202"/>
    <n v="20"/>
    <x v="0"/>
    <x v="1"/>
    <x v="0"/>
    <x v="1"/>
    <s v="Married"/>
    <n v="66822"/>
    <n v="22692"/>
    <x v="1"/>
    <x v="9"/>
    <n v="3"/>
    <s v="Yes"/>
    <n v="3"/>
    <x v="29"/>
    <n v="30"/>
    <x v="0"/>
    <n v="1"/>
    <x v="0"/>
  </r>
  <r>
    <n v="11203"/>
    <n v="22"/>
    <x v="0"/>
    <x v="3"/>
    <x v="4"/>
    <x v="2"/>
    <s v="Single"/>
    <n v="44401"/>
    <n v="22711"/>
    <x v="13"/>
    <x v="1"/>
    <n v="3"/>
    <s v="No"/>
    <n v="4"/>
    <x v="35"/>
    <n v="22"/>
    <x v="3"/>
    <n v="4"/>
    <x v="0"/>
  </r>
  <r>
    <n v="11204"/>
    <n v="47"/>
    <x v="1"/>
    <x v="1"/>
    <x v="4"/>
    <x v="3"/>
    <s v="Single"/>
    <n v="42968"/>
    <n v="3686"/>
    <x v="3"/>
    <x v="11"/>
    <n v="3"/>
    <s v="No"/>
    <n v="4"/>
    <x v="10"/>
    <n v="19"/>
    <x v="3"/>
    <n v="4"/>
    <x v="0"/>
  </r>
  <r>
    <n v="11205"/>
    <n v="29"/>
    <x v="0"/>
    <x v="3"/>
    <x v="3"/>
    <x v="3"/>
    <s v="Married"/>
    <n v="103271"/>
    <n v="41418"/>
    <x v="0"/>
    <x v="2"/>
    <n v="4"/>
    <s v="No"/>
    <n v="2"/>
    <x v="16"/>
    <n v="49"/>
    <x v="2"/>
    <n v="1"/>
    <x v="0"/>
  </r>
  <r>
    <n v="11206"/>
    <n v="46"/>
    <x v="0"/>
    <x v="1"/>
    <x v="5"/>
    <x v="2"/>
    <s v="Single"/>
    <n v="161387"/>
    <n v="5973"/>
    <x v="0"/>
    <x v="0"/>
    <n v="4"/>
    <s v="No"/>
    <n v="1"/>
    <x v="14"/>
    <n v="15"/>
    <x v="0"/>
    <n v="4"/>
    <x v="0"/>
  </r>
  <r>
    <n v="11207"/>
    <n v="32"/>
    <x v="0"/>
    <x v="2"/>
    <x v="1"/>
    <x v="0"/>
    <s v="Married"/>
    <n v="68662"/>
    <n v="26823"/>
    <x v="24"/>
    <x v="2"/>
    <n v="4"/>
    <s v="No"/>
    <n v="4"/>
    <x v="29"/>
    <n v="42"/>
    <x v="1"/>
    <n v="2"/>
    <x v="0"/>
  </r>
  <r>
    <n v="11208"/>
    <n v="54"/>
    <x v="0"/>
    <x v="2"/>
    <x v="0"/>
    <x v="0"/>
    <s v="Married"/>
    <n v="71369"/>
    <n v="33475"/>
    <x v="13"/>
    <x v="8"/>
    <n v="2"/>
    <s v="Yes"/>
    <n v="4"/>
    <x v="21"/>
    <n v="14"/>
    <x v="3"/>
    <n v="3"/>
    <x v="0"/>
  </r>
  <r>
    <n v="11209"/>
    <n v="23"/>
    <x v="1"/>
    <x v="2"/>
    <x v="4"/>
    <x v="2"/>
    <s v="Divorced"/>
    <n v="28055"/>
    <n v="4137"/>
    <x v="1"/>
    <x v="8"/>
    <n v="3"/>
    <s v="No"/>
    <n v="2"/>
    <x v="18"/>
    <n v="20"/>
    <x v="1"/>
    <n v="4"/>
    <x v="0"/>
  </r>
  <r>
    <n v="11210"/>
    <n v="52"/>
    <x v="0"/>
    <x v="2"/>
    <x v="1"/>
    <x v="0"/>
    <s v="Married"/>
    <n v="66929"/>
    <n v="23268"/>
    <x v="1"/>
    <x v="10"/>
    <n v="3"/>
    <s v="No"/>
    <n v="3"/>
    <x v="25"/>
    <n v="49"/>
    <x v="0"/>
    <n v="4"/>
    <x v="0"/>
  </r>
  <r>
    <n v="11211"/>
    <n v="20"/>
    <x v="0"/>
    <x v="1"/>
    <x v="0"/>
    <x v="2"/>
    <s v="Single"/>
    <n v="70205"/>
    <n v="38726"/>
    <x v="23"/>
    <x v="4"/>
    <n v="4"/>
    <s v="No"/>
    <n v="3"/>
    <x v="35"/>
    <n v="32"/>
    <x v="3"/>
    <n v="2"/>
    <x v="0"/>
  </r>
  <r>
    <n v="11212"/>
    <n v="27"/>
    <x v="0"/>
    <x v="2"/>
    <x v="1"/>
    <x v="2"/>
    <s v="Married"/>
    <n v="46958"/>
    <n v="14272"/>
    <x v="12"/>
    <x v="3"/>
    <n v="5"/>
    <s v="Yes"/>
    <n v="1"/>
    <x v="31"/>
    <n v="50"/>
    <x v="0"/>
    <n v="3"/>
    <x v="1"/>
  </r>
  <r>
    <n v="11213"/>
    <n v="57"/>
    <x v="1"/>
    <x v="5"/>
    <x v="3"/>
    <x v="3"/>
    <s v="Married"/>
    <n v="90964"/>
    <n v="34486"/>
    <x v="21"/>
    <x v="8"/>
    <n v="2"/>
    <s v="No"/>
    <n v="2"/>
    <x v="36"/>
    <n v="25"/>
    <x v="0"/>
    <n v="2"/>
    <x v="0"/>
  </r>
  <r>
    <n v="11214"/>
    <n v="31"/>
    <x v="0"/>
    <x v="2"/>
    <x v="5"/>
    <x v="2"/>
    <s v="Single"/>
    <n v="156939"/>
    <n v="7242"/>
    <x v="16"/>
    <x v="12"/>
    <n v="5"/>
    <s v="No"/>
    <n v="2"/>
    <x v="8"/>
    <n v="40"/>
    <x v="3"/>
    <n v="4"/>
    <x v="0"/>
  </r>
  <r>
    <n v="11215"/>
    <n v="50"/>
    <x v="0"/>
    <x v="5"/>
    <x v="3"/>
    <x v="2"/>
    <s v="Single"/>
    <n v="119044"/>
    <n v="48867"/>
    <x v="1"/>
    <x v="5"/>
    <n v="4"/>
    <s v="No"/>
    <n v="4"/>
    <x v="16"/>
    <n v="13"/>
    <x v="0"/>
    <n v="4"/>
    <x v="0"/>
  </r>
  <r>
    <n v="11216"/>
    <n v="56"/>
    <x v="0"/>
    <x v="0"/>
    <x v="4"/>
    <x v="3"/>
    <s v="Married"/>
    <n v="33319"/>
    <n v="38283"/>
    <x v="10"/>
    <x v="9"/>
    <n v="5"/>
    <s v="No"/>
    <n v="4"/>
    <x v="13"/>
    <n v="43"/>
    <x v="3"/>
    <n v="3"/>
    <x v="0"/>
  </r>
  <r>
    <n v="11217"/>
    <n v="49"/>
    <x v="0"/>
    <x v="2"/>
    <x v="4"/>
    <x v="2"/>
    <s v="Married"/>
    <n v="40114"/>
    <n v="42326"/>
    <x v="9"/>
    <x v="13"/>
    <n v="3"/>
    <s v="Yes"/>
    <n v="2"/>
    <x v="18"/>
    <n v="49"/>
    <x v="0"/>
    <n v="2"/>
    <x v="0"/>
  </r>
  <r>
    <n v="11218"/>
    <n v="23"/>
    <x v="0"/>
    <x v="3"/>
    <x v="0"/>
    <x v="3"/>
    <s v="Married"/>
    <n v="60230"/>
    <n v="30000"/>
    <x v="24"/>
    <x v="6"/>
    <n v="4"/>
    <s v="No"/>
    <n v="1"/>
    <x v="25"/>
    <n v="26"/>
    <x v="2"/>
    <n v="2"/>
    <x v="1"/>
  </r>
  <r>
    <n v="11219"/>
    <n v="36"/>
    <x v="0"/>
    <x v="0"/>
    <x v="2"/>
    <x v="3"/>
    <s v="Divorced"/>
    <n v="11543"/>
    <n v="9332"/>
    <x v="0"/>
    <x v="4"/>
    <n v="4"/>
    <s v="Yes"/>
    <n v="3"/>
    <x v="21"/>
    <n v="12"/>
    <x v="0"/>
    <n v="3"/>
    <x v="0"/>
  </r>
  <r>
    <n v="11220"/>
    <n v="50"/>
    <x v="1"/>
    <x v="3"/>
    <x v="3"/>
    <x v="0"/>
    <s v="Divorced"/>
    <n v="104628"/>
    <n v="19425"/>
    <x v="3"/>
    <x v="10"/>
    <n v="1"/>
    <s v="No"/>
    <n v="4"/>
    <x v="35"/>
    <n v="59"/>
    <x v="3"/>
    <n v="3"/>
    <x v="0"/>
  </r>
  <r>
    <n v="11221"/>
    <n v="51"/>
    <x v="0"/>
    <x v="2"/>
    <x v="4"/>
    <x v="2"/>
    <s v="Single"/>
    <n v="40058"/>
    <n v="40986"/>
    <x v="19"/>
    <x v="1"/>
    <n v="3"/>
    <s v="Yes"/>
    <n v="4"/>
    <x v="3"/>
    <n v="17"/>
    <x v="2"/>
    <n v="2"/>
    <x v="0"/>
  </r>
  <r>
    <n v="11222"/>
    <n v="52"/>
    <x v="1"/>
    <x v="1"/>
    <x v="5"/>
    <x v="2"/>
    <s v="Single"/>
    <n v="171940"/>
    <n v="18206"/>
    <x v="7"/>
    <x v="13"/>
    <n v="4"/>
    <s v="No"/>
    <n v="4"/>
    <x v="29"/>
    <n v="43"/>
    <x v="0"/>
    <n v="4"/>
    <x v="0"/>
  </r>
  <r>
    <n v="11223"/>
    <n v="46"/>
    <x v="0"/>
    <x v="0"/>
    <x v="0"/>
    <x v="2"/>
    <s v="Divorced"/>
    <n v="73616"/>
    <n v="15993"/>
    <x v="5"/>
    <x v="1"/>
    <n v="3"/>
    <s v="No"/>
    <n v="3"/>
    <x v="19"/>
    <n v="13"/>
    <x v="2"/>
    <n v="3"/>
    <x v="0"/>
  </r>
  <r>
    <n v="11224"/>
    <n v="42"/>
    <x v="0"/>
    <x v="2"/>
    <x v="0"/>
    <x v="0"/>
    <s v="Married"/>
    <n v="73710"/>
    <n v="19784"/>
    <x v="5"/>
    <x v="2"/>
    <n v="5"/>
    <s v="Yes"/>
    <n v="2"/>
    <x v="24"/>
    <n v="29"/>
    <x v="3"/>
    <n v="4"/>
    <x v="0"/>
  </r>
  <r>
    <n v="11225"/>
    <n v="41"/>
    <x v="1"/>
    <x v="2"/>
    <x v="1"/>
    <x v="0"/>
    <s v="Single"/>
    <n v="58930"/>
    <n v="2477"/>
    <x v="7"/>
    <x v="0"/>
    <n v="3"/>
    <s v="No"/>
    <n v="3"/>
    <x v="22"/>
    <n v="35"/>
    <x v="3"/>
    <n v="2"/>
    <x v="0"/>
  </r>
  <r>
    <n v="11226"/>
    <n v="34"/>
    <x v="1"/>
    <x v="5"/>
    <x v="4"/>
    <x v="3"/>
    <s v="Married"/>
    <n v="25544"/>
    <n v="16942"/>
    <x v="20"/>
    <x v="5"/>
    <n v="4"/>
    <s v="No"/>
    <n v="4"/>
    <x v="12"/>
    <n v="17"/>
    <x v="3"/>
    <n v="3"/>
    <x v="0"/>
  </r>
  <r>
    <n v="11227"/>
    <n v="26"/>
    <x v="0"/>
    <x v="3"/>
    <x v="3"/>
    <x v="3"/>
    <s v="Married"/>
    <n v="102166"/>
    <n v="3846"/>
    <x v="5"/>
    <x v="13"/>
    <n v="5"/>
    <s v="Yes"/>
    <n v="1"/>
    <x v="5"/>
    <n v="25"/>
    <x v="1"/>
    <n v="3"/>
    <x v="0"/>
  </r>
  <r>
    <n v="11228"/>
    <n v="51"/>
    <x v="1"/>
    <x v="1"/>
    <x v="1"/>
    <x v="2"/>
    <s v="Divorced"/>
    <n v="53805"/>
    <n v="30146"/>
    <x v="22"/>
    <x v="8"/>
    <n v="3"/>
    <s v="No"/>
    <n v="1"/>
    <x v="17"/>
    <n v="13"/>
    <x v="3"/>
    <n v="1"/>
    <x v="1"/>
  </r>
  <r>
    <n v="11229"/>
    <n v="36"/>
    <x v="0"/>
    <x v="2"/>
    <x v="3"/>
    <x v="1"/>
    <s v="Married"/>
    <n v="119469"/>
    <n v="35175"/>
    <x v="21"/>
    <x v="6"/>
    <n v="3"/>
    <s v="Yes"/>
    <n v="3"/>
    <x v="0"/>
    <n v="43"/>
    <x v="1"/>
    <n v="3"/>
    <x v="0"/>
  </r>
  <r>
    <n v="11230"/>
    <n v="23"/>
    <x v="0"/>
    <x v="2"/>
    <x v="4"/>
    <x v="3"/>
    <s v="Single"/>
    <n v="36012"/>
    <n v="44310"/>
    <x v="21"/>
    <x v="13"/>
    <n v="4"/>
    <s v="No"/>
    <n v="4"/>
    <x v="0"/>
    <n v="33"/>
    <x v="2"/>
    <n v="1"/>
    <x v="0"/>
  </r>
  <r>
    <n v="11231"/>
    <n v="46"/>
    <x v="1"/>
    <x v="2"/>
    <x v="0"/>
    <x v="1"/>
    <s v="Single"/>
    <n v="61857"/>
    <n v="18540"/>
    <x v="2"/>
    <x v="7"/>
    <n v="3"/>
    <s v="Yes"/>
    <n v="2"/>
    <x v="10"/>
    <n v="48"/>
    <x v="0"/>
    <n v="2"/>
    <x v="0"/>
  </r>
  <r>
    <n v="11232"/>
    <n v="23"/>
    <x v="1"/>
    <x v="2"/>
    <x v="4"/>
    <x v="3"/>
    <s v="Single"/>
    <n v="31221"/>
    <n v="43893"/>
    <x v="20"/>
    <x v="9"/>
    <n v="3"/>
    <s v="No"/>
    <n v="3"/>
    <x v="1"/>
    <n v="13"/>
    <x v="3"/>
    <n v="4"/>
    <x v="0"/>
  </r>
  <r>
    <n v="11233"/>
    <n v="21"/>
    <x v="0"/>
    <x v="5"/>
    <x v="1"/>
    <x v="2"/>
    <s v="Married"/>
    <n v="62931"/>
    <n v="13369"/>
    <x v="13"/>
    <x v="7"/>
    <n v="4"/>
    <s v="No"/>
    <n v="1"/>
    <x v="21"/>
    <n v="12"/>
    <x v="0"/>
    <n v="2"/>
    <x v="1"/>
  </r>
  <r>
    <n v="11234"/>
    <n v="23"/>
    <x v="0"/>
    <x v="4"/>
    <x v="1"/>
    <x v="2"/>
    <s v="Single"/>
    <n v="45202"/>
    <n v="40324"/>
    <x v="20"/>
    <x v="12"/>
    <n v="5"/>
    <s v="No"/>
    <n v="2"/>
    <x v="23"/>
    <n v="9"/>
    <x v="2"/>
    <n v="1"/>
    <x v="1"/>
  </r>
  <r>
    <n v="11235"/>
    <n v="54"/>
    <x v="0"/>
    <x v="5"/>
    <x v="0"/>
    <x v="3"/>
    <s v="Single"/>
    <n v="80454"/>
    <n v="32270"/>
    <x v="17"/>
    <x v="2"/>
    <n v="3"/>
    <s v="No"/>
    <n v="3"/>
    <x v="1"/>
    <n v="9"/>
    <x v="0"/>
    <n v="3"/>
    <x v="0"/>
  </r>
  <r>
    <n v="11236"/>
    <n v="55"/>
    <x v="0"/>
    <x v="5"/>
    <x v="1"/>
    <x v="2"/>
    <s v="Divorced"/>
    <n v="61551"/>
    <n v="44967"/>
    <x v="9"/>
    <x v="1"/>
    <n v="3"/>
    <s v="No"/>
    <n v="3"/>
    <x v="33"/>
    <n v="7"/>
    <x v="0"/>
    <n v="2"/>
    <x v="0"/>
  </r>
  <r>
    <n v="11237"/>
    <n v="45"/>
    <x v="0"/>
    <x v="3"/>
    <x v="2"/>
    <x v="2"/>
    <s v="Married"/>
    <n v="11371"/>
    <n v="4274"/>
    <x v="22"/>
    <x v="3"/>
    <n v="3"/>
    <s v="No"/>
    <n v="3"/>
    <x v="12"/>
    <n v="17"/>
    <x v="2"/>
    <n v="2"/>
    <x v="1"/>
  </r>
  <r>
    <n v="11238"/>
    <n v="24"/>
    <x v="0"/>
    <x v="2"/>
    <x v="5"/>
    <x v="0"/>
    <s v="Single"/>
    <n v="146011"/>
    <n v="8752"/>
    <x v="9"/>
    <x v="2"/>
    <n v="3"/>
    <s v="No"/>
    <n v="4"/>
    <x v="4"/>
    <n v="36"/>
    <x v="0"/>
    <n v="2"/>
    <x v="0"/>
  </r>
  <r>
    <n v="11239"/>
    <n v="20"/>
    <x v="0"/>
    <x v="1"/>
    <x v="1"/>
    <x v="2"/>
    <s v="Single"/>
    <n v="52486"/>
    <n v="48855"/>
    <x v="10"/>
    <x v="9"/>
    <n v="3"/>
    <s v="Yes"/>
    <n v="3"/>
    <x v="1"/>
    <n v="40"/>
    <x v="0"/>
    <n v="3"/>
    <x v="0"/>
  </r>
  <r>
    <n v="11240"/>
    <n v="26"/>
    <x v="1"/>
    <x v="0"/>
    <x v="3"/>
    <x v="2"/>
    <s v="Single"/>
    <n v="122401"/>
    <n v="8885"/>
    <x v="21"/>
    <x v="12"/>
    <n v="3"/>
    <s v="No"/>
    <n v="1"/>
    <x v="34"/>
    <n v="40"/>
    <x v="3"/>
    <n v="3"/>
    <x v="0"/>
  </r>
  <r>
    <n v="11241"/>
    <n v="34"/>
    <x v="1"/>
    <x v="2"/>
    <x v="1"/>
    <x v="3"/>
    <s v="Married"/>
    <n v="49275"/>
    <n v="10004"/>
    <x v="13"/>
    <x v="2"/>
    <n v="4"/>
    <s v="No"/>
    <n v="4"/>
    <x v="37"/>
    <n v="56"/>
    <x v="1"/>
    <n v="2"/>
    <x v="1"/>
  </r>
  <r>
    <n v="11242"/>
    <n v="56"/>
    <x v="1"/>
    <x v="5"/>
    <x v="1"/>
    <x v="2"/>
    <s v="Divorced"/>
    <n v="52997"/>
    <n v="36935"/>
    <x v="19"/>
    <x v="10"/>
    <n v="2"/>
    <s v="No"/>
    <n v="2"/>
    <x v="29"/>
    <n v="59"/>
    <x v="1"/>
    <n v="3"/>
    <x v="0"/>
  </r>
  <r>
    <n v="11243"/>
    <n v="59"/>
    <x v="0"/>
    <x v="5"/>
    <x v="1"/>
    <x v="3"/>
    <s v="Married"/>
    <n v="61956"/>
    <n v="45602"/>
    <x v="18"/>
    <x v="4"/>
    <n v="5"/>
    <s v="No"/>
    <n v="1"/>
    <x v="22"/>
    <n v="43"/>
    <x v="0"/>
    <n v="1"/>
    <x v="1"/>
  </r>
  <r>
    <n v="11244"/>
    <n v="48"/>
    <x v="0"/>
    <x v="2"/>
    <x v="3"/>
    <x v="2"/>
    <s v="Divorced"/>
    <n v="118022"/>
    <n v="4736"/>
    <x v="24"/>
    <x v="12"/>
    <n v="3"/>
    <s v="No"/>
    <n v="2"/>
    <x v="37"/>
    <n v="14"/>
    <x v="2"/>
    <n v="1"/>
    <x v="0"/>
  </r>
  <r>
    <n v="11245"/>
    <n v="33"/>
    <x v="1"/>
    <x v="2"/>
    <x v="2"/>
    <x v="3"/>
    <s v="Married"/>
    <n v="19944"/>
    <n v="36389"/>
    <x v="17"/>
    <x v="2"/>
    <n v="4"/>
    <s v="No"/>
    <n v="1"/>
    <x v="11"/>
    <n v="31"/>
    <x v="0"/>
    <n v="2"/>
    <x v="1"/>
  </r>
  <r>
    <n v="11246"/>
    <n v="50"/>
    <x v="1"/>
    <x v="4"/>
    <x v="1"/>
    <x v="3"/>
    <s v="Married"/>
    <n v="52818"/>
    <n v="39583"/>
    <x v="7"/>
    <x v="7"/>
    <n v="3"/>
    <s v="No"/>
    <n v="3"/>
    <x v="24"/>
    <n v="19"/>
    <x v="1"/>
    <n v="3"/>
    <x v="0"/>
  </r>
  <r>
    <n v="11247"/>
    <n v="24"/>
    <x v="0"/>
    <x v="2"/>
    <x v="2"/>
    <x v="2"/>
    <s v="Single"/>
    <n v="14439"/>
    <n v="46441"/>
    <x v="20"/>
    <x v="12"/>
    <n v="4"/>
    <s v="No"/>
    <n v="2"/>
    <x v="18"/>
    <n v="7"/>
    <x v="0"/>
    <n v="2"/>
    <x v="0"/>
  </r>
  <r>
    <n v="11248"/>
    <n v="28"/>
    <x v="0"/>
    <x v="2"/>
    <x v="1"/>
    <x v="1"/>
    <s v="Married"/>
    <n v="48355"/>
    <n v="21620"/>
    <x v="14"/>
    <x v="11"/>
    <n v="3"/>
    <s v="Yes"/>
    <n v="4"/>
    <x v="7"/>
    <n v="6"/>
    <x v="0"/>
    <n v="2"/>
    <x v="0"/>
  </r>
  <r>
    <n v="11249"/>
    <n v="59"/>
    <x v="1"/>
    <x v="2"/>
    <x v="4"/>
    <x v="2"/>
    <s v="Married"/>
    <n v="35154"/>
    <n v="6639"/>
    <x v="17"/>
    <x v="2"/>
    <n v="3"/>
    <s v="Yes"/>
    <n v="3"/>
    <x v="34"/>
    <n v="27"/>
    <x v="1"/>
    <n v="3"/>
    <x v="0"/>
  </r>
  <r>
    <n v="11250"/>
    <n v="45"/>
    <x v="0"/>
    <x v="5"/>
    <x v="1"/>
    <x v="2"/>
    <s v="Married"/>
    <n v="47941"/>
    <n v="17144"/>
    <x v="18"/>
    <x v="0"/>
    <n v="3"/>
    <s v="No"/>
    <n v="1"/>
    <x v="22"/>
    <n v="23"/>
    <x v="0"/>
    <n v="2"/>
    <x v="0"/>
  </r>
  <r>
    <n v="11251"/>
    <n v="21"/>
    <x v="0"/>
    <x v="3"/>
    <x v="4"/>
    <x v="0"/>
    <s v="Divorced"/>
    <n v="34973"/>
    <n v="9071"/>
    <x v="21"/>
    <x v="6"/>
    <n v="3"/>
    <s v="No"/>
    <n v="1"/>
    <x v="3"/>
    <n v="26"/>
    <x v="2"/>
    <n v="3"/>
    <x v="0"/>
  </r>
  <r>
    <n v="11252"/>
    <n v="24"/>
    <x v="0"/>
    <x v="0"/>
    <x v="4"/>
    <x v="2"/>
    <s v="Married"/>
    <n v="40875"/>
    <n v="10158"/>
    <x v="14"/>
    <x v="1"/>
    <n v="1"/>
    <s v="No"/>
    <n v="1"/>
    <x v="3"/>
    <n v="18"/>
    <x v="2"/>
    <n v="3"/>
    <x v="1"/>
  </r>
  <r>
    <n v="11253"/>
    <n v="33"/>
    <x v="0"/>
    <x v="2"/>
    <x v="1"/>
    <x v="2"/>
    <s v="Single"/>
    <n v="61461"/>
    <n v="34090"/>
    <x v="23"/>
    <x v="13"/>
    <n v="3"/>
    <s v="No"/>
    <n v="4"/>
    <x v="24"/>
    <n v="59"/>
    <x v="0"/>
    <n v="3"/>
    <x v="0"/>
  </r>
  <r>
    <n v="11254"/>
    <n v="54"/>
    <x v="1"/>
    <x v="4"/>
    <x v="1"/>
    <x v="3"/>
    <s v="Single"/>
    <n v="54979"/>
    <n v="21353"/>
    <x v="20"/>
    <x v="11"/>
    <n v="2"/>
    <s v="No"/>
    <n v="3"/>
    <x v="17"/>
    <n v="21"/>
    <x v="0"/>
    <n v="2"/>
    <x v="0"/>
  </r>
  <r>
    <n v="11255"/>
    <n v="28"/>
    <x v="0"/>
    <x v="2"/>
    <x v="4"/>
    <x v="2"/>
    <s v="Single"/>
    <n v="25667"/>
    <n v="40494"/>
    <x v="15"/>
    <x v="2"/>
    <n v="4"/>
    <s v="No"/>
    <n v="4"/>
    <x v="16"/>
    <n v="52"/>
    <x v="0"/>
    <n v="4"/>
    <x v="0"/>
  </r>
  <r>
    <n v="11256"/>
    <n v="36"/>
    <x v="1"/>
    <x v="3"/>
    <x v="4"/>
    <x v="2"/>
    <s v="Married"/>
    <n v="28167"/>
    <n v="43682"/>
    <x v="15"/>
    <x v="7"/>
    <n v="4"/>
    <s v="No"/>
    <n v="3"/>
    <x v="18"/>
    <n v="14"/>
    <x v="1"/>
    <n v="2"/>
    <x v="1"/>
  </r>
  <r>
    <n v="11257"/>
    <n v="51"/>
    <x v="0"/>
    <x v="0"/>
    <x v="4"/>
    <x v="2"/>
    <s v="Married"/>
    <n v="37550"/>
    <n v="44696"/>
    <x v="11"/>
    <x v="2"/>
    <n v="3"/>
    <s v="No"/>
    <n v="3"/>
    <x v="6"/>
    <n v="46"/>
    <x v="3"/>
    <n v="3"/>
    <x v="0"/>
  </r>
  <r>
    <n v="11258"/>
    <n v="35"/>
    <x v="0"/>
    <x v="4"/>
    <x v="4"/>
    <x v="0"/>
    <s v="Married"/>
    <n v="34971"/>
    <n v="47782"/>
    <x v="23"/>
    <x v="6"/>
    <n v="3"/>
    <s v="No"/>
    <n v="1"/>
    <x v="20"/>
    <n v="59"/>
    <x v="0"/>
    <n v="4"/>
    <x v="0"/>
  </r>
  <r>
    <n v="11259"/>
    <n v="52"/>
    <x v="0"/>
    <x v="3"/>
    <x v="3"/>
    <x v="2"/>
    <s v="Married"/>
    <n v="114463"/>
    <n v="39028"/>
    <x v="3"/>
    <x v="13"/>
    <n v="3"/>
    <s v="Yes"/>
    <n v="3"/>
    <x v="24"/>
    <n v="59"/>
    <x v="2"/>
    <n v="2"/>
    <x v="0"/>
  </r>
  <r>
    <n v="11260"/>
    <n v="25"/>
    <x v="1"/>
    <x v="1"/>
    <x v="4"/>
    <x v="2"/>
    <s v="Married"/>
    <n v="43642"/>
    <n v="29952"/>
    <x v="0"/>
    <x v="1"/>
    <n v="4"/>
    <s v="No"/>
    <n v="3"/>
    <x v="5"/>
    <n v="15"/>
    <x v="1"/>
    <n v="4"/>
    <x v="0"/>
  </r>
  <r>
    <n v="11261"/>
    <n v="30"/>
    <x v="0"/>
    <x v="2"/>
    <x v="4"/>
    <x v="2"/>
    <s v="Single"/>
    <n v="41333"/>
    <n v="27898"/>
    <x v="22"/>
    <x v="11"/>
    <n v="3"/>
    <s v="No"/>
    <n v="4"/>
    <x v="23"/>
    <n v="22"/>
    <x v="0"/>
    <n v="3"/>
    <x v="0"/>
  </r>
  <r>
    <n v="11262"/>
    <n v="46"/>
    <x v="1"/>
    <x v="5"/>
    <x v="4"/>
    <x v="2"/>
    <s v="Single"/>
    <n v="43373"/>
    <n v="5968"/>
    <x v="20"/>
    <x v="11"/>
    <n v="3"/>
    <s v="No"/>
    <n v="3"/>
    <x v="18"/>
    <n v="14"/>
    <x v="3"/>
    <n v="3"/>
    <x v="0"/>
  </r>
  <r>
    <n v="11263"/>
    <n v="29"/>
    <x v="1"/>
    <x v="1"/>
    <x v="0"/>
    <x v="3"/>
    <s v="Single"/>
    <n v="62688"/>
    <n v="6511"/>
    <x v="18"/>
    <x v="11"/>
    <n v="3"/>
    <s v="Yes"/>
    <n v="2"/>
    <x v="20"/>
    <n v="42"/>
    <x v="0"/>
    <n v="3"/>
    <x v="0"/>
  </r>
  <r>
    <n v="11264"/>
    <n v="34"/>
    <x v="1"/>
    <x v="2"/>
    <x v="0"/>
    <x v="3"/>
    <s v="Single"/>
    <n v="65720"/>
    <n v="8554"/>
    <x v="24"/>
    <x v="3"/>
    <n v="1"/>
    <s v="No"/>
    <n v="1"/>
    <x v="3"/>
    <n v="9"/>
    <x v="3"/>
    <n v="4"/>
    <x v="0"/>
  </r>
  <r>
    <n v="11265"/>
    <n v="22"/>
    <x v="1"/>
    <x v="5"/>
    <x v="2"/>
    <x v="0"/>
    <s v="Married"/>
    <n v="14002"/>
    <n v="47894"/>
    <x v="11"/>
    <x v="9"/>
    <n v="3"/>
    <s v="No"/>
    <n v="2"/>
    <x v="37"/>
    <n v="28"/>
    <x v="1"/>
    <n v="2"/>
    <x v="0"/>
  </r>
  <r>
    <n v="11266"/>
    <n v="21"/>
    <x v="0"/>
    <x v="1"/>
    <x v="4"/>
    <x v="2"/>
    <s v="Single"/>
    <n v="38567"/>
    <n v="36833"/>
    <x v="3"/>
    <x v="12"/>
    <n v="3"/>
    <s v="No"/>
    <n v="2"/>
    <x v="29"/>
    <n v="6"/>
    <x v="0"/>
    <n v="1"/>
    <x v="1"/>
  </r>
  <r>
    <n v="11267"/>
    <n v="24"/>
    <x v="1"/>
    <x v="3"/>
    <x v="4"/>
    <x v="3"/>
    <s v="Single"/>
    <n v="40229"/>
    <n v="5585"/>
    <x v="9"/>
    <x v="9"/>
    <n v="4"/>
    <s v="No"/>
    <n v="3"/>
    <x v="38"/>
    <n v="46"/>
    <x v="3"/>
    <n v="3"/>
    <x v="0"/>
  </r>
  <r>
    <n v="11268"/>
    <n v="23"/>
    <x v="1"/>
    <x v="2"/>
    <x v="4"/>
    <x v="2"/>
    <s v="Married"/>
    <n v="34139"/>
    <n v="13199"/>
    <x v="22"/>
    <x v="10"/>
    <n v="4"/>
    <s v="Yes"/>
    <n v="3"/>
    <x v="7"/>
    <n v="37"/>
    <x v="0"/>
    <n v="3"/>
    <x v="0"/>
  </r>
  <r>
    <n v="11269"/>
    <n v="50"/>
    <x v="1"/>
    <x v="4"/>
    <x v="5"/>
    <x v="0"/>
    <s v="Single"/>
    <n v="124837"/>
    <n v="13065"/>
    <x v="1"/>
    <x v="10"/>
    <n v="4"/>
    <s v="No"/>
    <n v="3"/>
    <x v="24"/>
    <n v="55"/>
    <x v="1"/>
    <n v="2"/>
    <x v="0"/>
  </r>
  <r>
    <n v="11270"/>
    <n v="23"/>
    <x v="0"/>
    <x v="5"/>
    <x v="4"/>
    <x v="2"/>
    <s v="Married"/>
    <n v="28363"/>
    <n v="47083"/>
    <x v="17"/>
    <x v="12"/>
    <n v="4"/>
    <s v="No"/>
    <n v="4"/>
    <x v="2"/>
    <n v="42"/>
    <x v="2"/>
    <n v="2"/>
    <x v="0"/>
  </r>
  <r>
    <n v="11271"/>
    <n v="36"/>
    <x v="1"/>
    <x v="1"/>
    <x v="0"/>
    <x v="3"/>
    <s v="Single"/>
    <n v="75926"/>
    <n v="11994"/>
    <x v="2"/>
    <x v="1"/>
    <n v="1"/>
    <s v="No"/>
    <n v="3"/>
    <x v="19"/>
    <n v="59"/>
    <x v="2"/>
    <n v="3"/>
    <x v="1"/>
  </r>
  <r>
    <n v="11272"/>
    <n v="52"/>
    <x v="1"/>
    <x v="4"/>
    <x v="5"/>
    <x v="2"/>
    <s v="Single"/>
    <n v="135055"/>
    <n v="23874"/>
    <x v="4"/>
    <x v="8"/>
    <n v="3"/>
    <s v="No"/>
    <n v="4"/>
    <x v="35"/>
    <n v="38"/>
    <x v="3"/>
    <n v="1"/>
    <x v="0"/>
  </r>
  <r>
    <n v="11273"/>
    <n v="47"/>
    <x v="1"/>
    <x v="1"/>
    <x v="5"/>
    <x v="0"/>
    <s v="Single"/>
    <n v="173662"/>
    <n v="15802"/>
    <x v="0"/>
    <x v="3"/>
    <n v="3"/>
    <s v="No"/>
    <n v="3"/>
    <x v="20"/>
    <n v="45"/>
    <x v="0"/>
    <n v="4"/>
    <x v="0"/>
  </r>
  <r>
    <n v="11274"/>
    <n v="21"/>
    <x v="0"/>
    <x v="3"/>
    <x v="3"/>
    <x v="0"/>
    <s v="Married"/>
    <n v="119495"/>
    <n v="305"/>
    <x v="20"/>
    <x v="4"/>
    <n v="3"/>
    <s v="No"/>
    <n v="1"/>
    <x v="1"/>
    <n v="25"/>
    <x v="2"/>
    <n v="3"/>
    <x v="1"/>
  </r>
  <r>
    <n v="11275"/>
    <n v="28"/>
    <x v="0"/>
    <x v="5"/>
    <x v="3"/>
    <x v="1"/>
    <s v="Married"/>
    <n v="96553"/>
    <n v="49662"/>
    <x v="15"/>
    <x v="10"/>
    <n v="2"/>
    <s v="No"/>
    <n v="2"/>
    <x v="5"/>
    <n v="52"/>
    <x v="1"/>
    <n v="2"/>
    <x v="0"/>
  </r>
  <r>
    <n v="11276"/>
    <n v="38"/>
    <x v="0"/>
    <x v="3"/>
    <x v="0"/>
    <x v="2"/>
    <s v="Married"/>
    <n v="75169"/>
    <n v="2006"/>
    <x v="0"/>
    <x v="12"/>
    <n v="4"/>
    <s v="No"/>
    <n v="3"/>
    <x v="13"/>
    <n v="41"/>
    <x v="3"/>
    <n v="2"/>
    <x v="0"/>
  </r>
  <r>
    <n v="11277"/>
    <n v="29"/>
    <x v="1"/>
    <x v="5"/>
    <x v="1"/>
    <x v="2"/>
    <s v="Married"/>
    <n v="58967"/>
    <n v="28385"/>
    <x v="3"/>
    <x v="12"/>
    <n v="3"/>
    <s v="No"/>
    <n v="3"/>
    <x v="33"/>
    <n v="23"/>
    <x v="1"/>
    <n v="4"/>
    <x v="0"/>
  </r>
  <r>
    <n v="11278"/>
    <n v="21"/>
    <x v="1"/>
    <x v="2"/>
    <x v="4"/>
    <x v="3"/>
    <s v="Married"/>
    <n v="41616"/>
    <n v="797"/>
    <x v="24"/>
    <x v="3"/>
    <n v="5"/>
    <s v="No"/>
    <n v="3"/>
    <x v="27"/>
    <n v="34"/>
    <x v="0"/>
    <n v="3"/>
    <x v="0"/>
  </r>
  <r>
    <n v="11279"/>
    <n v="45"/>
    <x v="0"/>
    <x v="3"/>
    <x v="0"/>
    <x v="1"/>
    <s v="Married"/>
    <n v="73354"/>
    <n v="39054"/>
    <x v="3"/>
    <x v="7"/>
    <n v="3"/>
    <s v="No"/>
    <n v="2"/>
    <x v="10"/>
    <n v="33"/>
    <x v="1"/>
    <n v="4"/>
    <x v="1"/>
  </r>
  <r>
    <n v="11280"/>
    <n v="24"/>
    <x v="0"/>
    <x v="2"/>
    <x v="1"/>
    <x v="3"/>
    <s v="Single"/>
    <n v="62335"/>
    <n v="35571"/>
    <x v="0"/>
    <x v="6"/>
    <n v="4"/>
    <s v="No"/>
    <n v="4"/>
    <x v="5"/>
    <n v="52"/>
    <x v="3"/>
    <n v="3"/>
    <x v="0"/>
  </r>
  <r>
    <n v="11281"/>
    <n v="40"/>
    <x v="0"/>
    <x v="2"/>
    <x v="3"/>
    <x v="1"/>
    <s v="Married"/>
    <n v="94367"/>
    <n v="11051"/>
    <x v="9"/>
    <x v="1"/>
    <n v="3"/>
    <s v="No"/>
    <n v="2"/>
    <x v="38"/>
    <n v="34"/>
    <x v="2"/>
    <n v="2"/>
    <x v="0"/>
  </r>
  <r>
    <n v="11282"/>
    <n v="50"/>
    <x v="0"/>
    <x v="3"/>
    <x v="0"/>
    <x v="2"/>
    <s v="Married"/>
    <n v="77292"/>
    <n v="34076"/>
    <x v="21"/>
    <x v="2"/>
    <n v="2"/>
    <s v="No"/>
    <n v="2"/>
    <x v="23"/>
    <n v="6"/>
    <x v="3"/>
    <n v="1"/>
    <x v="0"/>
  </r>
  <r>
    <n v="11283"/>
    <n v="21"/>
    <x v="0"/>
    <x v="2"/>
    <x v="3"/>
    <x v="3"/>
    <s v="Single"/>
    <n v="123299"/>
    <n v="42281"/>
    <x v="11"/>
    <x v="8"/>
    <n v="4"/>
    <s v="Yes"/>
    <n v="1"/>
    <x v="21"/>
    <n v="32"/>
    <x v="3"/>
    <n v="3"/>
    <x v="0"/>
  </r>
  <r>
    <n v="11284"/>
    <n v="38"/>
    <x v="0"/>
    <x v="3"/>
    <x v="3"/>
    <x v="2"/>
    <s v="Married"/>
    <n v="106410"/>
    <n v="7042"/>
    <x v="22"/>
    <x v="0"/>
    <n v="3"/>
    <s v="No"/>
    <n v="3"/>
    <x v="20"/>
    <n v="27"/>
    <x v="3"/>
    <n v="3"/>
    <x v="0"/>
  </r>
  <r>
    <n v="11285"/>
    <n v="42"/>
    <x v="0"/>
    <x v="2"/>
    <x v="1"/>
    <x v="2"/>
    <s v="Married"/>
    <n v="54471"/>
    <n v="5492"/>
    <x v="0"/>
    <x v="7"/>
    <n v="5"/>
    <s v="Yes"/>
    <n v="4"/>
    <x v="24"/>
    <n v="48"/>
    <x v="0"/>
    <n v="3"/>
    <x v="0"/>
  </r>
  <r>
    <n v="11286"/>
    <n v="42"/>
    <x v="1"/>
    <x v="2"/>
    <x v="4"/>
    <x v="3"/>
    <s v="Single"/>
    <n v="41884"/>
    <n v="23321"/>
    <x v="9"/>
    <x v="12"/>
    <n v="4"/>
    <s v="No"/>
    <n v="2"/>
    <x v="28"/>
    <n v="14"/>
    <x v="0"/>
    <n v="4"/>
    <x v="0"/>
  </r>
  <r>
    <n v="11287"/>
    <n v="27"/>
    <x v="0"/>
    <x v="5"/>
    <x v="4"/>
    <x v="3"/>
    <s v="Single"/>
    <n v="27430"/>
    <n v="6709"/>
    <x v="5"/>
    <x v="12"/>
    <n v="4"/>
    <s v="No"/>
    <n v="2"/>
    <x v="38"/>
    <n v="55"/>
    <x v="3"/>
    <n v="3"/>
    <x v="0"/>
  </r>
  <r>
    <n v="11288"/>
    <n v="21"/>
    <x v="0"/>
    <x v="0"/>
    <x v="0"/>
    <x v="2"/>
    <s v="Single"/>
    <n v="73450"/>
    <n v="39602"/>
    <x v="12"/>
    <x v="7"/>
    <n v="3"/>
    <s v="No"/>
    <n v="4"/>
    <x v="19"/>
    <n v="46"/>
    <x v="3"/>
    <n v="3"/>
    <x v="0"/>
  </r>
  <r>
    <n v="11289"/>
    <n v="37"/>
    <x v="1"/>
    <x v="2"/>
    <x v="4"/>
    <x v="2"/>
    <s v="Single"/>
    <n v="35509"/>
    <n v="35391"/>
    <x v="14"/>
    <x v="14"/>
    <n v="2"/>
    <s v="No"/>
    <n v="4"/>
    <x v="12"/>
    <n v="27"/>
    <x v="1"/>
    <n v="3"/>
    <x v="0"/>
  </r>
  <r>
    <n v="11290"/>
    <n v="31"/>
    <x v="1"/>
    <x v="0"/>
    <x v="0"/>
    <x v="2"/>
    <s v="Single"/>
    <n v="60506"/>
    <n v="31262"/>
    <x v="15"/>
    <x v="5"/>
    <n v="3"/>
    <s v="Yes"/>
    <n v="3"/>
    <x v="12"/>
    <n v="51"/>
    <x v="0"/>
    <n v="2"/>
    <x v="0"/>
  </r>
  <r>
    <n v="11291"/>
    <n v="47"/>
    <x v="0"/>
    <x v="2"/>
    <x v="0"/>
    <x v="3"/>
    <s v="Single"/>
    <n v="81500"/>
    <n v="13583"/>
    <x v="16"/>
    <x v="4"/>
    <n v="4"/>
    <s v="Yes"/>
    <n v="3"/>
    <x v="35"/>
    <n v="27"/>
    <x v="0"/>
    <n v="3"/>
    <x v="0"/>
  </r>
  <r>
    <n v="11292"/>
    <n v="28"/>
    <x v="1"/>
    <x v="4"/>
    <x v="1"/>
    <x v="2"/>
    <s v="Single"/>
    <n v="66882"/>
    <n v="29470"/>
    <x v="4"/>
    <x v="10"/>
    <n v="4"/>
    <s v="No"/>
    <n v="4"/>
    <x v="33"/>
    <n v="25"/>
    <x v="1"/>
    <n v="3"/>
    <x v="0"/>
  </r>
  <r>
    <n v="11293"/>
    <n v="50"/>
    <x v="0"/>
    <x v="2"/>
    <x v="5"/>
    <x v="3"/>
    <s v="Married"/>
    <n v="178835"/>
    <n v="16110"/>
    <x v="21"/>
    <x v="5"/>
    <n v="5"/>
    <s v="No"/>
    <n v="2"/>
    <x v="35"/>
    <n v="21"/>
    <x v="0"/>
    <n v="3"/>
    <x v="0"/>
  </r>
  <r>
    <n v="11294"/>
    <n v="23"/>
    <x v="1"/>
    <x v="1"/>
    <x v="1"/>
    <x v="1"/>
    <s v="Single"/>
    <n v="54221"/>
    <n v="38721"/>
    <x v="20"/>
    <x v="11"/>
    <n v="2"/>
    <s v="No"/>
    <n v="4"/>
    <x v="9"/>
    <n v="42"/>
    <x v="0"/>
    <n v="2"/>
    <x v="0"/>
  </r>
  <r>
    <n v="11295"/>
    <n v="37"/>
    <x v="0"/>
    <x v="2"/>
    <x v="1"/>
    <x v="2"/>
    <s v="Married"/>
    <n v="63617"/>
    <n v="10623"/>
    <x v="3"/>
    <x v="4"/>
    <n v="3"/>
    <s v="No"/>
    <n v="3"/>
    <x v="7"/>
    <n v="40"/>
    <x v="0"/>
    <n v="1"/>
    <x v="0"/>
  </r>
  <r>
    <n v="11296"/>
    <n v="22"/>
    <x v="0"/>
    <x v="2"/>
    <x v="4"/>
    <x v="2"/>
    <s v="Single"/>
    <n v="44594"/>
    <n v="19335"/>
    <x v="2"/>
    <x v="12"/>
    <n v="3"/>
    <s v="No"/>
    <n v="4"/>
    <x v="25"/>
    <n v="20"/>
    <x v="3"/>
    <n v="4"/>
    <x v="0"/>
  </r>
  <r>
    <n v="11297"/>
    <n v="49"/>
    <x v="1"/>
    <x v="3"/>
    <x v="1"/>
    <x v="2"/>
    <s v="Divorced"/>
    <n v="58127"/>
    <n v="16911"/>
    <x v="20"/>
    <x v="9"/>
    <n v="3"/>
    <s v="No"/>
    <n v="4"/>
    <x v="24"/>
    <n v="8"/>
    <x v="3"/>
    <n v="2"/>
    <x v="0"/>
  </r>
  <r>
    <n v="11298"/>
    <n v="31"/>
    <x v="1"/>
    <x v="5"/>
    <x v="4"/>
    <x v="2"/>
    <s v="Divorced"/>
    <n v="34190"/>
    <n v="48747"/>
    <x v="12"/>
    <x v="1"/>
    <n v="5"/>
    <s v="No"/>
    <n v="3"/>
    <x v="36"/>
    <n v="54"/>
    <x v="0"/>
    <n v="1"/>
    <x v="0"/>
  </r>
  <r>
    <n v="11299"/>
    <n v="39"/>
    <x v="0"/>
    <x v="1"/>
    <x v="1"/>
    <x v="2"/>
    <s v="Married"/>
    <n v="49344"/>
    <n v="13859"/>
    <x v="4"/>
    <x v="8"/>
    <n v="3"/>
    <s v="No"/>
    <n v="4"/>
    <x v="3"/>
    <n v="40"/>
    <x v="0"/>
    <n v="2"/>
    <x v="0"/>
  </r>
  <r>
    <n v="11300"/>
    <n v="23"/>
    <x v="0"/>
    <x v="2"/>
    <x v="3"/>
    <x v="0"/>
    <s v="Single"/>
    <n v="106400"/>
    <n v="1266"/>
    <x v="20"/>
    <x v="9"/>
    <n v="4"/>
    <s v="No"/>
    <n v="3"/>
    <x v="38"/>
    <n v="44"/>
    <x v="3"/>
    <n v="1"/>
    <x v="0"/>
  </r>
  <r>
    <n v="11301"/>
    <n v="45"/>
    <x v="1"/>
    <x v="0"/>
    <x v="5"/>
    <x v="2"/>
    <s v="Single"/>
    <n v="164388"/>
    <n v="9365"/>
    <x v="18"/>
    <x v="6"/>
    <n v="3"/>
    <s v="Yes"/>
    <n v="3"/>
    <x v="18"/>
    <n v="39"/>
    <x v="2"/>
    <n v="2"/>
    <x v="0"/>
  </r>
  <r>
    <n v="11302"/>
    <n v="23"/>
    <x v="1"/>
    <x v="5"/>
    <x v="0"/>
    <x v="2"/>
    <s v="Single"/>
    <n v="69070"/>
    <n v="11579"/>
    <x v="2"/>
    <x v="1"/>
    <n v="4"/>
    <s v="No"/>
    <n v="4"/>
    <x v="26"/>
    <n v="27"/>
    <x v="0"/>
    <n v="1"/>
    <x v="0"/>
  </r>
  <r>
    <n v="11303"/>
    <n v="39"/>
    <x v="0"/>
    <x v="5"/>
    <x v="2"/>
    <x v="2"/>
    <s v="Married"/>
    <n v="11360"/>
    <n v="15777"/>
    <x v="1"/>
    <x v="6"/>
    <n v="3"/>
    <s v="No"/>
    <n v="3"/>
    <x v="9"/>
    <n v="49"/>
    <x v="0"/>
    <n v="2"/>
    <x v="0"/>
  </r>
  <r>
    <n v="11304"/>
    <n v="21"/>
    <x v="0"/>
    <x v="2"/>
    <x v="1"/>
    <x v="0"/>
    <s v="Married"/>
    <n v="49713"/>
    <n v="17522"/>
    <x v="9"/>
    <x v="10"/>
    <n v="3"/>
    <s v="No"/>
    <n v="2"/>
    <x v="1"/>
    <n v="19"/>
    <x v="3"/>
    <n v="1"/>
    <x v="0"/>
  </r>
  <r>
    <n v="11305"/>
    <n v="55"/>
    <x v="1"/>
    <x v="3"/>
    <x v="0"/>
    <x v="2"/>
    <s v="Single"/>
    <n v="74221"/>
    <n v="44837"/>
    <x v="9"/>
    <x v="6"/>
    <n v="3"/>
    <s v="No"/>
    <n v="4"/>
    <x v="16"/>
    <n v="15"/>
    <x v="1"/>
    <n v="2"/>
    <x v="0"/>
  </r>
  <r>
    <n v="11306"/>
    <n v="34"/>
    <x v="0"/>
    <x v="4"/>
    <x v="2"/>
    <x v="3"/>
    <s v="Married"/>
    <n v="10761"/>
    <n v="28433"/>
    <x v="23"/>
    <x v="13"/>
    <n v="3"/>
    <s v="No"/>
    <n v="2"/>
    <x v="25"/>
    <n v="24"/>
    <x v="3"/>
    <n v="2"/>
    <x v="0"/>
  </r>
  <r>
    <n v="11307"/>
    <n v="42"/>
    <x v="1"/>
    <x v="1"/>
    <x v="4"/>
    <x v="2"/>
    <s v="Single"/>
    <n v="43322"/>
    <n v="21756"/>
    <x v="5"/>
    <x v="12"/>
    <n v="4"/>
    <s v="Yes"/>
    <n v="1"/>
    <x v="25"/>
    <n v="33"/>
    <x v="1"/>
    <n v="4"/>
    <x v="1"/>
  </r>
  <r>
    <n v="11308"/>
    <n v="33"/>
    <x v="1"/>
    <x v="3"/>
    <x v="0"/>
    <x v="2"/>
    <s v="Single"/>
    <n v="64211"/>
    <n v="5870"/>
    <x v="16"/>
    <x v="11"/>
    <n v="4"/>
    <s v="No"/>
    <n v="3"/>
    <x v="13"/>
    <n v="15"/>
    <x v="3"/>
    <n v="3"/>
    <x v="0"/>
  </r>
  <r>
    <n v="11309"/>
    <n v="46"/>
    <x v="1"/>
    <x v="4"/>
    <x v="1"/>
    <x v="3"/>
    <s v="Single"/>
    <n v="65228"/>
    <n v="6831"/>
    <x v="3"/>
    <x v="5"/>
    <n v="4"/>
    <s v="No"/>
    <n v="4"/>
    <x v="15"/>
    <n v="6"/>
    <x v="0"/>
    <n v="2"/>
    <x v="0"/>
  </r>
  <r>
    <n v="11310"/>
    <n v="37"/>
    <x v="0"/>
    <x v="3"/>
    <x v="4"/>
    <x v="3"/>
    <s v="Married"/>
    <n v="27788"/>
    <n v="20575"/>
    <x v="8"/>
    <x v="1"/>
    <n v="2"/>
    <s v="No"/>
    <n v="4"/>
    <x v="0"/>
    <n v="35"/>
    <x v="0"/>
    <n v="3"/>
    <x v="0"/>
  </r>
  <r>
    <n v="11311"/>
    <n v="36"/>
    <x v="1"/>
    <x v="4"/>
    <x v="0"/>
    <x v="3"/>
    <s v="Divorced"/>
    <n v="66937"/>
    <n v="45514"/>
    <x v="23"/>
    <x v="14"/>
    <n v="4"/>
    <s v="Yes"/>
    <n v="3"/>
    <x v="15"/>
    <n v="39"/>
    <x v="3"/>
    <n v="3"/>
    <x v="0"/>
  </r>
  <r>
    <n v="11312"/>
    <n v="45"/>
    <x v="0"/>
    <x v="2"/>
    <x v="4"/>
    <x v="2"/>
    <s v="Single"/>
    <n v="38555"/>
    <n v="16471"/>
    <x v="12"/>
    <x v="10"/>
    <n v="4"/>
    <s v="Yes"/>
    <n v="2"/>
    <x v="37"/>
    <n v="55"/>
    <x v="3"/>
    <n v="3"/>
    <x v="0"/>
  </r>
  <r>
    <n v="11313"/>
    <n v="33"/>
    <x v="0"/>
    <x v="0"/>
    <x v="0"/>
    <x v="0"/>
    <s v="Married"/>
    <n v="70274"/>
    <n v="3346"/>
    <x v="4"/>
    <x v="14"/>
    <n v="2"/>
    <s v="Yes"/>
    <n v="2"/>
    <x v="28"/>
    <n v="39"/>
    <x v="3"/>
    <n v="3"/>
    <x v="0"/>
  </r>
  <r>
    <n v="11314"/>
    <n v="33"/>
    <x v="1"/>
    <x v="1"/>
    <x v="1"/>
    <x v="2"/>
    <s v="Single"/>
    <n v="51713"/>
    <n v="18918"/>
    <x v="3"/>
    <x v="6"/>
    <n v="3"/>
    <s v="Yes"/>
    <n v="3"/>
    <x v="1"/>
    <n v="29"/>
    <x v="2"/>
    <n v="3"/>
    <x v="0"/>
  </r>
  <r>
    <n v="11315"/>
    <n v="41"/>
    <x v="1"/>
    <x v="4"/>
    <x v="5"/>
    <x v="3"/>
    <s v="Married"/>
    <n v="135674"/>
    <n v="41159"/>
    <x v="14"/>
    <x v="1"/>
    <n v="4"/>
    <s v="No"/>
    <n v="3"/>
    <x v="2"/>
    <n v="17"/>
    <x v="0"/>
    <n v="3"/>
    <x v="0"/>
  </r>
  <r>
    <n v="11316"/>
    <n v="41"/>
    <x v="1"/>
    <x v="1"/>
    <x v="3"/>
    <x v="3"/>
    <s v="Divorced"/>
    <n v="98065"/>
    <n v="17622"/>
    <x v="17"/>
    <x v="2"/>
    <n v="3"/>
    <s v="No"/>
    <n v="3"/>
    <x v="19"/>
    <n v="58"/>
    <x v="2"/>
    <n v="3"/>
    <x v="0"/>
  </r>
  <r>
    <n v="11317"/>
    <n v="51"/>
    <x v="0"/>
    <x v="1"/>
    <x v="4"/>
    <x v="3"/>
    <s v="Single"/>
    <n v="42766"/>
    <n v="42738"/>
    <x v="12"/>
    <x v="3"/>
    <n v="1"/>
    <s v="No"/>
    <n v="3"/>
    <x v="34"/>
    <n v="38"/>
    <x v="3"/>
    <n v="3"/>
    <x v="0"/>
  </r>
  <r>
    <n v="11318"/>
    <n v="39"/>
    <x v="1"/>
    <x v="2"/>
    <x v="1"/>
    <x v="3"/>
    <s v="Single"/>
    <n v="60546"/>
    <n v="32667"/>
    <x v="13"/>
    <x v="2"/>
    <n v="3"/>
    <s v="Yes"/>
    <n v="4"/>
    <x v="27"/>
    <n v="12"/>
    <x v="0"/>
    <n v="4"/>
    <x v="0"/>
  </r>
  <r>
    <n v="11319"/>
    <n v="32"/>
    <x v="1"/>
    <x v="3"/>
    <x v="1"/>
    <x v="3"/>
    <s v="Married"/>
    <n v="65745"/>
    <n v="24488"/>
    <x v="21"/>
    <x v="6"/>
    <n v="2"/>
    <s v="No"/>
    <n v="1"/>
    <x v="33"/>
    <n v="51"/>
    <x v="0"/>
    <n v="4"/>
    <x v="1"/>
  </r>
  <r>
    <n v="11320"/>
    <n v="21"/>
    <x v="0"/>
    <x v="3"/>
    <x v="2"/>
    <x v="2"/>
    <s v="Divorced"/>
    <n v="11847"/>
    <n v="31072"/>
    <x v="9"/>
    <x v="1"/>
    <n v="2"/>
    <s v="Yes"/>
    <n v="2"/>
    <x v="5"/>
    <n v="16"/>
    <x v="0"/>
    <n v="1"/>
    <x v="0"/>
  </r>
  <r>
    <n v="11321"/>
    <n v="27"/>
    <x v="0"/>
    <x v="5"/>
    <x v="4"/>
    <x v="3"/>
    <s v="Single"/>
    <n v="37795"/>
    <n v="45201"/>
    <x v="2"/>
    <x v="7"/>
    <n v="3"/>
    <s v="Yes"/>
    <n v="3"/>
    <x v="4"/>
    <n v="6"/>
    <x v="3"/>
    <n v="1"/>
    <x v="0"/>
  </r>
  <r>
    <n v="11322"/>
    <n v="57"/>
    <x v="0"/>
    <x v="1"/>
    <x v="4"/>
    <x v="3"/>
    <s v="Single"/>
    <n v="27319"/>
    <n v="12446"/>
    <x v="10"/>
    <x v="13"/>
    <n v="3"/>
    <s v="Yes"/>
    <n v="4"/>
    <x v="38"/>
    <n v="17"/>
    <x v="0"/>
    <n v="1"/>
    <x v="0"/>
  </r>
  <r>
    <n v="11323"/>
    <n v="23"/>
    <x v="0"/>
    <x v="4"/>
    <x v="1"/>
    <x v="0"/>
    <s v="Single"/>
    <n v="63602"/>
    <n v="42759"/>
    <x v="16"/>
    <x v="13"/>
    <n v="3"/>
    <s v="No"/>
    <n v="3"/>
    <x v="4"/>
    <n v="52"/>
    <x v="0"/>
    <n v="2"/>
    <x v="0"/>
  </r>
  <r>
    <n v="11324"/>
    <n v="28"/>
    <x v="0"/>
    <x v="2"/>
    <x v="4"/>
    <x v="3"/>
    <s v="Single"/>
    <n v="40817"/>
    <n v="10087"/>
    <x v="1"/>
    <x v="7"/>
    <n v="3"/>
    <s v="No"/>
    <n v="4"/>
    <x v="0"/>
    <n v="25"/>
    <x v="0"/>
    <n v="2"/>
    <x v="0"/>
  </r>
  <r>
    <n v="11325"/>
    <n v="55"/>
    <x v="1"/>
    <x v="4"/>
    <x v="4"/>
    <x v="3"/>
    <s v="Single"/>
    <n v="44589"/>
    <n v="43777"/>
    <x v="7"/>
    <x v="6"/>
    <n v="5"/>
    <s v="No"/>
    <n v="3"/>
    <x v="4"/>
    <n v="17"/>
    <x v="0"/>
    <n v="2"/>
    <x v="0"/>
  </r>
  <r>
    <n v="11326"/>
    <n v="39"/>
    <x v="0"/>
    <x v="1"/>
    <x v="3"/>
    <x v="2"/>
    <s v="Married"/>
    <n v="127275"/>
    <n v="49347"/>
    <x v="17"/>
    <x v="2"/>
    <n v="4"/>
    <s v="No"/>
    <n v="3"/>
    <x v="31"/>
    <n v="41"/>
    <x v="0"/>
    <n v="3"/>
    <x v="0"/>
  </r>
  <r>
    <n v="11327"/>
    <n v="51"/>
    <x v="0"/>
    <x v="2"/>
    <x v="2"/>
    <x v="2"/>
    <s v="Single"/>
    <n v="12435"/>
    <n v="20559"/>
    <x v="2"/>
    <x v="4"/>
    <n v="4"/>
    <s v="Yes"/>
    <n v="3"/>
    <x v="37"/>
    <n v="25"/>
    <x v="0"/>
    <n v="1"/>
    <x v="0"/>
  </r>
  <r>
    <n v="11328"/>
    <n v="55"/>
    <x v="1"/>
    <x v="5"/>
    <x v="4"/>
    <x v="0"/>
    <s v="Single"/>
    <n v="43525"/>
    <n v="7534"/>
    <x v="23"/>
    <x v="1"/>
    <n v="2"/>
    <s v="No"/>
    <n v="2"/>
    <x v="1"/>
    <n v="36"/>
    <x v="2"/>
    <n v="1"/>
    <x v="1"/>
  </r>
  <r>
    <n v="11329"/>
    <n v="26"/>
    <x v="0"/>
    <x v="2"/>
    <x v="0"/>
    <x v="2"/>
    <s v="Single"/>
    <n v="63901"/>
    <n v="15314"/>
    <x v="9"/>
    <x v="7"/>
    <n v="4"/>
    <s v="Yes"/>
    <n v="3"/>
    <x v="36"/>
    <n v="36"/>
    <x v="0"/>
    <n v="3"/>
    <x v="0"/>
  </r>
  <r>
    <n v="11330"/>
    <n v="48"/>
    <x v="0"/>
    <x v="3"/>
    <x v="4"/>
    <x v="2"/>
    <s v="Divorced"/>
    <n v="40327"/>
    <n v="15009"/>
    <x v="3"/>
    <x v="3"/>
    <n v="3"/>
    <s v="No"/>
    <n v="3"/>
    <x v="6"/>
    <n v="29"/>
    <x v="0"/>
    <n v="3"/>
    <x v="0"/>
  </r>
  <r>
    <n v="11331"/>
    <n v="54"/>
    <x v="1"/>
    <x v="3"/>
    <x v="2"/>
    <x v="0"/>
    <s v="Married"/>
    <n v="17050"/>
    <n v="7004"/>
    <x v="17"/>
    <x v="3"/>
    <n v="4"/>
    <s v="No"/>
    <n v="3"/>
    <x v="26"/>
    <n v="22"/>
    <x v="2"/>
    <n v="3"/>
    <x v="1"/>
  </r>
  <r>
    <n v="11332"/>
    <n v="46"/>
    <x v="0"/>
    <x v="1"/>
    <x v="3"/>
    <x v="2"/>
    <s v="Divorced"/>
    <n v="100283"/>
    <n v="22016"/>
    <x v="21"/>
    <x v="14"/>
    <n v="3"/>
    <s v="Yes"/>
    <n v="2"/>
    <x v="12"/>
    <n v="24"/>
    <x v="2"/>
    <n v="4"/>
    <x v="0"/>
  </r>
  <r>
    <n v="11333"/>
    <n v="31"/>
    <x v="0"/>
    <x v="0"/>
    <x v="5"/>
    <x v="0"/>
    <s v="Married"/>
    <n v="135494"/>
    <n v="32098"/>
    <x v="3"/>
    <x v="8"/>
    <n v="5"/>
    <s v="No"/>
    <n v="3"/>
    <x v="14"/>
    <n v="44"/>
    <x v="0"/>
    <n v="4"/>
    <x v="0"/>
  </r>
  <r>
    <n v="11334"/>
    <n v="48"/>
    <x v="0"/>
    <x v="2"/>
    <x v="3"/>
    <x v="0"/>
    <s v="Single"/>
    <n v="103096"/>
    <n v="34483"/>
    <x v="0"/>
    <x v="5"/>
    <n v="3"/>
    <s v="No"/>
    <n v="3"/>
    <x v="13"/>
    <n v="58"/>
    <x v="3"/>
    <n v="3"/>
    <x v="0"/>
  </r>
  <r>
    <n v="11335"/>
    <n v="34"/>
    <x v="0"/>
    <x v="2"/>
    <x v="4"/>
    <x v="2"/>
    <s v="Married"/>
    <n v="30322"/>
    <n v="18134"/>
    <x v="11"/>
    <x v="12"/>
    <n v="3"/>
    <s v="No"/>
    <n v="1"/>
    <x v="20"/>
    <n v="41"/>
    <x v="0"/>
    <n v="2"/>
    <x v="0"/>
  </r>
  <r>
    <n v="11336"/>
    <n v="33"/>
    <x v="0"/>
    <x v="2"/>
    <x v="3"/>
    <x v="0"/>
    <s v="Married"/>
    <n v="127992"/>
    <n v="25104"/>
    <x v="13"/>
    <x v="4"/>
    <n v="4"/>
    <s v="No"/>
    <n v="4"/>
    <x v="38"/>
    <n v="53"/>
    <x v="3"/>
    <n v="1"/>
    <x v="0"/>
  </r>
  <r>
    <n v="11337"/>
    <n v="24"/>
    <x v="0"/>
    <x v="5"/>
    <x v="2"/>
    <x v="2"/>
    <s v="Married"/>
    <n v="17530"/>
    <n v="36036"/>
    <x v="22"/>
    <x v="10"/>
    <n v="4"/>
    <s v="No"/>
    <n v="3"/>
    <x v="11"/>
    <n v="11"/>
    <x v="1"/>
    <n v="3"/>
    <x v="0"/>
  </r>
  <r>
    <n v="11338"/>
    <n v="57"/>
    <x v="1"/>
    <x v="2"/>
    <x v="1"/>
    <x v="3"/>
    <s v="Single"/>
    <n v="45679"/>
    <n v="48710"/>
    <x v="22"/>
    <x v="3"/>
    <n v="1"/>
    <s v="Yes"/>
    <n v="4"/>
    <x v="38"/>
    <n v="52"/>
    <x v="0"/>
    <n v="3"/>
    <x v="0"/>
  </r>
  <r>
    <n v="11339"/>
    <n v="42"/>
    <x v="1"/>
    <x v="3"/>
    <x v="0"/>
    <x v="2"/>
    <s v="Single"/>
    <n v="61235"/>
    <n v="23804"/>
    <x v="13"/>
    <x v="12"/>
    <n v="3"/>
    <s v="No"/>
    <n v="3"/>
    <x v="21"/>
    <n v="44"/>
    <x v="3"/>
    <n v="3"/>
    <x v="0"/>
  </r>
  <r>
    <n v="11340"/>
    <n v="27"/>
    <x v="0"/>
    <x v="3"/>
    <x v="3"/>
    <x v="0"/>
    <s v="Divorced"/>
    <n v="114003"/>
    <n v="6476"/>
    <x v="20"/>
    <x v="4"/>
    <n v="5"/>
    <s v="No"/>
    <n v="1"/>
    <x v="15"/>
    <n v="46"/>
    <x v="0"/>
    <n v="4"/>
    <x v="1"/>
  </r>
  <r>
    <n v="11341"/>
    <n v="43"/>
    <x v="0"/>
    <x v="2"/>
    <x v="3"/>
    <x v="2"/>
    <s v="Married"/>
    <n v="91628"/>
    <n v="28880"/>
    <x v="4"/>
    <x v="11"/>
    <n v="3"/>
    <s v="Yes"/>
    <n v="4"/>
    <x v="3"/>
    <n v="24"/>
    <x v="0"/>
    <n v="3"/>
    <x v="0"/>
  </r>
  <r>
    <n v="11342"/>
    <n v="45"/>
    <x v="0"/>
    <x v="5"/>
    <x v="1"/>
    <x v="2"/>
    <s v="Divorced"/>
    <n v="63884"/>
    <n v="35912"/>
    <x v="5"/>
    <x v="9"/>
    <n v="2"/>
    <s v="Yes"/>
    <n v="2"/>
    <x v="24"/>
    <n v="24"/>
    <x v="0"/>
    <n v="4"/>
    <x v="0"/>
  </r>
  <r>
    <n v="11343"/>
    <n v="38"/>
    <x v="0"/>
    <x v="2"/>
    <x v="1"/>
    <x v="2"/>
    <s v="Single"/>
    <n v="58054"/>
    <n v="21459"/>
    <x v="9"/>
    <x v="7"/>
    <n v="5"/>
    <s v="Yes"/>
    <n v="3"/>
    <x v="24"/>
    <n v="11"/>
    <x v="0"/>
    <n v="2"/>
    <x v="0"/>
  </r>
  <r>
    <n v="11344"/>
    <n v="37"/>
    <x v="1"/>
    <x v="1"/>
    <x v="4"/>
    <x v="0"/>
    <s v="Married"/>
    <n v="25178"/>
    <n v="22049"/>
    <x v="1"/>
    <x v="8"/>
    <n v="3"/>
    <s v="No"/>
    <n v="4"/>
    <x v="28"/>
    <n v="59"/>
    <x v="2"/>
    <n v="3"/>
    <x v="1"/>
  </r>
  <r>
    <n v="11345"/>
    <n v="36"/>
    <x v="0"/>
    <x v="2"/>
    <x v="1"/>
    <x v="1"/>
    <s v="Single"/>
    <n v="66010"/>
    <n v="5737"/>
    <x v="4"/>
    <x v="2"/>
    <n v="4"/>
    <s v="Yes"/>
    <n v="3"/>
    <x v="26"/>
    <n v="50"/>
    <x v="0"/>
    <n v="3"/>
    <x v="0"/>
  </r>
  <r>
    <n v="11346"/>
    <n v="48"/>
    <x v="1"/>
    <x v="2"/>
    <x v="0"/>
    <x v="1"/>
    <s v="Married"/>
    <n v="69121"/>
    <n v="34867"/>
    <x v="6"/>
    <x v="0"/>
    <n v="3"/>
    <s v="No"/>
    <n v="4"/>
    <x v="17"/>
    <n v="30"/>
    <x v="1"/>
    <n v="1"/>
    <x v="0"/>
  </r>
  <r>
    <n v="11347"/>
    <n v="46"/>
    <x v="0"/>
    <x v="2"/>
    <x v="4"/>
    <x v="3"/>
    <s v="Single"/>
    <n v="44500"/>
    <n v="4628"/>
    <x v="20"/>
    <x v="11"/>
    <n v="3"/>
    <s v="No"/>
    <n v="2"/>
    <x v="31"/>
    <n v="13"/>
    <x v="0"/>
    <n v="3"/>
    <x v="0"/>
  </r>
  <r>
    <n v="11348"/>
    <n v="32"/>
    <x v="0"/>
    <x v="3"/>
    <x v="2"/>
    <x v="2"/>
    <s v="Single"/>
    <n v="16373"/>
    <n v="49366"/>
    <x v="21"/>
    <x v="3"/>
    <n v="4"/>
    <s v="No"/>
    <n v="1"/>
    <x v="9"/>
    <n v="18"/>
    <x v="0"/>
    <n v="2"/>
    <x v="0"/>
  </r>
  <r>
    <n v="11349"/>
    <n v="55"/>
    <x v="0"/>
    <x v="0"/>
    <x v="4"/>
    <x v="3"/>
    <s v="Single"/>
    <n v="25002"/>
    <n v="42855"/>
    <x v="12"/>
    <x v="0"/>
    <n v="3"/>
    <s v="No"/>
    <n v="4"/>
    <x v="5"/>
    <n v="41"/>
    <x v="3"/>
    <n v="3"/>
    <x v="0"/>
  </r>
  <r>
    <n v="11350"/>
    <n v="37"/>
    <x v="0"/>
    <x v="2"/>
    <x v="4"/>
    <x v="2"/>
    <s v="Single"/>
    <n v="43859"/>
    <n v="13635"/>
    <x v="22"/>
    <x v="13"/>
    <n v="4"/>
    <s v="No"/>
    <n v="1"/>
    <x v="1"/>
    <n v="55"/>
    <x v="3"/>
    <n v="3"/>
    <x v="0"/>
  </r>
  <r>
    <n v="11351"/>
    <n v="41"/>
    <x v="1"/>
    <x v="1"/>
    <x v="4"/>
    <x v="2"/>
    <s v="Married"/>
    <n v="25835"/>
    <n v="16104"/>
    <x v="7"/>
    <x v="9"/>
    <n v="2"/>
    <s v="No"/>
    <n v="2"/>
    <x v="19"/>
    <n v="10"/>
    <x v="3"/>
    <n v="4"/>
    <x v="0"/>
  </r>
  <r>
    <n v="11352"/>
    <n v="38"/>
    <x v="0"/>
    <x v="2"/>
    <x v="3"/>
    <x v="1"/>
    <s v="Married"/>
    <n v="129398"/>
    <n v="3642"/>
    <x v="6"/>
    <x v="5"/>
    <n v="3"/>
    <s v="Yes"/>
    <n v="3"/>
    <x v="14"/>
    <n v="37"/>
    <x v="1"/>
    <n v="3"/>
    <x v="0"/>
  </r>
  <r>
    <n v="11353"/>
    <n v="56"/>
    <x v="0"/>
    <x v="1"/>
    <x v="4"/>
    <x v="2"/>
    <s v="Married"/>
    <n v="40698"/>
    <n v="3860"/>
    <x v="11"/>
    <x v="9"/>
    <n v="4"/>
    <s v="No"/>
    <n v="1"/>
    <x v="0"/>
    <n v="19"/>
    <x v="3"/>
    <n v="2"/>
    <x v="0"/>
  </r>
  <r>
    <n v="11354"/>
    <n v="51"/>
    <x v="0"/>
    <x v="2"/>
    <x v="1"/>
    <x v="2"/>
    <s v="Single"/>
    <n v="64957"/>
    <n v="25551"/>
    <x v="11"/>
    <x v="6"/>
    <n v="4"/>
    <s v="Yes"/>
    <n v="4"/>
    <x v="2"/>
    <n v="30"/>
    <x v="3"/>
    <n v="4"/>
    <x v="0"/>
  </r>
  <r>
    <n v="11355"/>
    <n v="40"/>
    <x v="0"/>
    <x v="5"/>
    <x v="3"/>
    <x v="3"/>
    <s v="Single"/>
    <n v="92497"/>
    <n v="45567"/>
    <x v="24"/>
    <x v="14"/>
    <n v="3"/>
    <s v="No"/>
    <n v="3"/>
    <x v="5"/>
    <n v="57"/>
    <x v="3"/>
    <n v="3"/>
    <x v="0"/>
  </r>
  <r>
    <n v="11356"/>
    <n v="42"/>
    <x v="1"/>
    <x v="4"/>
    <x v="3"/>
    <x v="2"/>
    <s v="Single"/>
    <n v="121976"/>
    <n v="33436"/>
    <x v="18"/>
    <x v="7"/>
    <n v="3"/>
    <s v="No"/>
    <n v="1"/>
    <x v="38"/>
    <n v="51"/>
    <x v="3"/>
    <n v="3"/>
    <x v="0"/>
  </r>
  <r>
    <n v="11357"/>
    <n v="49"/>
    <x v="0"/>
    <x v="2"/>
    <x v="1"/>
    <x v="3"/>
    <s v="Divorced"/>
    <n v="59132"/>
    <n v="19099"/>
    <x v="22"/>
    <x v="9"/>
    <n v="2"/>
    <s v="No"/>
    <n v="4"/>
    <x v="13"/>
    <n v="44"/>
    <x v="3"/>
    <n v="2"/>
    <x v="0"/>
  </r>
  <r>
    <n v="11358"/>
    <n v="43"/>
    <x v="1"/>
    <x v="2"/>
    <x v="1"/>
    <x v="2"/>
    <s v="Single"/>
    <n v="59590"/>
    <n v="38877"/>
    <x v="12"/>
    <x v="12"/>
    <n v="3"/>
    <s v="No"/>
    <n v="3"/>
    <x v="28"/>
    <n v="45"/>
    <x v="3"/>
    <n v="2"/>
    <x v="1"/>
  </r>
  <r>
    <n v="11359"/>
    <n v="34"/>
    <x v="0"/>
    <x v="0"/>
    <x v="4"/>
    <x v="2"/>
    <s v="Single"/>
    <n v="32765"/>
    <n v="47865"/>
    <x v="22"/>
    <x v="4"/>
    <n v="4"/>
    <s v="Yes"/>
    <n v="3"/>
    <x v="6"/>
    <n v="33"/>
    <x v="1"/>
    <n v="2"/>
    <x v="0"/>
  </r>
  <r>
    <n v="11360"/>
    <n v="40"/>
    <x v="0"/>
    <x v="3"/>
    <x v="0"/>
    <x v="1"/>
    <s v="Married"/>
    <n v="82244"/>
    <n v="42852"/>
    <x v="3"/>
    <x v="10"/>
    <n v="3"/>
    <s v="No"/>
    <n v="2"/>
    <x v="1"/>
    <n v="34"/>
    <x v="2"/>
    <n v="4"/>
    <x v="1"/>
  </r>
  <r>
    <n v="11361"/>
    <n v="51"/>
    <x v="1"/>
    <x v="2"/>
    <x v="1"/>
    <x v="0"/>
    <s v="Single"/>
    <n v="63560"/>
    <n v="25530"/>
    <x v="11"/>
    <x v="6"/>
    <n v="4"/>
    <s v="No"/>
    <n v="1"/>
    <x v="33"/>
    <n v="45"/>
    <x v="3"/>
    <n v="1"/>
    <x v="0"/>
  </r>
  <r>
    <n v="11362"/>
    <n v="39"/>
    <x v="1"/>
    <x v="2"/>
    <x v="4"/>
    <x v="2"/>
    <s v="Single"/>
    <n v="36737"/>
    <n v="744"/>
    <x v="4"/>
    <x v="2"/>
    <n v="4"/>
    <s v="No"/>
    <n v="4"/>
    <x v="26"/>
    <n v="20"/>
    <x v="1"/>
    <n v="2"/>
    <x v="0"/>
  </r>
  <r>
    <n v="11363"/>
    <n v="58"/>
    <x v="0"/>
    <x v="2"/>
    <x v="0"/>
    <x v="0"/>
    <s v="Married"/>
    <n v="60411"/>
    <n v="8349"/>
    <x v="21"/>
    <x v="7"/>
    <n v="5"/>
    <s v="Yes"/>
    <n v="3"/>
    <x v="3"/>
    <n v="19"/>
    <x v="3"/>
    <n v="2"/>
    <x v="0"/>
  </r>
  <r>
    <n v="11364"/>
    <n v="33"/>
    <x v="0"/>
    <x v="0"/>
    <x v="4"/>
    <x v="0"/>
    <s v="Married"/>
    <n v="36662"/>
    <n v="12236"/>
    <x v="14"/>
    <x v="13"/>
    <n v="5"/>
    <s v="No"/>
    <n v="4"/>
    <x v="0"/>
    <n v="21"/>
    <x v="0"/>
    <n v="4"/>
    <x v="0"/>
  </r>
  <r>
    <n v="11365"/>
    <n v="47"/>
    <x v="0"/>
    <x v="2"/>
    <x v="0"/>
    <x v="0"/>
    <s v="Married"/>
    <n v="70379"/>
    <n v="24031"/>
    <x v="13"/>
    <x v="13"/>
    <n v="3"/>
    <s v="No"/>
    <n v="4"/>
    <x v="9"/>
    <n v="14"/>
    <x v="0"/>
    <n v="3"/>
    <x v="0"/>
  </r>
  <r>
    <n v="11366"/>
    <n v="40"/>
    <x v="1"/>
    <x v="2"/>
    <x v="4"/>
    <x v="2"/>
    <s v="Divorced"/>
    <n v="44268"/>
    <n v="40139"/>
    <x v="24"/>
    <x v="4"/>
    <n v="4"/>
    <s v="Yes"/>
    <n v="4"/>
    <x v="13"/>
    <n v="40"/>
    <x v="3"/>
    <n v="3"/>
    <x v="0"/>
  </r>
  <r>
    <n v="11367"/>
    <n v="36"/>
    <x v="1"/>
    <x v="5"/>
    <x v="1"/>
    <x v="0"/>
    <s v="Married"/>
    <n v="62655"/>
    <n v="8928"/>
    <x v="3"/>
    <x v="14"/>
    <n v="4"/>
    <s v="No"/>
    <n v="4"/>
    <x v="23"/>
    <n v="35"/>
    <x v="1"/>
    <n v="2"/>
    <x v="0"/>
  </r>
  <r>
    <n v="11368"/>
    <n v="40"/>
    <x v="0"/>
    <x v="3"/>
    <x v="4"/>
    <x v="0"/>
    <s v="Divorced"/>
    <n v="29427"/>
    <n v="15319"/>
    <x v="0"/>
    <x v="13"/>
    <n v="3"/>
    <s v="Yes"/>
    <n v="2"/>
    <x v="35"/>
    <n v="55"/>
    <x v="1"/>
    <n v="3"/>
    <x v="1"/>
  </r>
  <r>
    <n v="11369"/>
    <n v="52"/>
    <x v="0"/>
    <x v="5"/>
    <x v="1"/>
    <x v="2"/>
    <s v="Single"/>
    <n v="55395"/>
    <n v="22670"/>
    <x v="21"/>
    <x v="11"/>
    <n v="4"/>
    <s v="No"/>
    <n v="4"/>
    <x v="27"/>
    <n v="8"/>
    <x v="3"/>
    <n v="4"/>
    <x v="0"/>
  </r>
  <r>
    <n v="11370"/>
    <n v="41"/>
    <x v="1"/>
    <x v="5"/>
    <x v="1"/>
    <x v="2"/>
    <s v="Single"/>
    <n v="68280"/>
    <n v="28499"/>
    <x v="3"/>
    <x v="7"/>
    <n v="3"/>
    <s v="No"/>
    <n v="3"/>
    <x v="37"/>
    <n v="46"/>
    <x v="0"/>
    <n v="2"/>
    <x v="0"/>
  </r>
  <r>
    <n v="11371"/>
    <n v="56"/>
    <x v="1"/>
    <x v="0"/>
    <x v="4"/>
    <x v="3"/>
    <s v="Single"/>
    <n v="27694"/>
    <n v="10061"/>
    <x v="24"/>
    <x v="10"/>
    <n v="5"/>
    <s v="No"/>
    <n v="3"/>
    <x v="31"/>
    <n v="33"/>
    <x v="0"/>
    <n v="3"/>
    <x v="0"/>
  </r>
  <r>
    <n v="11372"/>
    <n v="57"/>
    <x v="1"/>
    <x v="2"/>
    <x v="1"/>
    <x v="3"/>
    <s v="Single"/>
    <n v="65417"/>
    <n v="9127"/>
    <x v="18"/>
    <x v="1"/>
    <n v="4"/>
    <s v="No"/>
    <n v="1"/>
    <x v="34"/>
    <n v="53"/>
    <x v="3"/>
    <n v="3"/>
    <x v="0"/>
  </r>
  <r>
    <n v="11373"/>
    <n v="21"/>
    <x v="0"/>
    <x v="3"/>
    <x v="3"/>
    <x v="3"/>
    <s v="Married"/>
    <n v="125301"/>
    <n v="11353"/>
    <x v="14"/>
    <x v="7"/>
    <n v="1"/>
    <s v="No"/>
    <n v="3"/>
    <x v="26"/>
    <n v="20"/>
    <x v="3"/>
    <n v="2"/>
    <x v="0"/>
  </r>
  <r>
    <n v="11374"/>
    <n v="47"/>
    <x v="0"/>
    <x v="0"/>
    <x v="3"/>
    <x v="0"/>
    <s v="Married"/>
    <n v="100160"/>
    <n v="7601"/>
    <x v="19"/>
    <x v="3"/>
    <n v="2"/>
    <s v="Yes"/>
    <n v="3"/>
    <x v="25"/>
    <n v="9"/>
    <x v="0"/>
    <n v="1"/>
    <x v="1"/>
  </r>
  <r>
    <n v="11375"/>
    <n v="54"/>
    <x v="0"/>
    <x v="5"/>
    <x v="2"/>
    <x v="2"/>
    <s v="Married"/>
    <n v="13967"/>
    <n v="29458"/>
    <x v="2"/>
    <x v="6"/>
    <n v="2"/>
    <s v="Yes"/>
    <n v="2"/>
    <x v="24"/>
    <n v="18"/>
    <x v="3"/>
    <n v="2"/>
    <x v="0"/>
  </r>
  <r>
    <n v="11376"/>
    <n v="56"/>
    <x v="1"/>
    <x v="1"/>
    <x v="4"/>
    <x v="0"/>
    <s v="Divorced"/>
    <n v="31436"/>
    <n v="47370"/>
    <x v="6"/>
    <x v="4"/>
    <n v="3"/>
    <s v="No"/>
    <n v="2"/>
    <x v="5"/>
    <n v="11"/>
    <x v="0"/>
    <n v="1"/>
    <x v="0"/>
  </r>
  <r>
    <n v="11377"/>
    <n v="44"/>
    <x v="0"/>
    <x v="4"/>
    <x v="5"/>
    <x v="3"/>
    <s v="Single"/>
    <n v="154691"/>
    <n v="9776"/>
    <x v="7"/>
    <x v="1"/>
    <n v="3"/>
    <s v="No"/>
    <n v="3"/>
    <x v="4"/>
    <n v="54"/>
    <x v="3"/>
    <n v="2"/>
    <x v="0"/>
  </r>
  <r>
    <n v="11378"/>
    <n v="42"/>
    <x v="1"/>
    <x v="3"/>
    <x v="4"/>
    <x v="0"/>
    <s v="Married"/>
    <n v="28724"/>
    <n v="40685"/>
    <x v="14"/>
    <x v="6"/>
    <n v="2"/>
    <s v="No"/>
    <n v="2"/>
    <x v="31"/>
    <n v="45"/>
    <x v="1"/>
    <n v="2"/>
    <x v="0"/>
  </r>
  <r>
    <n v="11379"/>
    <n v="22"/>
    <x v="1"/>
    <x v="1"/>
    <x v="4"/>
    <x v="3"/>
    <s v="Single"/>
    <n v="32868"/>
    <n v="3637"/>
    <x v="24"/>
    <x v="0"/>
    <n v="5"/>
    <s v="No"/>
    <n v="3"/>
    <x v="28"/>
    <n v="40"/>
    <x v="0"/>
    <n v="3"/>
    <x v="0"/>
  </r>
  <r>
    <n v="11380"/>
    <n v="24"/>
    <x v="0"/>
    <x v="1"/>
    <x v="1"/>
    <x v="2"/>
    <s v="Divorced"/>
    <n v="63833"/>
    <n v="40263"/>
    <x v="4"/>
    <x v="10"/>
    <n v="3"/>
    <s v="No"/>
    <n v="3"/>
    <x v="23"/>
    <n v="27"/>
    <x v="0"/>
    <n v="2"/>
    <x v="0"/>
  </r>
  <r>
    <n v="11381"/>
    <n v="41"/>
    <x v="1"/>
    <x v="2"/>
    <x v="4"/>
    <x v="3"/>
    <s v="Divorced"/>
    <n v="35887"/>
    <n v="4757"/>
    <x v="21"/>
    <x v="11"/>
    <n v="3"/>
    <s v="No"/>
    <n v="3"/>
    <x v="38"/>
    <n v="28"/>
    <x v="3"/>
    <n v="3"/>
    <x v="0"/>
  </r>
  <r>
    <n v="11382"/>
    <n v="39"/>
    <x v="1"/>
    <x v="0"/>
    <x v="1"/>
    <x v="0"/>
    <s v="Married"/>
    <n v="53462"/>
    <n v="20098"/>
    <x v="22"/>
    <x v="12"/>
    <n v="3"/>
    <s v="No"/>
    <n v="3"/>
    <x v="11"/>
    <n v="29"/>
    <x v="1"/>
    <n v="3"/>
    <x v="0"/>
  </r>
  <r>
    <n v="11383"/>
    <n v="20"/>
    <x v="0"/>
    <x v="2"/>
    <x v="3"/>
    <x v="2"/>
    <s v="Married"/>
    <n v="106746"/>
    <n v="32039"/>
    <x v="24"/>
    <x v="5"/>
    <n v="3"/>
    <s v="Yes"/>
    <n v="4"/>
    <x v="25"/>
    <n v="26"/>
    <x v="0"/>
    <n v="2"/>
    <x v="0"/>
  </r>
  <r>
    <n v="11384"/>
    <n v="37"/>
    <x v="0"/>
    <x v="3"/>
    <x v="0"/>
    <x v="3"/>
    <s v="Single"/>
    <n v="72940"/>
    <n v="48408"/>
    <x v="4"/>
    <x v="0"/>
    <n v="5"/>
    <s v="No"/>
    <n v="4"/>
    <x v="18"/>
    <n v="40"/>
    <x v="3"/>
    <n v="3"/>
    <x v="1"/>
  </r>
  <r>
    <n v="11385"/>
    <n v="23"/>
    <x v="0"/>
    <x v="3"/>
    <x v="0"/>
    <x v="2"/>
    <s v="Married"/>
    <n v="89757"/>
    <n v="5906"/>
    <x v="5"/>
    <x v="7"/>
    <n v="1"/>
    <s v="No"/>
    <n v="4"/>
    <x v="13"/>
    <n v="23"/>
    <x v="1"/>
    <n v="3"/>
    <x v="0"/>
  </r>
  <r>
    <n v="11386"/>
    <n v="45"/>
    <x v="0"/>
    <x v="0"/>
    <x v="3"/>
    <x v="2"/>
    <s v="Single"/>
    <n v="93966"/>
    <n v="20457"/>
    <x v="23"/>
    <x v="1"/>
    <n v="3"/>
    <s v="No"/>
    <n v="1"/>
    <x v="30"/>
    <n v="56"/>
    <x v="3"/>
    <n v="3"/>
    <x v="0"/>
  </r>
  <r>
    <n v="11387"/>
    <n v="48"/>
    <x v="0"/>
    <x v="2"/>
    <x v="5"/>
    <x v="3"/>
    <s v="Single"/>
    <n v="123032"/>
    <n v="21278"/>
    <x v="1"/>
    <x v="2"/>
    <n v="5"/>
    <s v="Yes"/>
    <n v="3"/>
    <x v="30"/>
    <n v="13"/>
    <x v="0"/>
    <n v="4"/>
    <x v="0"/>
  </r>
  <r>
    <n v="11388"/>
    <n v="39"/>
    <x v="0"/>
    <x v="2"/>
    <x v="1"/>
    <x v="2"/>
    <s v="Married"/>
    <n v="65859"/>
    <n v="25551"/>
    <x v="18"/>
    <x v="7"/>
    <n v="4"/>
    <s v="No"/>
    <n v="2"/>
    <x v="27"/>
    <n v="41"/>
    <x v="0"/>
    <n v="4"/>
    <x v="0"/>
  </r>
  <r>
    <n v="11389"/>
    <n v="46"/>
    <x v="0"/>
    <x v="0"/>
    <x v="2"/>
    <x v="2"/>
    <s v="Single"/>
    <n v="18797"/>
    <n v="42495"/>
    <x v="2"/>
    <x v="1"/>
    <n v="2"/>
    <s v="No"/>
    <n v="3"/>
    <x v="12"/>
    <n v="47"/>
    <x v="1"/>
    <n v="2"/>
    <x v="0"/>
  </r>
  <r>
    <n v="11390"/>
    <n v="43"/>
    <x v="1"/>
    <x v="3"/>
    <x v="4"/>
    <x v="2"/>
    <s v="Single"/>
    <n v="35929"/>
    <n v="48489"/>
    <x v="11"/>
    <x v="7"/>
    <n v="4"/>
    <s v="No"/>
    <n v="3"/>
    <x v="7"/>
    <n v="50"/>
    <x v="0"/>
    <n v="3"/>
    <x v="0"/>
  </r>
  <r>
    <n v="11391"/>
    <n v="51"/>
    <x v="0"/>
    <x v="1"/>
    <x v="5"/>
    <x v="2"/>
    <s v="Married"/>
    <n v="129098"/>
    <n v="47207"/>
    <x v="23"/>
    <x v="8"/>
    <n v="5"/>
    <s v="No"/>
    <n v="2"/>
    <x v="12"/>
    <n v="39"/>
    <x v="0"/>
    <n v="1"/>
    <x v="0"/>
  </r>
  <r>
    <n v="11392"/>
    <n v="37"/>
    <x v="0"/>
    <x v="4"/>
    <x v="1"/>
    <x v="1"/>
    <s v="Single"/>
    <n v="55356"/>
    <n v="39772"/>
    <x v="20"/>
    <x v="12"/>
    <n v="3"/>
    <s v="No"/>
    <n v="3"/>
    <x v="18"/>
    <n v="22"/>
    <x v="2"/>
    <n v="2"/>
    <x v="0"/>
  </r>
  <r>
    <n v="11393"/>
    <n v="42"/>
    <x v="0"/>
    <x v="2"/>
    <x v="3"/>
    <x v="2"/>
    <s v="Single"/>
    <n v="115196"/>
    <n v="6704"/>
    <x v="20"/>
    <x v="12"/>
    <n v="3"/>
    <s v="No"/>
    <n v="4"/>
    <x v="29"/>
    <n v="36"/>
    <x v="0"/>
    <n v="3"/>
    <x v="0"/>
  </r>
  <r>
    <n v="11394"/>
    <n v="34"/>
    <x v="0"/>
    <x v="2"/>
    <x v="3"/>
    <x v="2"/>
    <s v="Divorced"/>
    <n v="94184"/>
    <n v="24549"/>
    <x v="17"/>
    <x v="8"/>
    <n v="3"/>
    <s v="Yes"/>
    <n v="4"/>
    <x v="11"/>
    <n v="26"/>
    <x v="1"/>
    <n v="4"/>
    <x v="0"/>
  </r>
  <r>
    <n v="11395"/>
    <n v="25"/>
    <x v="1"/>
    <x v="5"/>
    <x v="0"/>
    <x v="2"/>
    <s v="Married"/>
    <n v="79091"/>
    <n v="15648"/>
    <x v="13"/>
    <x v="10"/>
    <n v="3"/>
    <s v="No"/>
    <n v="2"/>
    <x v="33"/>
    <n v="46"/>
    <x v="2"/>
    <n v="4"/>
    <x v="1"/>
  </r>
  <r>
    <n v="11396"/>
    <n v="21"/>
    <x v="1"/>
    <x v="3"/>
    <x v="5"/>
    <x v="2"/>
    <s v="Married"/>
    <n v="136035"/>
    <n v="9074"/>
    <x v="16"/>
    <x v="1"/>
    <n v="3"/>
    <s v="No"/>
    <n v="1"/>
    <x v="27"/>
    <n v="37"/>
    <x v="3"/>
    <n v="3"/>
    <x v="1"/>
  </r>
  <r>
    <n v="11397"/>
    <n v="30"/>
    <x v="0"/>
    <x v="2"/>
    <x v="4"/>
    <x v="1"/>
    <s v="Single"/>
    <n v="39717"/>
    <n v="23014"/>
    <x v="2"/>
    <x v="3"/>
    <n v="3"/>
    <s v="No"/>
    <n v="1"/>
    <x v="16"/>
    <n v="47"/>
    <x v="2"/>
    <n v="4"/>
    <x v="1"/>
  </r>
  <r>
    <n v="11398"/>
    <n v="58"/>
    <x v="0"/>
    <x v="0"/>
    <x v="0"/>
    <x v="2"/>
    <s v="Single"/>
    <n v="74239"/>
    <n v="36437"/>
    <x v="23"/>
    <x v="9"/>
    <n v="3"/>
    <s v="No"/>
    <n v="3"/>
    <x v="20"/>
    <n v="35"/>
    <x v="3"/>
    <n v="1"/>
    <x v="0"/>
  </r>
  <r>
    <n v="11399"/>
    <n v="47"/>
    <x v="1"/>
    <x v="4"/>
    <x v="0"/>
    <x v="2"/>
    <s v="Married"/>
    <n v="76958"/>
    <n v="40566"/>
    <x v="14"/>
    <x v="10"/>
    <n v="3"/>
    <s v="Yes"/>
    <n v="3"/>
    <x v="36"/>
    <n v="52"/>
    <x v="0"/>
    <n v="3"/>
    <x v="0"/>
  </r>
  <r>
    <n v="11400"/>
    <n v="58"/>
    <x v="0"/>
    <x v="1"/>
    <x v="0"/>
    <x v="2"/>
    <s v="Single"/>
    <n v="75865"/>
    <n v="5477"/>
    <x v="5"/>
    <x v="14"/>
    <n v="3"/>
    <s v="No"/>
    <n v="3"/>
    <x v="11"/>
    <n v="53"/>
    <x v="0"/>
    <n v="4"/>
    <x v="0"/>
  </r>
  <r>
    <n v="11401"/>
    <n v="49"/>
    <x v="0"/>
    <x v="3"/>
    <x v="4"/>
    <x v="1"/>
    <s v="Divorced"/>
    <n v="30039"/>
    <n v="2292"/>
    <x v="14"/>
    <x v="1"/>
    <n v="2"/>
    <s v="Yes"/>
    <n v="2"/>
    <x v="26"/>
    <n v="5"/>
    <x v="2"/>
    <n v="1"/>
    <x v="0"/>
  </r>
  <r>
    <n v="11402"/>
    <n v="44"/>
    <x v="1"/>
    <x v="5"/>
    <x v="1"/>
    <x v="2"/>
    <s v="Married"/>
    <n v="55773"/>
    <n v="27332"/>
    <x v="13"/>
    <x v="4"/>
    <n v="3"/>
    <s v="No"/>
    <n v="2"/>
    <x v="14"/>
    <n v="57"/>
    <x v="1"/>
    <n v="3"/>
    <x v="0"/>
  </r>
  <r>
    <n v="11403"/>
    <n v="31"/>
    <x v="1"/>
    <x v="2"/>
    <x v="3"/>
    <x v="3"/>
    <s v="Single"/>
    <n v="104205"/>
    <n v="20240"/>
    <x v="9"/>
    <x v="13"/>
    <n v="2"/>
    <s v="No"/>
    <n v="1"/>
    <x v="31"/>
    <n v="55"/>
    <x v="3"/>
    <n v="3"/>
    <x v="0"/>
  </r>
  <r>
    <n v="11404"/>
    <n v="46"/>
    <x v="0"/>
    <x v="1"/>
    <x v="1"/>
    <x v="2"/>
    <s v="Married"/>
    <n v="49587"/>
    <n v="38750"/>
    <x v="21"/>
    <x v="5"/>
    <n v="3"/>
    <s v="No"/>
    <n v="3"/>
    <x v="13"/>
    <n v="26"/>
    <x v="2"/>
    <n v="2"/>
    <x v="1"/>
  </r>
  <r>
    <n v="11405"/>
    <n v="39"/>
    <x v="0"/>
    <x v="5"/>
    <x v="1"/>
    <x v="2"/>
    <s v="Single"/>
    <n v="52993"/>
    <n v="40510"/>
    <x v="17"/>
    <x v="11"/>
    <n v="2"/>
    <s v="No"/>
    <n v="1"/>
    <x v="27"/>
    <n v="53"/>
    <x v="0"/>
    <n v="3"/>
    <x v="0"/>
  </r>
  <r>
    <n v="11406"/>
    <n v="51"/>
    <x v="0"/>
    <x v="3"/>
    <x v="5"/>
    <x v="3"/>
    <s v="Married"/>
    <n v="159007"/>
    <n v="11563"/>
    <x v="8"/>
    <x v="4"/>
    <n v="3"/>
    <s v="No"/>
    <n v="2"/>
    <x v="33"/>
    <n v="9"/>
    <x v="3"/>
    <n v="1"/>
    <x v="1"/>
  </r>
  <r>
    <n v="11407"/>
    <n v="28"/>
    <x v="0"/>
    <x v="3"/>
    <x v="4"/>
    <x v="0"/>
    <s v="Single"/>
    <n v="26527"/>
    <n v="20994"/>
    <x v="6"/>
    <x v="13"/>
    <n v="2"/>
    <s v="No"/>
    <n v="4"/>
    <x v="4"/>
    <n v="44"/>
    <x v="1"/>
    <n v="2"/>
    <x v="0"/>
  </r>
  <r>
    <n v="11408"/>
    <n v="24"/>
    <x v="1"/>
    <x v="2"/>
    <x v="5"/>
    <x v="3"/>
    <s v="Married"/>
    <n v="167672"/>
    <n v="31063"/>
    <x v="13"/>
    <x v="3"/>
    <n v="5"/>
    <s v="No"/>
    <n v="3"/>
    <x v="27"/>
    <n v="39"/>
    <x v="2"/>
    <n v="2"/>
    <x v="0"/>
  </r>
  <r>
    <n v="11409"/>
    <n v="31"/>
    <x v="0"/>
    <x v="2"/>
    <x v="4"/>
    <x v="2"/>
    <s v="Single"/>
    <n v="39113"/>
    <n v="15826"/>
    <x v="13"/>
    <x v="9"/>
    <n v="3"/>
    <s v="Yes"/>
    <n v="3"/>
    <x v="10"/>
    <n v="10"/>
    <x v="1"/>
    <n v="3"/>
    <x v="0"/>
  </r>
  <r>
    <n v="11410"/>
    <n v="42"/>
    <x v="0"/>
    <x v="2"/>
    <x v="0"/>
    <x v="3"/>
    <s v="Single"/>
    <n v="72745"/>
    <n v="7996"/>
    <x v="17"/>
    <x v="4"/>
    <n v="3"/>
    <s v="No"/>
    <n v="4"/>
    <x v="27"/>
    <n v="43"/>
    <x v="1"/>
    <n v="3"/>
    <x v="0"/>
  </r>
  <r>
    <n v="11411"/>
    <n v="30"/>
    <x v="0"/>
    <x v="0"/>
    <x v="0"/>
    <x v="2"/>
    <s v="Single"/>
    <n v="69215"/>
    <n v="1144"/>
    <x v="19"/>
    <x v="3"/>
    <n v="3"/>
    <s v="No"/>
    <n v="2"/>
    <x v="4"/>
    <n v="41"/>
    <x v="2"/>
    <n v="1"/>
    <x v="0"/>
  </r>
  <r>
    <n v="11412"/>
    <n v="41"/>
    <x v="1"/>
    <x v="4"/>
    <x v="4"/>
    <x v="2"/>
    <s v="Married"/>
    <n v="25539"/>
    <n v="41988"/>
    <x v="5"/>
    <x v="10"/>
    <n v="3"/>
    <s v="No"/>
    <n v="4"/>
    <x v="36"/>
    <n v="59"/>
    <x v="1"/>
    <n v="3"/>
    <x v="0"/>
  </r>
  <r>
    <n v="11413"/>
    <n v="41"/>
    <x v="0"/>
    <x v="1"/>
    <x v="0"/>
    <x v="3"/>
    <s v="Married"/>
    <n v="80956"/>
    <n v="9491"/>
    <x v="13"/>
    <x v="13"/>
    <n v="2"/>
    <s v="No"/>
    <n v="1"/>
    <x v="5"/>
    <n v="43"/>
    <x v="1"/>
    <n v="4"/>
    <x v="1"/>
  </r>
  <r>
    <n v="11414"/>
    <n v="29"/>
    <x v="0"/>
    <x v="2"/>
    <x v="3"/>
    <x v="2"/>
    <s v="Divorced"/>
    <n v="128351"/>
    <n v="46205"/>
    <x v="20"/>
    <x v="5"/>
    <n v="5"/>
    <s v="No"/>
    <n v="3"/>
    <x v="19"/>
    <n v="36"/>
    <x v="3"/>
    <n v="2"/>
    <x v="0"/>
  </r>
  <r>
    <n v="11415"/>
    <n v="53"/>
    <x v="1"/>
    <x v="0"/>
    <x v="5"/>
    <x v="2"/>
    <s v="Single"/>
    <n v="153124"/>
    <n v="12989"/>
    <x v="10"/>
    <x v="2"/>
    <n v="5"/>
    <s v="No"/>
    <n v="1"/>
    <x v="0"/>
    <n v="30"/>
    <x v="0"/>
    <n v="4"/>
    <x v="0"/>
  </r>
  <r>
    <n v="11416"/>
    <n v="43"/>
    <x v="1"/>
    <x v="2"/>
    <x v="3"/>
    <x v="3"/>
    <s v="Single"/>
    <n v="114017"/>
    <n v="47180"/>
    <x v="14"/>
    <x v="14"/>
    <n v="3"/>
    <s v="No"/>
    <n v="3"/>
    <x v="27"/>
    <n v="50"/>
    <x v="3"/>
    <n v="3"/>
    <x v="0"/>
  </r>
  <r>
    <n v="11417"/>
    <n v="21"/>
    <x v="0"/>
    <x v="4"/>
    <x v="3"/>
    <x v="3"/>
    <s v="Married"/>
    <n v="121229"/>
    <n v="8989"/>
    <x v="5"/>
    <x v="12"/>
    <n v="3"/>
    <s v="No"/>
    <n v="3"/>
    <x v="20"/>
    <n v="23"/>
    <x v="3"/>
    <n v="3"/>
    <x v="0"/>
  </r>
  <r>
    <n v="11418"/>
    <n v="25"/>
    <x v="0"/>
    <x v="3"/>
    <x v="3"/>
    <x v="0"/>
    <s v="Married"/>
    <n v="96770"/>
    <n v="31358"/>
    <x v="22"/>
    <x v="11"/>
    <n v="1"/>
    <s v="No"/>
    <n v="3"/>
    <x v="15"/>
    <n v="9"/>
    <x v="0"/>
    <n v="2"/>
    <x v="0"/>
  </r>
  <r>
    <n v="11419"/>
    <n v="32"/>
    <x v="1"/>
    <x v="1"/>
    <x v="2"/>
    <x v="2"/>
    <s v="Single"/>
    <n v="12804"/>
    <n v="23358"/>
    <x v="21"/>
    <x v="1"/>
    <n v="4"/>
    <s v="No"/>
    <n v="1"/>
    <x v="16"/>
    <n v="33"/>
    <x v="0"/>
    <n v="2"/>
    <x v="0"/>
  </r>
  <r>
    <n v="11420"/>
    <n v="32"/>
    <x v="1"/>
    <x v="3"/>
    <x v="2"/>
    <x v="1"/>
    <s v="Divorced"/>
    <n v="11356"/>
    <n v="26515"/>
    <x v="23"/>
    <x v="6"/>
    <n v="3"/>
    <s v="Yes"/>
    <n v="3"/>
    <x v="6"/>
    <n v="18"/>
    <x v="3"/>
    <n v="2"/>
    <x v="0"/>
  </r>
  <r>
    <n v="11421"/>
    <n v="41"/>
    <x v="0"/>
    <x v="3"/>
    <x v="0"/>
    <x v="0"/>
    <s v="Married"/>
    <n v="63690"/>
    <n v="21320"/>
    <x v="13"/>
    <x v="9"/>
    <n v="4"/>
    <s v="No"/>
    <n v="3"/>
    <x v="1"/>
    <n v="50"/>
    <x v="1"/>
    <n v="2"/>
    <x v="1"/>
  </r>
  <r>
    <n v="11422"/>
    <n v="44"/>
    <x v="0"/>
    <x v="4"/>
    <x v="1"/>
    <x v="3"/>
    <s v="Single"/>
    <n v="55000"/>
    <n v="7830"/>
    <x v="20"/>
    <x v="3"/>
    <n v="3"/>
    <s v="No"/>
    <n v="2"/>
    <x v="3"/>
    <n v="18"/>
    <x v="3"/>
    <n v="4"/>
    <x v="0"/>
  </r>
  <r>
    <n v="11423"/>
    <n v="51"/>
    <x v="1"/>
    <x v="5"/>
    <x v="4"/>
    <x v="0"/>
    <s v="Divorced"/>
    <n v="43228"/>
    <n v="11926"/>
    <x v="10"/>
    <x v="0"/>
    <n v="3"/>
    <s v="Yes"/>
    <n v="3"/>
    <x v="14"/>
    <n v="5"/>
    <x v="2"/>
    <n v="1"/>
    <x v="0"/>
  </r>
  <r>
    <n v="11424"/>
    <n v="40"/>
    <x v="1"/>
    <x v="5"/>
    <x v="1"/>
    <x v="0"/>
    <s v="Single"/>
    <n v="62602"/>
    <n v="46924"/>
    <x v="18"/>
    <x v="11"/>
    <n v="2"/>
    <s v="Yes"/>
    <n v="3"/>
    <x v="23"/>
    <n v="9"/>
    <x v="0"/>
    <n v="2"/>
    <x v="0"/>
  </r>
  <r>
    <n v="11425"/>
    <n v="25"/>
    <x v="0"/>
    <x v="2"/>
    <x v="1"/>
    <x v="2"/>
    <s v="Divorced"/>
    <n v="46982"/>
    <n v="38197"/>
    <x v="1"/>
    <x v="14"/>
    <n v="3"/>
    <s v="Yes"/>
    <n v="2"/>
    <x v="22"/>
    <n v="32"/>
    <x v="0"/>
    <n v="3"/>
    <x v="1"/>
  </r>
  <r>
    <n v="11426"/>
    <n v="50"/>
    <x v="0"/>
    <x v="2"/>
    <x v="4"/>
    <x v="2"/>
    <s v="Married"/>
    <n v="32461"/>
    <n v="23359"/>
    <x v="12"/>
    <x v="14"/>
    <n v="3"/>
    <s v="Yes"/>
    <n v="3"/>
    <x v="27"/>
    <n v="45"/>
    <x v="3"/>
    <n v="2"/>
    <x v="0"/>
  </r>
  <r>
    <n v="11427"/>
    <n v="54"/>
    <x v="0"/>
    <x v="1"/>
    <x v="1"/>
    <x v="2"/>
    <s v="Single"/>
    <n v="48390"/>
    <n v="39268"/>
    <x v="7"/>
    <x v="13"/>
    <n v="4"/>
    <s v="No"/>
    <n v="3"/>
    <x v="4"/>
    <n v="51"/>
    <x v="0"/>
    <n v="3"/>
    <x v="0"/>
  </r>
  <r>
    <n v="11428"/>
    <n v="36"/>
    <x v="0"/>
    <x v="3"/>
    <x v="3"/>
    <x v="3"/>
    <s v="Married"/>
    <n v="100312"/>
    <n v="11739"/>
    <x v="5"/>
    <x v="4"/>
    <n v="2"/>
    <s v="No"/>
    <n v="3"/>
    <x v="23"/>
    <n v="50"/>
    <x v="0"/>
    <n v="1"/>
    <x v="0"/>
  </r>
  <r>
    <n v="11429"/>
    <n v="44"/>
    <x v="0"/>
    <x v="3"/>
    <x v="5"/>
    <x v="2"/>
    <s v="Married"/>
    <n v="131990"/>
    <n v="16834"/>
    <x v="1"/>
    <x v="2"/>
    <n v="2"/>
    <s v="No"/>
    <n v="3"/>
    <x v="38"/>
    <n v="28"/>
    <x v="3"/>
    <n v="1"/>
    <x v="0"/>
  </r>
  <r>
    <n v="11430"/>
    <n v="41"/>
    <x v="0"/>
    <x v="3"/>
    <x v="3"/>
    <x v="3"/>
    <s v="Married"/>
    <n v="118917"/>
    <n v="18321"/>
    <x v="23"/>
    <x v="2"/>
    <n v="4"/>
    <s v="No"/>
    <n v="4"/>
    <x v="24"/>
    <n v="18"/>
    <x v="0"/>
    <n v="2"/>
    <x v="0"/>
  </r>
  <r>
    <n v="11431"/>
    <n v="44"/>
    <x v="1"/>
    <x v="0"/>
    <x v="4"/>
    <x v="2"/>
    <s v="Married"/>
    <n v="35559"/>
    <n v="401"/>
    <x v="11"/>
    <x v="9"/>
    <n v="3"/>
    <s v="No"/>
    <n v="4"/>
    <x v="27"/>
    <n v="47"/>
    <x v="1"/>
    <n v="4"/>
    <x v="0"/>
  </r>
  <r>
    <n v="11432"/>
    <n v="42"/>
    <x v="1"/>
    <x v="2"/>
    <x v="4"/>
    <x v="0"/>
    <s v="Single"/>
    <n v="33513"/>
    <n v="46815"/>
    <x v="8"/>
    <x v="4"/>
    <n v="4"/>
    <s v="No"/>
    <n v="4"/>
    <x v="5"/>
    <n v="31"/>
    <x v="3"/>
    <n v="3"/>
    <x v="0"/>
  </r>
  <r>
    <n v="11433"/>
    <n v="22"/>
    <x v="1"/>
    <x v="1"/>
    <x v="1"/>
    <x v="3"/>
    <s v="Single"/>
    <n v="69407"/>
    <n v="47726"/>
    <x v="7"/>
    <x v="5"/>
    <n v="4"/>
    <s v="No"/>
    <n v="3"/>
    <x v="19"/>
    <n v="45"/>
    <x v="3"/>
    <n v="3"/>
    <x v="0"/>
  </r>
  <r>
    <n v="11434"/>
    <n v="27"/>
    <x v="1"/>
    <x v="2"/>
    <x v="1"/>
    <x v="2"/>
    <s v="Married"/>
    <n v="47262"/>
    <n v="41817"/>
    <x v="19"/>
    <x v="13"/>
    <n v="3"/>
    <s v="No"/>
    <n v="2"/>
    <x v="36"/>
    <n v="41"/>
    <x v="0"/>
    <n v="4"/>
    <x v="0"/>
  </r>
  <r>
    <n v="11435"/>
    <n v="39"/>
    <x v="0"/>
    <x v="3"/>
    <x v="4"/>
    <x v="2"/>
    <s v="Single"/>
    <n v="36156"/>
    <n v="30183"/>
    <x v="9"/>
    <x v="0"/>
    <n v="3"/>
    <s v="No"/>
    <n v="3"/>
    <x v="23"/>
    <n v="38"/>
    <x v="2"/>
    <n v="4"/>
    <x v="0"/>
  </r>
  <r>
    <n v="11436"/>
    <n v="58"/>
    <x v="0"/>
    <x v="5"/>
    <x v="0"/>
    <x v="2"/>
    <s v="Single"/>
    <n v="70273"/>
    <n v="48674"/>
    <x v="9"/>
    <x v="4"/>
    <n v="2"/>
    <s v="No"/>
    <n v="4"/>
    <x v="38"/>
    <n v="54"/>
    <x v="2"/>
    <n v="2"/>
    <x v="0"/>
  </r>
  <r>
    <n v="11437"/>
    <n v="48"/>
    <x v="0"/>
    <x v="0"/>
    <x v="0"/>
    <x v="2"/>
    <s v="Married"/>
    <n v="61937"/>
    <n v="13472"/>
    <x v="0"/>
    <x v="1"/>
    <n v="4"/>
    <s v="No"/>
    <n v="4"/>
    <x v="21"/>
    <n v="17"/>
    <x v="3"/>
    <n v="4"/>
    <x v="0"/>
  </r>
  <r>
    <n v="11438"/>
    <n v="20"/>
    <x v="0"/>
    <x v="3"/>
    <x v="0"/>
    <x v="2"/>
    <s v="Married"/>
    <n v="70461"/>
    <n v="42830"/>
    <x v="2"/>
    <x v="0"/>
    <n v="3"/>
    <s v="No"/>
    <n v="3"/>
    <x v="35"/>
    <n v="20"/>
    <x v="2"/>
    <n v="4"/>
    <x v="0"/>
  </r>
  <r>
    <n v="11439"/>
    <n v="30"/>
    <x v="0"/>
    <x v="2"/>
    <x v="4"/>
    <x v="0"/>
    <s v="Married"/>
    <n v="39048"/>
    <n v="49747"/>
    <x v="9"/>
    <x v="3"/>
    <n v="4"/>
    <s v="No"/>
    <n v="1"/>
    <x v="23"/>
    <n v="11"/>
    <x v="2"/>
    <n v="2"/>
    <x v="0"/>
  </r>
  <r>
    <n v="11440"/>
    <n v="24"/>
    <x v="0"/>
    <x v="4"/>
    <x v="1"/>
    <x v="3"/>
    <s v="Divorced"/>
    <n v="63141"/>
    <n v="29297"/>
    <x v="16"/>
    <x v="0"/>
    <n v="3"/>
    <s v="No"/>
    <n v="4"/>
    <x v="17"/>
    <n v="52"/>
    <x v="1"/>
    <n v="1"/>
    <x v="0"/>
  </r>
  <r>
    <n v="11441"/>
    <n v="51"/>
    <x v="1"/>
    <x v="4"/>
    <x v="1"/>
    <x v="3"/>
    <s v="Single"/>
    <n v="45737"/>
    <n v="4418"/>
    <x v="15"/>
    <x v="10"/>
    <n v="1"/>
    <s v="No"/>
    <n v="4"/>
    <x v="8"/>
    <n v="58"/>
    <x v="0"/>
    <n v="1"/>
    <x v="0"/>
  </r>
  <r>
    <n v="11442"/>
    <n v="59"/>
    <x v="1"/>
    <x v="3"/>
    <x v="4"/>
    <x v="2"/>
    <s v="Married"/>
    <n v="26087"/>
    <n v="35671"/>
    <x v="14"/>
    <x v="3"/>
    <n v="5"/>
    <s v="No"/>
    <n v="2"/>
    <x v="19"/>
    <n v="42"/>
    <x v="0"/>
    <n v="3"/>
    <x v="0"/>
  </r>
  <r>
    <n v="11443"/>
    <n v="45"/>
    <x v="1"/>
    <x v="1"/>
    <x v="3"/>
    <x v="3"/>
    <s v="Single"/>
    <n v="105375"/>
    <n v="14911"/>
    <x v="21"/>
    <x v="14"/>
    <n v="4"/>
    <s v="No"/>
    <n v="4"/>
    <x v="0"/>
    <n v="22"/>
    <x v="3"/>
    <n v="2"/>
    <x v="0"/>
  </r>
  <r>
    <n v="11444"/>
    <n v="41"/>
    <x v="0"/>
    <x v="2"/>
    <x v="4"/>
    <x v="0"/>
    <s v="Single"/>
    <n v="34397"/>
    <n v="8014"/>
    <x v="12"/>
    <x v="1"/>
    <n v="3"/>
    <s v="No"/>
    <n v="1"/>
    <x v="6"/>
    <n v="26"/>
    <x v="0"/>
    <n v="4"/>
    <x v="0"/>
  </r>
  <r>
    <n v="11445"/>
    <n v="42"/>
    <x v="0"/>
    <x v="2"/>
    <x v="2"/>
    <x v="0"/>
    <s v="Married"/>
    <n v="18292"/>
    <n v="23990"/>
    <x v="9"/>
    <x v="11"/>
    <n v="4"/>
    <s v="Yes"/>
    <n v="3"/>
    <x v="6"/>
    <n v="44"/>
    <x v="2"/>
    <n v="2"/>
    <x v="0"/>
  </r>
  <r>
    <n v="11446"/>
    <n v="45"/>
    <x v="1"/>
    <x v="2"/>
    <x v="1"/>
    <x v="2"/>
    <s v="Single"/>
    <n v="54601"/>
    <n v="260"/>
    <x v="14"/>
    <x v="14"/>
    <n v="3"/>
    <s v="No"/>
    <n v="4"/>
    <x v="30"/>
    <n v="9"/>
    <x v="1"/>
    <n v="4"/>
    <x v="1"/>
  </r>
  <r>
    <n v="11447"/>
    <n v="51"/>
    <x v="0"/>
    <x v="2"/>
    <x v="1"/>
    <x v="2"/>
    <s v="Single"/>
    <n v="52758"/>
    <n v="25548"/>
    <x v="24"/>
    <x v="6"/>
    <n v="4"/>
    <s v="No"/>
    <n v="3"/>
    <x v="34"/>
    <n v="36"/>
    <x v="2"/>
    <n v="2"/>
    <x v="0"/>
  </r>
  <r>
    <n v="11448"/>
    <n v="25"/>
    <x v="1"/>
    <x v="3"/>
    <x v="3"/>
    <x v="3"/>
    <s v="Single"/>
    <n v="129962"/>
    <n v="23068"/>
    <x v="3"/>
    <x v="9"/>
    <n v="4"/>
    <s v="No"/>
    <n v="1"/>
    <x v="32"/>
    <n v="8"/>
    <x v="2"/>
    <n v="2"/>
    <x v="1"/>
  </r>
  <r>
    <n v="11449"/>
    <n v="38"/>
    <x v="0"/>
    <x v="2"/>
    <x v="4"/>
    <x v="2"/>
    <s v="Married"/>
    <n v="27492"/>
    <n v="31403"/>
    <x v="23"/>
    <x v="4"/>
    <n v="4"/>
    <s v="No"/>
    <n v="3"/>
    <x v="10"/>
    <n v="32"/>
    <x v="3"/>
    <n v="1"/>
    <x v="0"/>
  </r>
  <r>
    <n v="11450"/>
    <n v="59"/>
    <x v="1"/>
    <x v="2"/>
    <x v="1"/>
    <x v="0"/>
    <s v="Married"/>
    <n v="61008"/>
    <n v="11215"/>
    <x v="23"/>
    <x v="2"/>
    <n v="3"/>
    <s v="Yes"/>
    <n v="1"/>
    <x v="16"/>
    <n v="17"/>
    <x v="3"/>
    <n v="4"/>
    <x v="0"/>
  </r>
  <r>
    <n v="11451"/>
    <n v="24"/>
    <x v="0"/>
    <x v="0"/>
    <x v="2"/>
    <x v="3"/>
    <s v="Single"/>
    <n v="11201"/>
    <n v="12664"/>
    <x v="14"/>
    <x v="6"/>
    <n v="5"/>
    <s v="No"/>
    <n v="4"/>
    <x v="15"/>
    <n v="31"/>
    <x v="1"/>
    <n v="1"/>
    <x v="0"/>
  </r>
  <r>
    <n v="11452"/>
    <n v="23"/>
    <x v="0"/>
    <x v="3"/>
    <x v="4"/>
    <x v="2"/>
    <s v="Single"/>
    <n v="35580"/>
    <n v="42162"/>
    <x v="7"/>
    <x v="6"/>
    <n v="3"/>
    <s v="No"/>
    <n v="3"/>
    <x v="31"/>
    <n v="15"/>
    <x v="0"/>
    <n v="4"/>
    <x v="1"/>
  </r>
  <r>
    <n v="11453"/>
    <n v="37"/>
    <x v="0"/>
    <x v="2"/>
    <x v="1"/>
    <x v="3"/>
    <s v="Single"/>
    <n v="67369"/>
    <n v="44308"/>
    <x v="13"/>
    <x v="3"/>
    <n v="2"/>
    <s v="No"/>
    <n v="3"/>
    <x v="35"/>
    <n v="57"/>
    <x v="1"/>
    <n v="2"/>
    <x v="0"/>
  </r>
  <r>
    <n v="11454"/>
    <n v="54"/>
    <x v="0"/>
    <x v="2"/>
    <x v="1"/>
    <x v="0"/>
    <s v="Single"/>
    <n v="64543"/>
    <n v="41164"/>
    <x v="0"/>
    <x v="1"/>
    <n v="3"/>
    <s v="Yes"/>
    <n v="3"/>
    <x v="29"/>
    <n v="13"/>
    <x v="0"/>
    <n v="3"/>
    <x v="0"/>
  </r>
  <r>
    <n v="11455"/>
    <n v="32"/>
    <x v="1"/>
    <x v="3"/>
    <x v="0"/>
    <x v="1"/>
    <s v="Married"/>
    <n v="79906"/>
    <n v="25130"/>
    <x v="24"/>
    <x v="13"/>
    <n v="4"/>
    <s v="No"/>
    <n v="2"/>
    <x v="32"/>
    <n v="12"/>
    <x v="1"/>
    <n v="2"/>
    <x v="0"/>
  </r>
  <r>
    <n v="11456"/>
    <n v="56"/>
    <x v="1"/>
    <x v="5"/>
    <x v="0"/>
    <x v="0"/>
    <s v="Married"/>
    <n v="89493"/>
    <n v="48544"/>
    <x v="21"/>
    <x v="3"/>
    <n v="3"/>
    <s v="No"/>
    <n v="3"/>
    <x v="30"/>
    <n v="51"/>
    <x v="0"/>
    <n v="3"/>
    <x v="0"/>
  </r>
  <r>
    <n v="11457"/>
    <n v="28"/>
    <x v="0"/>
    <x v="2"/>
    <x v="4"/>
    <x v="1"/>
    <s v="Divorced"/>
    <n v="37148"/>
    <n v="46885"/>
    <x v="3"/>
    <x v="4"/>
    <n v="3"/>
    <s v="Yes"/>
    <n v="3"/>
    <x v="2"/>
    <n v="29"/>
    <x v="0"/>
    <n v="2"/>
    <x v="0"/>
  </r>
  <r>
    <n v="11458"/>
    <n v="41"/>
    <x v="1"/>
    <x v="0"/>
    <x v="1"/>
    <x v="3"/>
    <s v="Single"/>
    <n v="60865"/>
    <n v="46662"/>
    <x v="24"/>
    <x v="11"/>
    <n v="4"/>
    <s v="Yes"/>
    <n v="4"/>
    <x v="27"/>
    <n v="24"/>
    <x v="0"/>
    <n v="2"/>
    <x v="0"/>
  </r>
  <r>
    <n v="11459"/>
    <n v="30"/>
    <x v="0"/>
    <x v="1"/>
    <x v="3"/>
    <x v="3"/>
    <s v="Single"/>
    <n v="119473"/>
    <n v="4266"/>
    <x v="24"/>
    <x v="9"/>
    <n v="3"/>
    <s v="No"/>
    <n v="3"/>
    <x v="33"/>
    <n v="11"/>
    <x v="3"/>
    <n v="2"/>
    <x v="0"/>
  </r>
  <r>
    <n v="11460"/>
    <n v="37"/>
    <x v="0"/>
    <x v="4"/>
    <x v="4"/>
    <x v="2"/>
    <s v="Single"/>
    <n v="38208"/>
    <n v="11727"/>
    <x v="2"/>
    <x v="0"/>
    <n v="2"/>
    <s v="No"/>
    <n v="2"/>
    <x v="0"/>
    <n v="48"/>
    <x v="2"/>
    <n v="3"/>
    <x v="1"/>
  </r>
  <r>
    <n v="11461"/>
    <n v="23"/>
    <x v="1"/>
    <x v="4"/>
    <x v="4"/>
    <x v="3"/>
    <s v="Single"/>
    <n v="35885"/>
    <n v="38343"/>
    <x v="4"/>
    <x v="12"/>
    <n v="4"/>
    <s v="No"/>
    <n v="2"/>
    <x v="31"/>
    <n v="39"/>
    <x v="1"/>
    <n v="3"/>
    <x v="0"/>
  </r>
  <r>
    <n v="11462"/>
    <n v="24"/>
    <x v="0"/>
    <x v="2"/>
    <x v="1"/>
    <x v="3"/>
    <s v="Married"/>
    <n v="49257"/>
    <n v="29619"/>
    <x v="13"/>
    <x v="7"/>
    <n v="4"/>
    <s v="No"/>
    <n v="4"/>
    <x v="37"/>
    <n v="16"/>
    <x v="3"/>
    <n v="3"/>
    <x v="0"/>
  </r>
  <r>
    <n v="11463"/>
    <n v="54"/>
    <x v="0"/>
    <x v="3"/>
    <x v="4"/>
    <x v="1"/>
    <s v="Married"/>
    <n v="26665"/>
    <n v="16520"/>
    <x v="5"/>
    <x v="2"/>
    <n v="3"/>
    <s v="No"/>
    <n v="4"/>
    <x v="17"/>
    <n v="20"/>
    <x v="3"/>
    <n v="1"/>
    <x v="0"/>
  </r>
  <r>
    <n v="11464"/>
    <n v="28"/>
    <x v="0"/>
    <x v="2"/>
    <x v="1"/>
    <x v="3"/>
    <s v="Married"/>
    <n v="46795"/>
    <n v="31716"/>
    <x v="3"/>
    <x v="9"/>
    <n v="3"/>
    <s v="Yes"/>
    <n v="2"/>
    <x v="6"/>
    <n v="57"/>
    <x v="0"/>
    <n v="3"/>
    <x v="0"/>
  </r>
  <r>
    <n v="11465"/>
    <n v="44"/>
    <x v="0"/>
    <x v="3"/>
    <x v="3"/>
    <x v="0"/>
    <s v="Single"/>
    <n v="96462"/>
    <n v="7620"/>
    <x v="15"/>
    <x v="2"/>
    <n v="3"/>
    <s v="No"/>
    <n v="4"/>
    <x v="3"/>
    <n v="12"/>
    <x v="1"/>
    <n v="3"/>
    <x v="0"/>
  </r>
  <r>
    <n v="11466"/>
    <n v="35"/>
    <x v="0"/>
    <x v="3"/>
    <x v="1"/>
    <x v="0"/>
    <s v="Married"/>
    <n v="61798"/>
    <n v="8634"/>
    <x v="20"/>
    <x v="0"/>
    <n v="4"/>
    <s v="Yes"/>
    <n v="3"/>
    <x v="31"/>
    <n v="49"/>
    <x v="3"/>
    <n v="1"/>
    <x v="0"/>
  </r>
  <r>
    <n v="11467"/>
    <n v="28"/>
    <x v="0"/>
    <x v="1"/>
    <x v="3"/>
    <x v="3"/>
    <s v="Married"/>
    <n v="90645"/>
    <n v="13908"/>
    <x v="2"/>
    <x v="0"/>
    <n v="4"/>
    <s v="Yes"/>
    <n v="3"/>
    <x v="18"/>
    <n v="32"/>
    <x v="0"/>
    <n v="4"/>
    <x v="0"/>
  </r>
  <r>
    <n v="11468"/>
    <n v="31"/>
    <x v="0"/>
    <x v="0"/>
    <x v="2"/>
    <x v="2"/>
    <s v="Married"/>
    <n v="13801"/>
    <n v="43855"/>
    <x v="14"/>
    <x v="2"/>
    <n v="3"/>
    <s v="No"/>
    <n v="1"/>
    <x v="27"/>
    <n v="22"/>
    <x v="3"/>
    <n v="3"/>
    <x v="0"/>
  </r>
  <r>
    <n v="11469"/>
    <n v="49"/>
    <x v="0"/>
    <x v="2"/>
    <x v="0"/>
    <x v="2"/>
    <s v="Married"/>
    <n v="87886"/>
    <n v="25391"/>
    <x v="4"/>
    <x v="1"/>
    <n v="4"/>
    <s v="No"/>
    <n v="1"/>
    <x v="29"/>
    <n v="35"/>
    <x v="1"/>
    <n v="4"/>
    <x v="0"/>
  </r>
  <r>
    <n v="11470"/>
    <n v="47"/>
    <x v="0"/>
    <x v="2"/>
    <x v="1"/>
    <x v="2"/>
    <s v="Single"/>
    <n v="59466"/>
    <n v="37752"/>
    <x v="6"/>
    <x v="2"/>
    <n v="3"/>
    <s v="No"/>
    <n v="1"/>
    <x v="16"/>
    <n v="8"/>
    <x v="0"/>
    <n v="2"/>
    <x v="0"/>
  </r>
  <r>
    <n v="11471"/>
    <n v="47"/>
    <x v="0"/>
    <x v="2"/>
    <x v="0"/>
    <x v="3"/>
    <s v="Single"/>
    <n v="87873"/>
    <n v="27722"/>
    <x v="24"/>
    <x v="13"/>
    <n v="4"/>
    <s v="Yes"/>
    <n v="3"/>
    <x v="30"/>
    <n v="15"/>
    <x v="0"/>
    <n v="3"/>
    <x v="0"/>
  </r>
  <r>
    <n v="11472"/>
    <n v="41"/>
    <x v="0"/>
    <x v="3"/>
    <x v="1"/>
    <x v="2"/>
    <s v="Single"/>
    <n v="69761"/>
    <n v="41343"/>
    <x v="12"/>
    <x v="8"/>
    <n v="5"/>
    <s v="Yes"/>
    <n v="4"/>
    <x v="38"/>
    <n v="57"/>
    <x v="3"/>
    <n v="2"/>
    <x v="0"/>
  </r>
  <r>
    <n v="11473"/>
    <n v="54"/>
    <x v="0"/>
    <x v="5"/>
    <x v="0"/>
    <x v="0"/>
    <s v="Married"/>
    <n v="74830"/>
    <n v="41398"/>
    <x v="24"/>
    <x v="0"/>
    <n v="4"/>
    <s v="No"/>
    <n v="4"/>
    <x v="1"/>
    <n v="57"/>
    <x v="1"/>
    <n v="3"/>
    <x v="0"/>
  </r>
  <r>
    <n v="11474"/>
    <n v="51"/>
    <x v="0"/>
    <x v="4"/>
    <x v="1"/>
    <x v="3"/>
    <s v="Married"/>
    <n v="67469"/>
    <n v="4728"/>
    <x v="9"/>
    <x v="13"/>
    <n v="3"/>
    <s v="Yes"/>
    <n v="4"/>
    <x v="22"/>
    <n v="41"/>
    <x v="3"/>
    <n v="2"/>
    <x v="0"/>
  </r>
  <r>
    <n v="11475"/>
    <n v="22"/>
    <x v="0"/>
    <x v="1"/>
    <x v="1"/>
    <x v="0"/>
    <s v="Single"/>
    <n v="66249"/>
    <n v="40245"/>
    <x v="1"/>
    <x v="10"/>
    <n v="4"/>
    <s v="No"/>
    <n v="4"/>
    <x v="18"/>
    <n v="15"/>
    <x v="2"/>
    <n v="1"/>
    <x v="0"/>
  </r>
  <r>
    <n v="11476"/>
    <n v="55"/>
    <x v="0"/>
    <x v="3"/>
    <x v="4"/>
    <x v="0"/>
    <s v="Divorced"/>
    <n v="28511"/>
    <n v="44552"/>
    <x v="5"/>
    <x v="9"/>
    <n v="2"/>
    <s v="No"/>
    <n v="1"/>
    <x v="13"/>
    <n v="9"/>
    <x v="1"/>
    <n v="3"/>
    <x v="1"/>
  </r>
  <r>
    <n v="11477"/>
    <n v="34"/>
    <x v="0"/>
    <x v="2"/>
    <x v="4"/>
    <x v="3"/>
    <s v="Divorced"/>
    <n v="25933"/>
    <n v="22851"/>
    <x v="19"/>
    <x v="10"/>
    <n v="3"/>
    <s v="No"/>
    <n v="3"/>
    <x v="28"/>
    <n v="37"/>
    <x v="0"/>
    <n v="3"/>
    <x v="0"/>
  </r>
  <r>
    <n v="11478"/>
    <n v="37"/>
    <x v="1"/>
    <x v="1"/>
    <x v="3"/>
    <x v="0"/>
    <s v="Single"/>
    <n v="113876"/>
    <n v="38095"/>
    <x v="0"/>
    <x v="3"/>
    <n v="2"/>
    <s v="No"/>
    <n v="2"/>
    <x v="7"/>
    <n v="56"/>
    <x v="3"/>
    <n v="1"/>
    <x v="0"/>
  </r>
  <r>
    <n v="11479"/>
    <n v="43"/>
    <x v="0"/>
    <x v="4"/>
    <x v="1"/>
    <x v="2"/>
    <s v="Married"/>
    <n v="48082"/>
    <n v="2801"/>
    <x v="7"/>
    <x v="4"/>
    <n v="4"/>
    <s v="Yes"/>
    <n v="1"/>
    <x v="31"/>
    <n v="37"/>
    <x v="1"/>
    <n v="1"/>
    <x v="0"/>
  </r>
  <r>
    <n v="11480"/>
    <n v="22"/>
    <x v="0"/>
    <x v="3"/>
    <x v="0"/>
    <x v="0"/>
    <s v="Married"/>
    <n v="74223"/>
    <n v="2397"/>
    <x v="2"/>
    <x v="12"/>
    <n v="5"/>
    <s v="No"/>
    <n v="4"/>
    <x v="17"/>
    <n v="56"/>
    <x v="1"/>
    <n v="3"/>
    <x v="0"/>
  </r>
  <r>
    <n v="11481"/>
    <n v="43"/>
    <x v="0"/>
    <x v="5"/>
    <x v="1"/>
    <x v="0"/>
    <s v="Single"/>
    <n v="65045"/>
    <n v="3515"/>
    <x v="1"/>
    <x v="10"/>
    <n v="4"/>
    <s v="No"/>
    <n v="4"/>
    <x v="13"/>
    <n v="42"/>
    <x v="0"/>
    <n v="3"/>
    <x v="0"/>
  </r>
  <r>
    <n v="11482"/>
    <n v="23"/>
    <x v="0"/>
    <x v="2"/>
    <x v="0"/>
    <x v="0"/>
    <s v="Married"/>
    <n v="82847"/>
    <n v="15797"/>
    <x v="6"/>
    <x v="0"/>
    <n v="3"/>
    <s v="No"/>
    <n v="3"/>
    <x v="16"/>
    <n v="46"/>
    <x v="1"/>
    <n v="3"/>
    <x v="0"/>
  </r>
  <r>
    <n v="11483"/>
    <n v="28"/>
    <x v="0"/>
    <x v="2"/>
    <x v="0"/>
    <x v="2"/>
    <s v="Married"/>
    <n v="68938"/>
    <n v="208"/>
    <x v="15"/>
    <x v="13"/>
    <n v="5"/>
    <s v="No"/>
    <n v="3"/>
    <x v="9"/>
    <n v="49"/>
    <x v="1"/>
    <n v="3"/>
    <x v="0"/>
  </r>
  <r>
    <n v="11484"/>
    <n v="46"/>
    <x v="0"/>
    <x v="4"/>
    <x v="1"/>
    <x v="0"/>
    <s v="Single"/>
    <n v="68051"/>
    <n v="20827"/>
    <x v="13"/>
    <x v="8"/>
    <n v="3"/>
    <s v="No"/>
    <n v="3"/>
    <x v="6"/>
    <n v="38"/>
    <x v="3"/>
    <n v="2"/>
    <x v="0"/>
  </r>
  <r>
    <n v="11485"/>
    <n v="31"/>
    <x v="0"/>
    <x v="2"/>
    <x v="1"/>
    <x v="3"/>
    <s v="Single"/>
    <n v="69526"/>
    <n v="24288"/>
    <x v="1"/>
    <x v="1"/>
    <n v="4"/>
    <s v="No"/>
    <n v="2"/>
    <x v="16"/>
    <n v="23"/>
    <x v="3"/>
    <n v="2"/>
    <x v="0"/>
  </r>
  <r>
    <n v="11486"/>
    <n v="52"/>
    <x v="0"/>
    <x v="4"/>
    <x v="3"/>
    <x v="2"/>
    <s v="Married"/>
    <n v="91591"/>
    <n v="38746"/>
    <x v="18"/>
    <x v="9"/>
    <n v="3"/>
    <s v="No"/>
    <n v="3"/>
    <x v="12"/>
    <n v="58"/>
    <x v="3"/>
    <n v="4"/>
    <x v="0"/>
  </r>
  <r>
    <n v="11487"/>
    <n v="38"/>
    <x v="0"/>
    <x v="1"/>
    <x v="4"/>
    <x v="1"/>
    <s v="Divorced"/>
    <n v="28088"/>
    <n v="23625"/>
    <x v="24"/>
    <x v="9"/>
    <n v="3"/>
    <s v="Yes"/>
    <n v="3"/>
    <x v="11"/>
    <n v="34"/>
    <x v="1"/>
    <n v="4"/>
    <x v="0"/>
  </r>
  <r>
    <n v="11488"/>
    <n v="23"/>
    <x v="1"/>
    <x v="5"/>
    <x v="1"/>
    <x v="2"/>
    <s v="Married"/>
    <n v="53640"/>
    <n v="22378"/>
    <x v="13"/>
    <x v="11"/>
    <n v="3"/>
    <s v="No"/>
    <n v="4"/>
    <x v="37"/>
    <n v="54"/>
    <x v="0"/>
    <n v="4"/>
    <x v="0"/>
  </r>
  <r>
    <n v="11489"/>
    <n v="20"/>
    <x v="1"/>
    <x v="2"/>
    <x v="1"/>
    <x v="0"/>
    <s v="Married"/>
    <n v="50178"/>
    <n v="23689"/>
    <x v="22"/>
    <x v="3"/>
    <n v="4"/>
    <s v="Yes"/>
    <n v="3"/>
    <x v="11"/>
    <n v="17"/>
    <x v="0"/>
    <n v="2"/>
    <x v="0"/>
  </r>
  <r>
    <n v="11490"/>
    <n v="32"/>
    <x v="0"/>
    <x v="1"/>
    <x v="0"/>
    <x v="3"/>
    <s v="Married"/>
    <n v="69302"/>
    <n v="27696"/>
    <x v="1"/>
    <x v="14"/>
    <n v="5"/>
    <s v="No"/>
    <n v="1"/>
    <x v="4"/>
    <n v="15"/>
    <x v="2"/>
    <n v="1"/>
    <x v="1"/>
  </r>
  <r>
    <n v="11491"/>
    <n v="59"/>
    <x v="0"/>
    <x v="5"/>
    <x v="1"/>
    <x v="2"/>
    <s v="Single"/>
    <n v="64924"/>
    <n v="23161"/>
    <x v="11"/>
    <x v="14"/>
    <n v="3"/>
    <s v="No"/>
    <n v="3"/>
    <x v="11"/>
    <n v="42"/>
    <x v="2"/>
    <n v="1"/>
    <x v="1"/>
  </r>
  <r>
    <n v="11492"/>
    <n v="31"/>
    <x v="1"/>
    <x v="4"/>
    <x v="2"/>
    <x v="0"/>
    <s v="Married"/>
    <n v="16332"/>
    <n v="45585"/>
    <x v="23"/>
    <x v="11"/>
    <n v="4"/>
    <s v="No"/>
    <n v="3"/>
    <x v="26"/>
    <n v="20"/>
    <x v="2"/>
    <n v="2"/>
    <x v="0"/>
  </r>
  <r>
    <n v="11493"/>
    <n v="36"/>
    <x v="0"/>
    <x v="4"/>
    <x v="3"/>
    <x v="2"/>
    <s v="Single"/>
    <n v="123405"/>
    <n v="35138"/>
    <x v="10"/>
    <x v="12"/>
    <n v="2"/>
    <s v="No"/>
    <n v="4"/>
    <x v="6"/>
    <n v="8"/>
    <x v="0"/>
    <n v="1"/>
    <x v="0"/>
  </r>
  <r>
    <n v="11494"/>
    <n v="56"/>
    <x v="0"/>
    <x v="3"/>
    <x v="1"/>
    <x v="2"/>
    <s v="Married"/>
    <n v="66936"/>
    <n v="35190"/>
    <x v="3"/>
    <x v="0"/>
    <n v="3"/>
    <s v="No"/>
    <n v="4"/>
    <x v="38"/>
    <n v="20"/>
    <x v="1"/>
    <n v="3"/>
    <x v="0"/>
  </r>
  <r>
    <n v="11495"/>
    <n v="59"/>
    <x v="0"/>
    <x v="3"/>
    <x v="2"/>
    <x v="0"/>
    <s v="Married"/>
    <n v="10256"/>
    <n v="36111"/>
    <x v="16"/>
    <x v="2"/>
    <n v="3"/>
    <s v="No"/>
    <n v="3"/>
    <x v="2"/>
    <n v="55"/>
    <x v="0"/>
    <n v="4"/>
    <x v="0"/>
  </r>
  <r>
    <n v="11496"/>
    <n v="45"/>
    <x v="0"/>
    <x v="2"/>
    <x v="1"/>
    <x v="2"/>
    <s v="Single"/>
    <n v="58011"/>
    <n v="42638"/>
    <x v="5"/>
    <x v="14"/>
    <n v="5"/>
    <s v="Yes"/>
    <n v="3"/>
    <x v="4"/>
    <n v="27"/>
    <x v="3"/>
    <n v="3"/>
    <x v="0"/>
  </r>
  <r>
    <n v="11497"/>
    <n v="39"/>
    <x v="1"/>
    <x v="4"/>
    <x v="4"/>
    <x v="3"/>
    <s v="Single"/>
    <n v="42205"/>
    <n v="43002"/>
    <x v="6"/>
    <x v="13"/>
    <n v="5"/>
    <s v="No"/>
    <n v="4"/>
    <x v="9"/>
    <n v="16"/>
    <x v="0"/>
    <n v="2"/>
    <x v="0"/>
  </r>
  <r>
    <n v="11498"/>
    <n v="29"/>
    <x v="0"/>
    <x v="2"/>
    <x v="1"/>
    <x v="1"/>
    <s v="Married"/>
    <n v="50560"/>
    <n v="49898"/>
    <x v="16"/>
    <x v="11"/>
    <n v="3"/>
    <s v="No"/>
    <n v="4"/>
    <x v="29"/>
    <n v="58"/>
    <x v="1"/>
    <n v="3"/>
    <x v="0"/>
  </r>
  <r>
    <n v="11499"/>
    <n v="22"/>
    <x v="0"/>
    <x v="2"/>
    <x v="1"/>
    <x v="2"/>
    <s v="Single"/>
    <n v="50241"/>
    <n v="13648"/>
    <x v="0"/>
    <x v="6"/>
    <n v="3"/>
    <s v="Yes"/>
    <n v="4"/>
    <x v="28"/>
    <n v="12"/>
    <x v="0"/>
    <n v="3"/>
    <x v="0"/>
  </r>
  <r>
    <n v="11500"/>
    <n v="57"/>
    <x v="0"/>
    <x v="3"/>
    <x v="0"/>
    <x v="2"/>
    <s v="Married"/>
    <n v="69184"/>
    <n v="44802"/>
    <x v="16"/>
    <x v="12"/>
    <n v="3"/>
    <s v="No"/>
    <n v="1"/>
    <x v="16"/>
    <n v="28"/>
    <x v="0"/>
    <n v="2"/>
    <x v="0"/>
  </r>
  <r>
    <n v="11501"/>
    <n v="44"/>
    <x v="0"/>
    <x v="2"/>
    <x v="4"/>
    <x v="2"/>
    <s v="Divorced"/>
    <n v="36699"/>
    <n v="13187"/>
    <x v="14"/>
    <x v="2"/>
    <n v="3"/>
    <s v="Yes"/>
    <n v="1"/>
    <x v="36"/>
    <n v="27"/>
    <x v="3"/>
    <n v="3"/>
    <x v="0"/>
  </r>
  <r>
    <n v="11502"/>
    <n v="32"/>
    <x v="0"/>
    <x v="2"/>
    <x v="4"/>
    <x v="2"/>
    <s v="Divorced"/>
    <n v="28686"/>
    <n v="47595"/>
    <x v="9"/>
    <x v="6"/>
    <n v="3"/>
    <s v="No"/>
    <n v="4"/>
    <x v="16"/>
    <n v="7"/>
    <x v="3"/>
    <n v="3"/>
    <x v="0"/>
  </r>
  <r>
    <n v="11503"/>
    <n v="38"/>
    <x v="0"/>
    <x v="4"/>
    <x v="1"/>
    <x v="3"/>
    <s v="Married"/>
    <n v="66407"/>
    <n v="5160"/>
    <x v="13"/>
    <x v="1"/>
    <n v="2"/>
    <s v="No"/>
    <n v="1"/>
    <x v="10"/>
    <n v="59"/>
    <x v="2"/>
    <n v="4"/>
    <x v="0"/>
  </r>
  <r>
    <n v="11504"/>
    <n v="27"/>
    <x v="1"/>
    <x v="3"/>
    <x v="4"/>
    <x v="3"/>
    <s v="Married"/>
    <n v="26153"/>
    <n v="7536"/>
    <x v="20"/>
    <x v="7"/>
    <n v="4"/>
    <s v="No"/>
    <n v="3"/>
    <x v="17"/>
    <n v="40"/>
    <x v="3"/>
    <n v="4"/>
    <x v="0"/>
  </r>
  <r>
    <n v="11505"/>
    <n v="35"/>
    <x v="0"/>
    <x v="0"/>
    <x v="0"/>
    <x v="3"/>
    <s v="Single"/>
    <n v="75018"/>
    <n v="6574"/>
    <x v="10"/>
    <x v="10"/>
    <n v="4"/>
    <s v="No"/>
    <n v="4"/>
    <x v="30"/>
    <n v="42"/>
    <x v="0"/>
    <n v="3"/>
    <x v="0"/>
  </r>
  <r>
    <n v="11506"/>
    <n v="24"/>
    <x v="0"/>
    <x v="3"/>
    <x v="0"/>
    <x v="2"/>
    <s v="Single"/>
    <n v="87417"/>
    <n v="4876"/>
    <x v="20"/>
    <x v="11"/>
    <n v="3"/>
    <s v="No"/>
    <n v="3"/>
    <x v="6"/>
    <n v="19"/>
    <x v="3"/>
    <n v="3"/>
    <x v="0"/>
  </r>
  <r>
    <n v="11507"/>
    <n v="20"/>
    <x v="0"/>
    <x v="2"/>
    <x v="0"/>
    <x v="2"/>
    <s v="Married"/>
    <n v="83327"/>
    <n v="2978"/>
    <x v="13"/>
    <x v="4"/>
    <n v="2"/>
    <s v="No"/>
    <n v="2"/>
    <x v="23"/>
    <n v="41"/>
    <x v="2"/>
    <n v="1"/>
    <x v="1"/>
  </r>
  <r>
    <n v="11508"/>
    <n v="33"/>
    <x v="0"/>
    <x v="2"/>
    <x v="5"/>
    <x v="1"/>
    <s v="Married"/>
    <n v="161482"/>
    <n v="10281"/>
    <x v="9"/>
    <x v="5"/>
    <n v="3"/>
    <s v="No"/>
    <n v="2"/>
    <x v="12"/>
    <n v="41"/>
    <x v="3"/>
    <n v="2"/>
    <x v="0"/>
  </r>
  <r>
    <n v="11509"/>
    <n v="28"/>
    <x v="0"/>
    <x v="3"/>
    <x v="2"/>
    <x v="3"/>
    <s v="Married"/>
    <n v="13874"/>
    <n v="20924"/>
    <x v="20"/>
    <x v="8"/>
    <n v="5"/>
    <s v="No"/>
    <n v="3"/>
    <x v="3"/>
    <n v="49"/>
    <x v="3"/>
    <n v="2"/>
    <x v="0"/>
  </r>
  <r>
    <n v="11510"/>
    <n v="36"/>
    <x v="0"/>
    <x v="2"/>
    <x v="4"/>
    <x v="2"/>
    <s v="Married"/>
    <n v="26028"/>
    <n v="33818"/>
    <x v="22"/>
    <x v="3"/>
    <n v="3"/>
    <s v="Yes"/>
    <n v="1"/>
    <x v="1"/>
    <n v="26"/>
    <x v="1"/>
    <n v="1"/>
    <x v="1"/>
  </r>
  <r>
    <n v="11511"/>
    <n v="25"/>
    <x v="0"/>
    <x v="2"/>
    <x v="4"/>
    <x v="2"/>
    <s v="Married"/>
    <n v="29453"/>
    <n v="4177"/>
    <x v="18"/>
    <x v="14"/>
    <n v="3"/>
    <s v="Yes"/>
    <n v="4"/>
    <x v="0"/>
    <n v="17"/>
    <x v="1"/>
    <n v="1"/>
    <x v="0"/>
  </r>
  <r>
    <n v="11512"/>
    <n v="35"/>
    <x v="0"/>
    <x v="3"/>
    <x v="1"/>
    <x v="3"/>
    <s v="Single"/>
    <n v="58562"/>
    <n v="9609"/>
    <x v="17"/>
    <x v="10"/>
    <n v="3"/>
    <s v="No"/>
    <n v="3"/>
    <x v="19"/>
    <n v="49"/>
    <x v="0"/>
    <n v="3"/>
    <x v="0"/>
  </r>
  <r>
    <n v="11513"/>
    <n v="48"/>
    <x v="0"/>
    <x v="4"/>
    <x v="1"/>
    <x v="2"/>
    <s v="Married"/>
    <n v="51844"/>
    <n v="46922"/>
    <x v="8"/>
    <x v="0"/>
    <n v="3"/>
    <s v="No"/>
    <n v="3"/>
    <x v="36"/>
    <n v="45"/>
    <x v="1"/>
    <n v="4"/>
    <x v="0"/>
  </r>
  <r>
    <n v="11514"/>
    <n v="31"/>
    <x v="0"/>
    <x v="2"/>
    <x v="4"/>
    <x v="0"/>
    <s v="Divorced"/>
    <n v="38654"/>
    <n v="45676"/>
    <x v="4"/>
    <x v="8"/>
    <n v="2"/>
    <s v="Yes"/>
    <n v="4"/>
    <x v="12"/>
    <n v="12"/>
    <x v="0"/>
    <n v="2"/>
    <x v="0"/>
  </r>
  <r>
    <n v="11515"/>
    <n v="31"/>
    <x v="0"/>
    <x v="5"/>
    <x v="1"/>
    <x v="2"/>
    <s v="Married"/>
    <n v="56170"/>
    <n v="1066"/>
    <x v="9"/>
    <x v="8"/>
    <n v="3"/>
    <s v="No"/>
    <n v="3"/>
    <x v="20"/>
    <n v="39"/>
    <x v="3"/>
    <n v="2"/>
    <x v="0"/>
  </r>
  <r>
    <n v="11516"/>
    <n v="54"/>
    <x v="0"/>
    <x v="0"/>
    <x v="5"/>
    <x v="0"/>
    <s v="Married"/>
    <n v="156183"/>
    <n v="45286"/>
    <x v="6"/>
    <x v="13"/>
    <n v="2"/>
    <s v="No"/>
    <n v="2"/>
    <x v="3"/>
    <n v="35"/>
    <x v="0"/>
    <n v="3"/>
    <x v="0"/>
  </r>
  <r>
    <n v="11517"/>
    <n v="43"/>
    <x v="0"/>
    <x v="2"/>
    <x v="4"/>
    <x v="2"/>
    <s v="Married"/>
    <n v="44970"/>
    <n v="39818"/>
    <x v="22"/>
    <x v="6"/>
    <n v="3"/>
    <s v="No"/>
    <n v="3"/>
    <x v="0"/>
    <n v="44"/>
    <x v="3"/>
    <n v="4"/>
    <x v="0"/>
  </r>
  <r>
    <n v="11518"/>
    <n v="42"/>
    <x v="0"/>
    <x v="5"/>
    <x v="0"/>
    <x v="2"/>
    <s v="Married"/>
    <n v="87007"/>
    <n v="21836"/>
    <x v="22"/>
    <x v="12"/>
    <n v="3"/>
    <s v="No"/>
    <n v="2"/>
    <x v="17"/>
    <n v="9"/>
    <x v="0"/>
    <n v="2"/>
    <x v="0"/>
  </r>
  <r>
    <n v="11519"/>
    <n v="28"/>
    <x v="0"/>
    <x v="2"/>
    <x v="4"/>
    <x v="2"/>
    <s v="Married"/>
    <n v="33664"/>
    <n v="43353"/>
    <x v="16"/>
    <x v="2"/>
    <n v="3"/>
    <s v="No"/>
    <n v="1"/>
    <x v="24"/>
    <n v="57"/>
    <x v="0"/>
    <n v="2"/>
    <x v="0"/>
  </r>
  <r>
    <n v="11520"/>
    <n v="30"/>
    <x v="1"/>
    <x v="2"/>
    <x v="4"/>
    <x v="0"/>
    <s v="Divorced"/>
    <n v="32408"/>
    <n v="30775"/>
    <x v="16"/>
    <x v="7"/>
    <n v="2"/>
    <s v="No"/>
    <n v="3"/>
    <x v="33"/>
    <n v="26"/>
    <x v="3"/>
    <n v="3"/>
    <x v="0"/>
  </r>
  <r>
    <n v="11521"/>
    <n v="50"/>
    <x v="0"/>
    <x v="3"/>
    <x v="1"/>
    <x v="2"/>
    <s v="Single"/>
    <n v="51577"/>
    <n v="26065"/>
    <x v="15"/>
    <x v="11"/>
    <n v="3"/>
    <s v="Yes"/>
    <n v="3"/>
    <x v="36"/>
    <n v="11"/>
    <x v="0"/>
    <n v="1"/>
    <x v="0"/>
  </r>
  <r>
    <n v="11522"/>
    <n v="36"/>
    <x v="1"/>
    <x v="3"/>
    <x v="0"/>
    <x v="2"/>
    <s v="Single"/>
    <n v="61196"/>
    <n v="28517"/>
    <x v="15"/>
    <x v="10"/>
    <n v="4"/>
    <s v="No"/>
    <n v="4"/>
    <x v="15"/>
    <n v="9"/>
    <x v="1"/>
    <n v="4"/>
    <x v="0"/>
  </r>
  <r>
    <n v="11523"/>
    <n v="40"/>
    <x v="0"/>
    <x v="5"/>
    <x v="1"/>
    <x v="2"/>
    <s v="Single"/>
    <n v="45496"/>
    <n v="46165"/>
    <x v="21"/>
    <x v="14"/>
    <n v="3"/>
    <s v="No"/>
    <n v="4"/>
    <x v="18"/>
    <n v="26"/>
    <x v="0"/>
    <n v="4"/>
    <x v="0"/>
  </r>
  <r>
    <n v="11524"/>
    <n v="59"/>
    <x v="0"/>
    <x v="4"/>
    <x v="2"/>
    <x v="2"/>
    <s v="Married"/>
    <n v="18028"/>
    <n v="1292"/>
    <x v="17"/>
    <x v="14"/>
    <n v="4"/>
    <s v="No"/>
    <n v="4"/>
    <x v="23"/>
    <n v="30"/>
    <x v="3"/>
    <n v="4"/>
    <x v="0"/>
  </r>
  <r>
    <n v="11525"/>
    <n v="20"/>
    <x v="0"/>
    <x v="2"/>
    <x v="0"/>
    <x v="2"/>
    <s v="Married"/>
    <n v="87341"/>
    <n v="3915"/>
    <x v="10"/>
    <x v="8"/>
    <n v="4"/>
    <s v="No"/>
    <n v="1"/>
    <x v="11"/>
    <n v="39"/>
    <x v="0"/>
    <n v="4"/>
    <x v="0"/>
  </r>
  <r>
    <n v="11526"/>
    <n v="27"/>
    <x v="1"/>
    <x v="3"/>
    <x v="4"/>
    <x v="3"/>
    <s v="Married"/>
    <n v="40113"/>
    <n v="46550"/>
    <x v="0"/>
    <x v="7"/>
    <n v="3"/>
    <s v="Yes"/>
    <n v="3"/>
    <x v="0"/>
    <n v="8"/>
    <x v="1"/>
    <n v="1"/>
    <x v="0"/>
  </r>
  <r>
    <n v="11527"/>
    <n v="23"/>
    <x v="0"/>
    <x v="3"/>
    <x v="4"/>
    <x v="2"/>
    <s v="Single"/>
    <n v="38207"/>
    <n v="43463"/>
    <x v="24"/>
    <x v="7"/>
    <n v="3"/>
    <s v="No"/>
    <n v="3"/>
    <x v="14"/>
    <n v="25"/>
    <x v="1"/>
    <n v="3"/>
    <x v="0"/>
  </r>
  <r>
    <n v="11528"/>
    <n v="45"/>
    <x v="1"/>
    <x v="0"/>
    <x v="4"/>
    <x v="2"/>
    <s v="Single"/>
    <n v="37660"/>
    <n v="47880"/>
    <x v="19"/>
    <x v="12"/>
    <n v="3"/>
    <s v="No"/>
    <n v="4"/>
    <x v="12"/>
    <n v="26"/>
    <x v="0"/>
    <n v="4"/>
    <x v="0"/>
  </r>
  <r>
    <n v="11529"/>
    <n v="56"/>
    <x v="0"/>
    <x v="2"/>
    <x v="1"/>
    <x v="3"/>
    <s v="Married"/>
    <n v="67627"/>
    <n v="31649"/>
    <x v="8"/>
    <x v="7"/>
    <n v="4"/>
    <s v="No"/>
    <n v="2"/>
    <x v="10"/>
    <n v="29"/>
    <x v="0"/>
    <n v="1"/>
    <x v="0"/>
  </r>
  <r>
    <n v="11530"/>
    <n v="39"/>
    <x v="1"/>
    <x v="3"/>
    <x v="1"/>
    <x v="3"/>
    <s v="Married"/>
    <n v="54543"/>
    <n v="16937"/>
    <x v="5"/>
    <x v="7"/>
    <n v="2"/>
    <s v="No"/>
    <n v="1"/>
    <x v="1"/>
    <n v="6"/>
    <x v="1"/>
    <n v="2"/>
    <x v="0"/>
  </r>
  <r>
    <n v="11531"/>
    <n v="52"/>
    <x v="0"/>
    <x v="3"/>
    <x v="3"/>
    <x v="3"/>
    <s v="Single"/>
    <n v="127206"/>
    <n v="29378"/>
    <x v="7"/>
    <x v="9"/>
    <n v="3"/>
    <s v="Yes"/>
    <n v="3"/>
    <x v="36"/>
    <n v="8"/>
    <x v="2"/>
    <n v="3"/>
    <x v="1"/>
  </r>
  <r>
    <n v="11532"/>
    <n v="26"/>
    <x v="0"/>
    <x v="2"/>
    <x v="3"/>
    <x v="2"/>
    <s v="Married"/>
    <n v="97403"/>
    <n v="3138"/>
    <x v="7"/>
    <x v="5"/>
    <n v="3"/>
    <s v="Yes"/>
    <n v="3"/>
    <x v="25"/>
    <n v="58"/>
    <x v="1"/>
    <n v="3"/>
    <x v="0"/>
  </r>
  <r>
    <n v="11533"/>
    <n v="38"/>
    <x v="1"/>
    <x v="2"/>
    <x v="4"/>
    <x v="2"/>
    <s v="Married"/>
    <n v="44733"/>
    <n v="16210"/>
    <x v="2"/>
    <x v="13"/>
    <n v="2"/>
    <s v="Yes"/>
    <n v="4"/>
    <x v="11"/>
    <n v="12"/>
    <x v="1"/>
    <n v="3"/>
    <x v="0"/>
  </r>
  <r>
    <n v="11534"/>
    <n v="42"/>
    <x v="1"/>
    <x v="0"/>
    <x v="1"/>
    <x v="0"/>
    <s v="Single"/>
    <n v="47217"/>
    <n v="650"/>
    <x v="12"/>
    <x v="12"/>
    <n v="3"/>
    <s v="No"/>
    <n v="3"/>
    <x v="6"/>
    <n v="10"/>
    <x v="1"/>
    <n v="3"/>
    <x v="0"/>
  </r>
  <r>
    <n v="11535"/>
    <n v="51"/>
    <x v="1"/>
    <x v="5"/>
    <x v="4"/>
    <x v="2"/>
    <s v="Married"/>
    <n v="44288"/>
    <n v="6603"/>
    <x v="20"/>
    <x v="10"/>
    <n v="2"/>
    <s v="No"/>
    <n v="4"/>
    <x v="21"/>
    <n v="39"/>
    <x v="2"/>
    <n v="3"/>
    <x v="0"/>
  </r>
  <r>
    <n v="11536"/>
    <n v="32"/>
    <x v="1"/>
    <x v="2"/>
    <x v="4"/>
    <x v="2"/>
    <s v="Single"/>
    <n v="39884"/>
    <n v="8896"/>
    <x v="8"/>
    <x v="12"/>
    <n v="5"/>
    <s v="No"/>
    <n v="3"/>
    <x v="28"/>
    <n v="29"/>
    <x v="1"/>
    <n v="3"/>
    <x v="0"/>
  </r>
  <r>
    <n v="11537"/>
    <n v="22"/>
    <x v="1"/>
    <x v="3"/>
    <x v="0"/>
    <x v="2"/>
    <s v="Single"/>
    <n v="69457"/>
    <n v="20232"/>
    <x v="0"/>
    <x v="3"/>
    <n v="2"/>
    <s v="No"/>
    <n v="4"/>
    <x v="2"/>
    <n v="8"/>
    <x v="0"/>
    <n v="4"/>
    <x v="0"/>
  </r>
  <r>
    <n v="11538"/>
    <n v="52"/>
    <x v="1"/>
    <x v="5"/>
    <x v="4"/>
    <x v="2"/>
    <s v="Married"/>
    <n v="28140"/>
    <n v="29114"/>
    <x v="11"/>
    <x v="10"/>
    <n v="4"/>
    <s v="No"/>
    <n v="4"/>
    <x v="2"/>
    <n v="47"/>
    <x v="0"/>
    <n v="3"/>
    <x v="0"/>
  </r>
  <r>
    <n v="11539"/>
    <n v="48"/>
    <x v="0"/>
    <x v="2"/>
    <x v="4"/>
    <x v="2"/>
    <s v="Single"/>
    <n v="43459"/>
    <n v="2078"/>
    <x v="17"/>
    <x v="2"/>
    <n v="5"/>
    <s v="No"/>
    <n v="2"/>
    <x v="11"/>
    <n v="52"/>
    <x v="3"/>
    <n v="4"/>
    <x v="0"/>
  </r>
  <r>
    <n v="11540"/>
    <n v="41"/>
    <x v="1"/>
    <x v="2"/>
    <x v="1"/>
    <x v="2"/>
    <s v="Married"/>
    <n v="46029"/>
    <n v="46014"/>
    <x v="5"/>
    <x v="12"/>
    <n v="4"/>
    <s v="No"/>
    <n v="2"/>
    <x v="25"/>
    <n v="35"/>
    <x v="3"/>
    <n v="3"/>
    <x v="0"/>
  </r>
  <r>
    <n v="11541"/>
    <n v="41"/>
    <x v="0"/>
    <x v="4"/>
    <x v="1"/>
    <x v="2"/>
    <s v="Married"/>
    <n v="66471"/>
    <n v="11559"/>
    <x v="8"/>
    <x v="14"/>
    <n v="5"/>
    <s v="Yes"/>
    <n v="4"/>
    <x v="30"/>
    <n v="38"/>
    <x v="0"/>
    <n v="4"/>
    <x v="0"/>
  </r>
  <r>
    <n v="11542"/>
    <n v="51"/>
    <x v="1"/>
    <x v="3"/>
    <x v="2"/>
    <x v="3"/>
    <s v="Divorced"/>
    <n v="13584"/>
    <n v="39006"/>
    <x v="13"/>
    <x v="8"/>
    <n v="4"/>
    <s v="No"/>
    <n v="3"/>
    <x v="6"/>
    <n v="34"/>
    <x v="0"/>
    <n v="1"/>
    <x v="0"/>
  </r>
  <r>
    <n v="11543"/>
    <n v="51"/>
    <x v="0"/>
    <x v="4"/>
    <x v="1"/>
    <x v="2"/>
    <s v="Single"/>
    <n v="62290"/>
    <n v="49944"/>
    <x v="0"/>
    <x v="12"/>
    <n v="2"/>
    <s v="No"/>
    <n v="3"/>
    <x v="26"/>
    <n v="21"/>
    <x v="3"/>
    <n v="3"/>
    <x v="0"/>
  </r>
  <r>
    <n v="11544"/>
    <n v="33"/>
    <x v="0"/>
    <x v="2"/>
    <x v="0"/>
    <x v="2"/>
    <s v="Married"/>
    <n v="79699"/>
    <n v="44597"/>
    <x v="13"/>
    <x v="1"/>
    <n v="3"/>
    <s v="No"/>
    <n v="3"/>
    <x v="0"/>
    <n v="27"/>
    <x v="3"/>
    <n v="3"/>
    <x v="0"/>
  </r>
  <r>
    <n v="11545"/>
    <n v="37"/>
    <x v="0"/>
    <x v="2"/>
    <x v="5"/>
    <x v="3"/>
    <s v="Single"/>
    <n v="159984"/>
    <n v="12152"/>
    <x v="11"/>
    <x v="12"/>
    <n v="3"/>
    <s v="No"/>
    <n v="4"/>
    <x v="0"/>
    <n v="26"/>
    <x v="0"/>
    <n v="3"/>
    <x v="0"/>
  </r>
  <r>
    <n v="11546"/>
    <n v="45"/>
    <x v="0"/>
    <x v="4"/>
    <x v="4"/>
    <x v="1"/>
    <s v="Single"/>
    <n v="36432"/>
    <n v="8099"/>
    <x v="6"/>
    <x v="1"/>
    <n v="3"/>
    <s v="No"/>
    <n v="3"/>
    <x v="4"/>
    <n v="26"/>
    <x v="3"/>
    <n v="4"/>
    <x v="0"/>
  </r>
  <r>
    <n v="11547"/>
    <n v="40"/>
    <x v="1"/>
    <x v="2"/>
    <x v="4"/>
    <x v="0"/>
    <s v="Single"/>
    <n v="32834"/>
    <n v="28675"/>
    <x v="10"/>
    <x v="2"/>
    <n v="4"/>
    <s v="No"/>
    <n v="3"/>
    <x v="2"/>
    <n v="15"/>
    <x v="3"/>
    <n v="3"/>
    <x v="0"/>
  </r>
  <r>
    <n v="11548"/>
    <n v="43"/>
    <x v="0"/>
    <x v="2"/>
    <x v="5"/>
    <x v="2"/>
    <s v="Married"/>
    <n v="179330"/>
    <n v="4438"/>
    <x v="2"/>
    <x v="11"/>
    <n v="3"/>
    <s v="No"/>
    <n v="1"/>
    <x v="19"/>
    <n v="10"/>
    <x v="3"/>
    <n v="3"/>
    <x v="0"/>
  </r>
  <r>
    <n v="11549"/>
    <n v="28"/>
    <x v="0"/>
    <x v="2"/>
    <x v="0"/>
    <x v="3"/>
    <s v="Married"/>
    <n v="70673"/>
    <n v="7763"/>
    <x v="8"/>
    <x v="8"/>
    <n v="5"/>
    <s v="Yes"/>
    <n v="2"/>
    <x v="15"/>
    <n v="7"/>
    <x v="0"/>
    <n v="3"/>
    <x v="0"/>
  </r>
  <r>
    <n v="11550"/>
    <n v="25"/>
    <x v="1"/>
    <x v="4"/>
    <x v="0"/>
    <x v="3"/>
    <s v="Married"/>
    <n v="64433"/>
    <n v="47418"/>
    <x v="18"/>
    <x v="4"/>
    <n v="1"/>
    <s v="No"/>
    <n v="3"/>
    <x v="33"/>
    <n v="20"/>
    <x v="1"/>
    <n v="3"/>
    <x v="0"/>
  </r>
  <r>
    <n v="11551"/>
    <n v="45"/>
    <x v="1"/>
    <x v="1"/>
    <x v="4"/>
    <x v="3"/>
    <s v="Single"/>
    <n v="37774"/>
    <n v="34392"/>
    <x v="21"/>
    <x v="5"/>
    <n v="3"/>
    <s v="No"/>
    <n v="1"/>
    <x v="17"/>
    <n v="59"/>
    <x v="1"/>
    <n v="1"/>
    <x v="1"/>
  </r>
  <r>
    <n v="11552"/>
    <n v="27"/>
    <x v="0"/>
    <x v="3"/>
    <x v="4"/>
    <x v="1"/>
    <s v="Single"/>
    <n v="31254"/>
    <n v="13761"/>
    <x v="4"/>
    <x v="0"/>
    <n v="3"/>
    <s v="Yes"/>
    <n v="3"/>
    <x v="21"/>
    <n v="36"/>
    <x v="3"/>
    <n v="3"/>
    <x v="1"/>
  </r>
  <r>
    <n v="11553"/>
    <n v="55"/>
    <x v="1"/>
    <x v="2"/>
    <x v="1"/>
    <x v="3"/>
    <s v="Single"/>
    <n v="56954"/>
    <n v="12133"/>
    <x v="9"/>
    <x v="0"/>
    <n v="2"/>
    <s v="Yes"/>
    <n v="2"/>
    <x v="12"/>
    <n v="38"/>
    <x v="2"/>
    <n v="3"/>
    <x v="0"/>
  </r>
  <r>
    <n v="11554"/>
    <n v="52"/>
    <x v="0"/>
    <x v="2"/>
    <x v="4"/>
    <x v="0"/>
    <s v="Married"/>
    <n v="40763"/>
    <n v="21167"/>
    <x v="7"/>
    <x v="2"/>
    <n v="3"/>
    <s v="No"/>
    <n v="3"/>
    <x v="1"/>
    <n v="46"/>
    <x v="3"/>
    <n v="3"/>
    <x v="0"/>
  </r>
  <r>
    <n v="11555"/>
    <n v="37"/>
    <x v="0"/>
    <x v="0"/>
    <x v="1"/>
    <x v="2"/>
    <s v="Married"/>
    <n v="63318"/>
    <n v="46742"/>
    <x v="11"/>
    <x v="8"/>
    <n v="3"/>
    <s v="Yes"/>
    <n v="1"/>
    <x v="37"/>
    <n v="47"/>
    <x v="2"/>
    <n v="3"/>
    <x v="1"/>
  </r>
  <r>
    <n v="11556"/>
    <n v="36"/>
    <x v="1"/>
    <x v="4"/>
    <x v="1"/>
    <x v="2"/>
    <s v="Married"/>
    <n v="62073"/>
    <n v="47417"/>
    <x v="4"/>
    <x v="7"/>
    <n v="3"/>
    <s v="Yes"/>
    <n v="3"/>
    <x v="14"/>
    <n v="36"/>
    <x v="3"/>
    <n v="3"/>
    <x v="0"/>
  </r>
  <r>
    <n v="11557"/>
    <n v="37"/>
    <x v="1"/>
    <x v="5"/>
    <x v="2"/>
    <x v="1"/>
    <s v="Married"/>
    <n v="19901"/>
    <n v="7643"/>
    <x v="24"/>
    <x v="8"/>
    <n v="4"/>
    <s v="No"/>
    <n v="3"/>
    <x v="25"/>
    <n v="26"/>
    <x v="1"/>
    <n v="2"/>
    <x v="0"/>
  </r>
  <r>
    <n v="11558"/>
    <n v="51"/>
    <x v="0"/>
    <x v="2"/>
    <x v="4"/>
    <x v="3"/>
    <s v="Married"/>
    <n v="35721"/>
    <n v="12888"/>
    <x v="15"/>
    <x v="5"/>
    <n v="3"/>
    <s v="No"/>
    <n v="2"/>
    <x v="27"/>
    <n v="42"/>
    <x v="3"/>
    <n v="1"/>
    <x v="0"/>
  </r>
  <r>
    <n v="11559"/>
    <n v="43"/>
    <x v="0"/>
    <x v="1"/>
    <x v="3"/>
    <x v="2"/>
    <s v="Single"/>
    <n v="112349"/>
    <n v="2382"/>
    <x v="8"/>
    <x v="10"/>
    <n v="2"/>
    <s v="No"/>
    <n v="4"/>
    <x v="15"/>
    <n v="16"/>
    <x v="0"/>
    <n v="3"/>
    <x v="0"/>
  </r>
  <r>
    <n v="11560"/>
    <n v="59"/>
    <x v="0"/>
    <x v="5"/>
    <x v="1"/>
    <x v="0"/>
    <s v="Married"/>
    <n v="59150"/>
    <n v="983"/>
    <x v="17"/>
    <x v="11"/>
    <n v="3"/>
    <s v="Yes"/>
    <n v="4"/>
    <x v="35"/>
    <n v="25"/>
    <x v="3"/>
    <n v="4"/>
    <x v="0"/>
  </r>
  <r>
    <n v="11561"/>
    <n v="56"/>
    <x v="0"/>
    <x v="3"/>
    <x v="4"/>
    <x v="3"/>
    <s v="Single"/>
    <n v="37970"/>
    <n v="23652"/>
    <x v="16"/>
    <x v="8"/>
    <n v="5"/>
    <s v="No"/>
    <n v="1"/>
    <x v="9"/>
    <n v="44"/>
    <x v="3"/>
    <n v="3"/>
    <x v="0"/>
  </r>
  <r>
    <n v="11562"/>
    <n v="48"/>
    <x v="0"/>
    <x v="5"/>
    <x v="0"/>
    <x v="1"/>
    <s v="Single"/>
    <n v="79404"/>
    <n v="49102"/>
    <x v="17"/>
    <x v="1"/>
    <n v="4"/>
    <s v="No"/>
    <n v="4"/>
    <x v="9"/>
    <n v="57"/>
    <x v="2"/>
    <n v="3"/>
    <x v="0"/>
  </r>
  <r>
    <n v="11563"/>
    <n v="47"/>
    <x v="1"/>
    <x v="2"/>
    <x v="0"/>
    <x v="3"/>
    <s v="Married"/>
    <n v="70740"/>
    <n v="44638"/>
    <x v="20"/>
    <x v="7"/>
    <n v="2"/>
    <s v="Yes"/>
    <n v="3"/>
    <x v="21"/>
    <n v="41"/>
    <x v="3"/>
    <n v="4"/>
    <x v="0"/>
  </r>
  <r>
    <n v="11564"/>
    <n v="23"/>
    <x v="0"/>
    <x v="4"/>
    <x v="1"/>
    <x v="2"/>
    <s v="Married"/>
    <n v="49717"/>
    <n v="47496"/>
    <x v="24"/>
    <x v="5"/>
    <n v="4"/>
    <s v="No"/>
    <n v="4"/>
    <x v="6"/>
    <n v="11"/>
    <x v="1"/>
    <n v="3"/>
    <x v="0"/>
  </r>
  <r>
    <n v="11565"/>
    <n v="54"/>
    <x v="1"/>
    <x v="4"/>
    <x v="1"/>
    <x v="3"/>
    <s v="Divorced"/>
    <n v="46026"/>
    <n v="29028"/>
    <x v="13"/>
    <x v="11"/>
    <n v="3"/>
    <s v="No"/>
    <n v="1"/>
    <x v="4"/>
    <n v="51"/>
    <x v="0"/>
    <n v="3"/>
    <x v="0"/>
  </r>
  <r>
    <n v="11566"/>
    <n v="37"/>
    <x v="1"/>
    <x v="5"/>
    <x v="1"/>
    <x v="1"/>
    <s v="Single"/>
    <n v="50108"/>
    <n v="5984"/>
    <x v="18"/>
    <x v="2"/>
    <n v="2"/>
    <s v="No"/>
    <n v="2"/>
    <x v="9"/>
    <n v="7"/>
    <x v="1"/>
    <n v="2"/>
    <x v="0"/>
  </r>
  <r>
    <n v="11567"/>
    <n v="26"/>
    <x v="0"/>
    <x v="2"/>
    <x v="1"/>
    <x v="2"/>
    <s v="Married"/>
    <n v="57327"/>
    <n v="40349"/>
    <x v="3"/>
    <x v="9"/>
    <n v="3"/>
    <s v="No"/>
    <n v="3"/>
    <x v="19"/>
    <n v="41"/>
    <x v="0"/>
    <n v="3"/>
    <x v="0"/>
  </r>
  <r>
    <n v="11568"/>
    <n v="40"/>
    <x v="0"/>
    <x v="3"/>
    <x v="3"/>
    <x v="2"/>
    <s v="Single"/>
    <n v="115319"/>
    <n v="21452"/>
    <x v="12"/>
    <x v="7"/>
    <n v="5"/>
    <s v="No"/>
    <n v="4"/>
    <x v="17"/>
    <n v="54"/>
    <x v="2"/>
    <n v="2"/>
    <x v="1"/>
  </r>
  <r>
    <n v="11569"/>
    <n v="27"/>
    <x v="0"/>
    <x v="0"/>
    <x v="4"/>
    <x v="3"/>
    <s v="Married"/>
    <n v="30976"/>
    <n v="36672"/>
    <x v="13"/>
    <x v="4"/>
    <n v="3"/>
    <s v="Yes"/>
    <n v="3"/>
    <x v="26"/>
    <n v="45"/>
    <x v="0"/>
    <n v="3"/>
    <x v="0"/>
  </r>
  <r>
    <n v="11570"/>
    <n v="57"/>
    <x v="1"/>
    <x v="3"/>
    <x v="4"/>
    <x v="3"/>
    <s v="Married"/>
    <n v="30634"/>
    <n v="2414"/>
    <x v="8"/>
    <x v="0"/>
    <n v="4"/>
    <s v="No"/>
    <n v="4"/>
    <x v="19"/>
    <n v="59"/>
    <x v="3"/>
    <n v="3"/>
    <x v="0"/>
  </r>
  <r>
    <n v="11571"/>
    <n v="56"/>
    <x v="0"/>
    <x v="2"/>
    <x v="3"/>
    <x v="0"/>
    <s v="Married"/>
    <n v="115671"/>
    <n v="37693"/>
    <x v="15"/>
    <x v="9"/>
    <n v="5"/>
    <s v="No"/>
    <n v="3"/>
    <x v="0"/>
    <n v="8"/>
    <x v="3"/>
    <n v="2"/>
    <x v="0"/>
  </r>
  <r>
    <n v="11572"/>
    <n v="43"/>
    <x v="0"/>
    <x v="0"/>
    <x v="4"/>
    <x v="2"/>
    <s v="Married"/>
    <n v="31597"/>
    <n v="5700"/>
    <x v="3"/>
    <x v="6"/>
    <n v="2"/>
    <s v="No"/>
    <n v="3"/>
    <x v="29"/>
    <n v="6"/>
    <x v="2"/>
    <n v="3"/>
    <x v="1"/>
  </r>
  <r>
    <n v="11573"/>
    <n v="29"/>
    <x v="1"/>
    <x v="2"/>
    <x v="1"/>
    <x v="2"/>
    <s v="Single"/>
    <n v="69806"/>
    <n v="16185"/>
    <x v="10"/>
    <x v="6"/>
    <n v="3"/>
    <s v="No"/>
    <n v="2"/>
    <x v="33"/>
    <n v="40"/>
    <x v="3"/>
    <n v="3"/>
    <x v="0"/>
  </r>
  <r>
    <n v="11574"/>
    <n v="40"/>
    <x v="1"/>
    <x v="3"/>
    <x v="1"/>
    <x v="1"/>
    <s v="Single"/>
    <n v="46494"/>
    <n v="26055"/>
    <x v="6"/>
    <x v="11"/>
    <n v="4"/>
    <s v="No"/>
    <n v="4"/>
    <x v="27"/>
    <n v="22"/>
    <x v="1"/>
    <n v="2"/>
    <x v="0"/>
  </r>
  <r>
    <n v="11575"/>
    <n v="20"/>
    <x v="0"/>
    <x v="5"/>
    <x v="1"/>
    <x v="2"/>
    <s v="Single"/>
    <n v="62373"/>
    <n v="4847"/>
    <x v="9"/>
    <x v="7"/>
    <n v="4"/>
    <s v="No"/>
    <n v="3"/>
    <x v="27"/>
    <n v="49"/>
    <x v="0"/>
    <n v="4"/>
    <x v="0"/>
  </r>
  <r>
    <n v="11576"/>
    <n v="44"/>
    <x v="0"/>
    <x v="2"/>
    <x v="1"/>
    <x v="1"/>
    <s v="Married"/>
    <n v="65394"/>
    <n v="6090"/>
    <x v="22"/>
    <x v="11"/>
    <n v="3"/>
    <s v="No"/>
    <n v="1"/>
    <x v="37"/>
    <n v="14"/>
    <x v="3"/>
    <n v="3"/>
    <x v="0"/>
  </r>
  <r>
    <n v="11577"/>
    <n v="25"/>
    <x v="1"/>
    <x v="3"/>
    <x v="0"/>
    <x v="2"/>
    <s v="Married"/>
    <n v="89810"/>
    <n v="958"/>
    <x v="14"/>
    <x v="3"/>
    <n v="3"/>
    <s v="No"/>
    <n v="3"/>
    <x v="2"/>
    <n v="30"/>
    <x v="1"/>
    <n v="3"/>
    <x v="0"/>
  </r>
  <r>
    <n v="11578"/>
    <n v="39"/>
    <x v="1"/>
    <x v="4"/>
    <x v="1"/>
    <x v="3"/>
    <s v="Single"/>
    <n v="46280"/>
    <n v="29959"/>
    <x v="8"/>
    <x v="0"/>
    <n v="3"/>
    <s v="No"/>
    <n v="2"/>
    <x v="15"/>
    <n v="53"/>
    <x v="0"/>
    <n v="3"/>
    <x v="0"/>
  </r>
  <r>
    <n v="11579"/>
    <n v="35"/>
    <x v="0"/>
    <x v="2"/>
    <x v="4"/>
    <x v="1"/>
    <s v="Single"/>
    <n v="29483"/>
    <n v="23244"/>
    <x v="3"/>
    <x v="5"/>
    <n v="3"/>
    <s v="Yes"/>
    <n v="4"/>
    <x v="31"/>
    <n v="28"/>
    <x v="2"/>
    <n v="3"/>
    <x v="0"/>
  </r>
  <r>
    <n v="11580"/>
    <n v="35"/>
    <x v="0"/>
    <x v="3"/>
    <x v="0"/>
    <x v="2"/>
    <s v="Married"/>
    <n v="74546"/>
    <n v="11322"/>
    <x v="16"/>
    <x v="8"/>
    <n v="5"/>
    <s v="No"/>
    <n v="4"/>
    <x v="18"/>
    <n v="57"/>
    <x v="1"/>
    <n v="1"/>
    <x v="0"/>
  </r>
  <r>
    <n v="11581"/>
    <n v="30"/>
    <x v="0"/>
    <x v="2"/>
    <x v="1"/>
    <x v="2"/>
    <s v="Single"/>
    <n v="45388"/>
    <n v="11849"/>
    <x v="14"/>
    <x v="12"/>
    <n v="4"/>
    <s v="Yes"/>
    <n v="2"/>
    <x v="9"/>
    <n v="29"/>
    <x v="2"/>
    <n v="3"/>
    <x v="0"/>
  </r>
  <r>
    <n v="11582"/>
    <n v="29"/>
    <x v="1"/>
    <x v="3"/>
    <x v="4"/>
    <x v="3"/>
    <s v="Married"/>
    <n v="28354"/>
    <n v="29151"/>
    <x v="8"/>
    <x v="9"/>
    <n v="2"/>
    <s v="Yes"/>
    <n v="4"/>
    <x v="8"/>
    <n v="45"/>
    <x v="0"/>
    <n v="3"/>
    <x v="0"/>
  </r>
  <r>
    <n v="11583"/>
    <n v="38"/>
    <x v="0"/>
    <x v="0"/>
    <x v="2"/>
    <x v="0"/>
    <s v="Married"/>
    <n v="15802"/>
    <n v="1436"/>
    <x v="11"/>
    <x v="4"/>
    <n v="4"/>
    <s v="No"/>
    <n v="4"/>
    <x v="9"/>
    <n v="19"/>
    <x v="1"/>
    <n v="1"/>
    <x v="0"/>
  </r>
  <r>
    <n v="11584"/>
    <n v="44"/>
    <x v="0"/>
    <x v="4"/>
    <x v="1"/>
    <x v="3"/>
    <s v="Married"/>
    <n v="64361"/>
    <n v="42701"/>
    <x v="2"/>
    <x v="9"/>
    <n v="4"/>
    <s v="No"/>
    <n v="2"/>
    <x v="8"/>
    <n v="38"/>
    <x v="2"/>
    <n v="1"/>
    <x v="0"/>
  </r>
  <r>
    <n v="11585"/>
    <n v="56"/>
    <x v="0"/>
    <x v="2"/>
    <x v="5"/>
    <x v="2"/>
    <s v="Single"/>
    <n v="172318"/>
    <n v="20234"/>
    <x v="7"/>
    <x v="2"/>
    <n v="5"/>
    <s v="Yes"/>
    <n v="3"/>
    <x v="6"/>
    <n v="37"/>
    <x v="1"/>
    <n v="2"/>
    <x v="0"/>
  </r>
  <r>
    <n v="11586"/>
    <n v="55"/>
    <x v="1"/>
    <x v="3"/>
    <x v="0"/>
    <x v="2"/>
    <s v="Married"/>
    <n v="60794"/>
    <n v="25209"/>
    <x v="13"/>
    <x v="1"/>
    <n v="3"/>
    <s v="No"/>
    <n v="3"/>
    <x v="19"/>
    <n v="5"/>
    <x v="3"/>
    <n v="4"/>
    <x v="0"/>
  </r>
  <r>
    <n v="11587"/>
    <n v="47"/>
    <x v="0"/>
    <x v="3"/>
    <x v="1"/>
    <x v="2"/>
    <s v="Single"/>
    <n v="46904"/>
    <n v="2879"/>
    <x v="18"/>
    <x v="5"/>
    <n v="3"/>
    <s v="No"/>
    <n v="4"/>
    <x v="15"/>
    <n v="48"/>
    <x v="0"/>
    <n v="2"/>
    <x v="0"/>
  </r>
  <r>
    <n v="11588"/>
    <n v="34"/>
    <x v="1"/>
    <x v="4"/>
    <x v="1"/>
    <x v="2"/>
    <s v="Single"/>
    <n v="64789"/>
    <n v="9975"/>
    <x v="9"/>
    <x v="13"/>
    <n v="2"/>
    <s v="Yes"/>
    <n v="3"/>
    <x v="20"/>
    <n v="48"/>
    <x v="2"/>
    <n v="3"/>
    <x v="0"/>
  </r>
  <r>
    <n v="11589"/>
    <n v="44"/>
    <x v="1"/>
    <x v="1"/>
    <x v="1"/>
    <x v="2"/>
    <s v="Single"/>
    <n v="61585"/>
    <n v="7839"/>
    <x v="10"/>
    <x v="1"/>
    <n v="2"/>
    <s v="No"/>
    <n v="4"/>
    <x v="23"/>
    <n v="25"/>
    <x v="2"/>
    <n v="4"/>
    <x v="0"/>
  </r>
  <r>
    <n v="11590"/>
    <n v="32"/>
    <x v="1"/>
    <x v="2"/>
    <x v="4"/>
    <x v="2"/>
    <s v="Married"/>
    <n v="26408"/>
    <n v="32457"/>
    <x v="23"/>
    <x v="5"/>
    <n v="3"/>
    <s v="No"/>
    <n v="4"/>
    <x v="17"/>
    <n v="47"/>
    <x v="1"/>
    <n v="3"/>
    <x v="0"/>
  </r>
  <r>
    <n v="11591"/>
    <n v="31"/>
    <x v="0"/>
    <x v="2"/>
    <x v="1"/>
    <x v="2"/>
    <s v="Married"/>
    <n v="62910"/>
    <n v="38694"/>
    <x v="16"/>
    <x v="12"/>
    <n v="2"/>
    <s v="No"/>
    <n v="3"/>
    <x v="4"/>
    <n v="13"/>
    <x v="0"/>
    <n v="3"/>
    <x v="0"/>
  </r>
  <r>
    <n v="11592"/>
    <n v="59"/>
    <x v="1"/>
    <x v="2"/>
    <x v="4"/>
    <x v="0"/>
    <s v="Single"/>
    <n v="44431"/>
    <n v="17577"/>
    <x v="15"/>
    <x v="0"/>
    <n v="3"/>
    <s v="Yes"/>
    <n v="3"/>
    <x v="5"/>
    <n v="14"/>
    <x v="0"/>
    <n v="2"/>
    <x v="0"/>
  </r>
  <r>
    <n v="11593"/>
    <n v="32"/>
    <x v="1"/>
    <x v="2"/>
    <x v="0"/>
    <x v="2"/>
    <s v="Single"/>
    <n v="86946"/>
    <n v="27957"/>
    <x v="22"/>
    <x v="12"/>
    <n v="4"/>
    <s v="No"/>
    <n v="3"/>
    <x v="13"/>
    <n v="15"/>
    <x v="2"/>
    <n v="3"/>
    <x v="1"/>
  </r>
  <r>
    <n v="11594"/>
    <n v="39"/>
    <x v="0"/>
    <x v="3"/>
    <x v="0"/>
    <x v="2"/>
    <s v="Single"/>
    <n v="73388"/>
    <n v="11155"/>
    <x v="11"/>
    <x v="14"/>
    <n v="2"/>
    <s v="No"/>
    <n v="1"/>
    <x v="10"/>
    <n v="48"/>
    <x v="3"/>
    <n v="3"/>
    <x v="0"/>
  </r>
  <r>
    <n v="11595"/>
    <n v="38"/>
    <x v="0"/>
    <x v="2"/>
    <x v="5"/>
    <x v="0"/>
    <s v="Married"/>
    <n v="175377"/>
    <n v="12889"/>
    <x v="6"/>
    <x v="6"/>
    <n v="5"/>
    <s v="No"/>
    <n v="1"/>
    <x v="0"/>
    <n v="45"/>
    <x v="1"/>
    <n v="2"/>
    <x v="1"/>
  </r>
  <r>
    <n v="11596"/>
    <n v="50"/>
    <x v="0"/>
    <x v="2"/>
    <x v="3"/>
    <x v="2"/>
    <s v="Married"/>
    <n v="95884"/>
    <n v="38270"/>
    <x v="23"/>
    <x v="7"/>
    <n v="3"/>
    <s v="Yes"/>
    <n v="3"/>
    <x v="29"/>
    <n v="18"/>
    <x v="3"/>
    <n v="3"/>
    <x v="0"/>
  </r>
  <r>
    <n v="11597"/>
    <n v="34"/>
    <x v="0"/>
    <x v="3"/>
    <x v="4"/>
    <x v="2"/>
    <s v="Married"/>
    <n v="30905"/>
    <n v="12061"/>
    <x v="18"/>
    <x v="3"/>
    <n v="1"/>
    <s v="Yes"/>
    <n v="2"/>
    <x v="26"/>
    <n v="39"/>
    <x v="2"/>
    <n v="2"/>
    <x v="0"/>
  </r>
  <r>
    <n v="11598"/>
    <n v="48"/>
    <x v="0"/>
    <x v="2"/>
    <x v="1"/>
    <x v="2"/>
    <s v="Married"/>
    <n v="57411"/>
    <n v="26169"/>
    <x v="19"/>
    <x v="14"/>
    <n v="3"/>
    <s v="No"/>
    <n v="3"/>
    <x v="21"/>
    <n v="45"/>
    <x v="0"/>
    <n v="4"/>
    <x v="0"/>
  </r>
  <r>
    <n v="11599"/>
    <n v="44"/>
    <x v="1"/>
    <x v="1"/>
    <x v="4"/>
    <x v="3"/>
    <s v="Married"/>
    <n v="43833"/>
    <n v="12108"/>
    <x v="16"/>
    <x v="3"/>
    <n v="3"/>
    <s v="No"/>
    <n v="4"/>
    <x v="17"/>
    <n v="39"/>
    <x v="2"/>
    <n v="3"/>
    <x v="1"/>
  </r>
  <r>
    <n v="11600"/>
    <n v="31"/>
    <x v="1"/>
    <x v="3"/>
    <x v="0"/>
    <x v="1"/>
    <s v="Single"/>
    <n v="67123"/>
    <n v="14248"/>
    <x v="5"/>
    <x v="14"/>
    <n v="3"/>
    <s v="No"/>
    <n v="4"/>
    <x v="17"/>
    <n v="59"/>
    <x v="3"/>
    <n v="2"/>
    <x v="0"/>
  </r>
  <r>
    <n v="11601"/>
    <n v="46"/>
    <x v="0"/>
    <x v="3"/>
    <x v="2"/>
    <x v="2"/>
    <s v="Married"/>
    <n v="14802"/>
    <n v="39300"/>
    <x v="15"/>
    <x v="6"/>
    <n v="2"/>
    <s v="No"/>
    <n v="4"/>
    <x v="2"/>
    <n v="56"/>
    <x v="0"/>
    <n v="2"/>
    <x v="0"/>
  </r>
  <r>
    <n v="11602"/>
    <n v="37"/>
    <x v="0"/>
    <x v="3"/>
    <x v="2"/>
    <x v="2"/>
    <s v="Married"/>
    <n v="15157"/>
    <n v="5350"/>
    <x v="24"/>
    <x v="9"/>
    <n v="3"/>
    <s v="No"/>
    <n v="3"/>
    <x v="30"/>
    <n v="44"/>
    <x v="2"/>
    <n v="3"/>
    <x v="0"/>
  </r>
  <r>
    <n v="11603"/>
    <n v="43"/>
    <x v="0"/>
    <x v="1"/>
    <x v="0"/>
    <x v="2"/>
    <s v="Single"/>
    <n v="77073"/>
    <n v="34796"/>
    <x v="19"/>
    <x v="6"/>
    <n v="4"/>
    <s v="No"/>
    <n v="2"/>
    <x v="1"/>
    <n v="48"/>
    <x v="0"/>
    <n v="1"/>
    <x v="0"/>
  </r>
  <r>
    <n v="11604"/>
    <n v="52"/>
    <x v="0"/>
    <x v="5"/>
    <x v="0"/>
    <x v="2"/>
    <s v="Married"/>
    <n v="77164"/>
    <n v="28283"/>
    <x v="3"/>
    <x v="4"/>
    <n v="4"/>
    <s v="No"/>
    <n v="1"/>
    <x v="16"/>
    <n v="11"/>
    <x v="2"/>
    <n v="2"/>
    <x v="1"/>
  </r>
  <r>
    <n v="11605"/>
    <n v="31"/>
    <x v="1"/>
    <x v="1"/>
    <x v="0"/>
    <x v="2"/>
    <s v="Single"/>
    <n v="72262"/>
    <n v="33133"/>
    <x v="5"/>
    <x v="4"/>
    <n v="4"/>
    <s v="Yes"/>
    <n v="1"/>
    <x v="31"/>
    <n v="33"/>
    <x v="2"/>
    <n v="4"/>
    <x v="1"/>
  </r>
  <r>
    <n v="11606"/>
    <n v="27"/>
    <x v="1"/>
    <x v="1"/>
    <x v="4"/>
    <x v="2"/>
    <s v="Single"/>
    <n v="33273"/>
    <n v="13036"/>
    <x v="16"/>
    <x v="4"/>
    <n v="3"/>
    <s v="No"/>
    <n v="3"/>
    <x v="33"/>
    <n v="26"/>
    <x v="0"/>
    <n v="1"/>
    <x v="0"/>
  </r>
  <r>
    <n v="11607"/>
    <n v="31"/>
    <x v="1"/>
    <x v="2"/>
    <x v="0"/>
    <x v="3"/>
    <s v="Married"/>
    <n v="60387"/>
    <n v="24675"/>
    <x v="20"/>
    <x v="3"/>
    <n v="3"/>
    <s v="No"/>
    <n v="3"/>
    <x v="14"/>
    <n v="14"/>
    <x v="1"/>
    <n v="2"/>
    <x v="0"/>
  </r>
  <r>
    <n v="11608"/>
    <n v="48"/>
    <x v="1"/>
    <x v="3"/>
    <x v="2"/>
    <x v="0"/>
    <s v="Married"/>
    <n v="10034"/>
    <n v="23927"/>
    <x v="20"/>
    <x v="4"/>
    <n v="2"/>
    <s v="No"/>
    <n v="4"/>
    <x v="29"/>
    <n v="51"/>
    <x v="2"/>
    <n v="1"/>
    <x v="1"/>
  </r>
  <r>
    <n v="11609"/>
    <n v="37"/>
    <x v="0"/>
    <x v="2"/>
    <x v="1"/>
    <x v="2"/>
    <s v="Married"/>
    <n v="47978"/>
    <n v="11951"/>
    <x v="3"/>
    <x v="6"/>
    <n v="4"/>
    <s v="Yes"/>
    <n v="1"/>
    <x v="38"/>
    <n v="33"/>
    <x v="2"/>
    <n v="1"/>
    <x v="1"/>
  </r>
  <r>
    <n v="11610"/>
    <n v="56"/>
    <x v="1"/>
    <x v="4"/>
    <x v="5"/>
    <x v="2"/>
    <s v="Single"/>
    <n v="158394"/>
    <n v="8866"/>
    <x v="9"/>
    <x v="6"/>
    <n v="3"/>
    <s v="No"/>
    <n v="2"/>
    <x v="23"/>
    <n v="34"/>
    <x v="3"/>
    <n v="3"/>
    <x v="0"/>
  </r>
  <r>
    <n v="11611"/>
    <n v="31"/>
    <x v="0"/>
    <x v="2"/>
    <x v="1"/>
    <x v="2"/>
    <s v="Single"/>
    <n v="69523"/>
    <n v="10071"/>
    <x v="18"/>
    <x v="11"/>
    <n v="4"/>
    <s v="Yes"/>
    <n v="4"/>
    <x v="15"/>
    <n v="12"/>
    <x v="0"/>
    <n v="2"/>
    <x v="0"/>
  </r>
  <r>
    <n v="11612"/>
    <n v="53"/>
    <x v="0"/>
    <x v="4"/>
    <x v="4"/>
    <x v="2"/>
    <s v="Single"/>
    <n v="27811"/>
    <n v="12672"/>
    <x v="11"/>
    <x v="3"/>
    <n v="4"/>
    <s v="No"/>
    <n v="4"/>
    <x v="2"/>
    <n v="39"/>
    <x v="1"/>
    <n v="4"/>
    <x v="0"/>
  </r>
  <r>
    <n v="11613"/>
    <n v="57"/>
    <x v="0"/>
    <x v="3"/>
    <x v="2"/>
    <x v="2"/>
    <s v="Single"/>
    <n v="19755"/>
    <n v="16802"/>
    <x v="19"/>
    <x v="12"/>
    <n v="4"/>
    <s v="Yes"/>
    <n v="3"/>
    <x v="6"/>
    <n v="43"/>
    <x v="1"/>
    <n v="4"/>
    <x v="0"/>
  </r>
  <r>
    <n v="11614"/>
    <n v="41"/>
    <x v="0"/>
    <x v="2"/>
    <x v="5"/>
    <x v="3"/>
    <s v="Single"/>
    <n v="133957"/>
    <n v="16457"/>
    <x v="20"/>
    <x v="2"/>
    <n v="5"/>
    <s v="No"/>
    <n v="3"/>
    <x v="22"/>
    <n v="36"/>
    <x v="2"/>
    <n v="2"/>
    <x v="0"/>
  </r>
  <r>
    <n v="11615"/>
    <n v="51"/>
    <x v="1"/>
    <x v="5"/>
    <x v="1"/>
    <x v="3"/>
    <s v="Single"/>
    <n v="65339"/>
    <n v="43906"/>
    <x v="18"/>
    <x v="1"/>
    <n v="3"/>
    <s v="No"/>
    <n v="3"/>
    <x v="21"/>
    <n v="46"/>
    <x v="3"/>
    <n v="1"/>
    <x v="0"/>
  </r>
  <r>
    <n v="11616"/>
    <n v="36"/>
    <x v="0"/>
    <x v="2"/>
    <x v="1"/>
    <x v="3"/>
    <s v="Divorced"/>
    <n v="62435"/>
    <n v="22852"/>
    <x v="22"/>
    <x v="3"/>
    <n v="3"/>
    <s v="No"/>
    <n v="2"/>
    <x v="3"/>
    <n v="37"/>
    <x v="1"/>
    <n v="4"/>
    <x v="1"/>
  </r>
  <r>
    <n v="11617"/>
    <n v="55"/>
    <x v="0"/>
    <x v="1"/>
    <x v="4"/>
    <x v="3"/>
    <s v="Married"/>
    <n v="27310"/>
    <n v="23595"/>
    <x v="9"/>
    <x v="11"/>
    <n v="2"/>
    <s v="Yes"/>
    <n v="1"/>
    <x v="26"/>
    <n v="26"/>
    <x v="2"/>
    <n v="2"/>
    <x v="0"/>
  </r>
  <r>
    <n v="11618"/>
    <n v="29"/>
    <x v="0"/>
    <x v="5"/>
    <x v="4"/>
    <x v="0"/>
    <s v="Married"/>
    <n v="26268"/>
    <n v="39358"/>
    <x v="21"/>
    <x v="6"/>
    <n v="2"/>
    <s v="No"/>
    <n v="4"/>
    <x v="20"/>
    <n v="6"/>
    <x v="3"/>
    <n v="4"/>
    <x v="0"/>
  </r>
  <r>
    <n v="11619"/>
    <n v="53"/>
    <x v="1"/>
    <x v="2"/>
    <x v="4"/>
    <x v="2"/>
    <s v="Single"/>
    <n v="25910"/>
    <n v="18074"/>
    <x v="11"/>
    <x v="14"/>
    <n v="3"/>
    <s v="No"/>
    <n v="2"/>
    <x v="27"/>
    <n v="29"/>
    <x v="1"/>
    <n v="1"/>
    <x v="1"/>
  </r>
  <r>
    <n v="11620"/>
    <n v="30"/>
    <x v="0"/>
    <x v="5"/>
    <x v="2"/>
    <x v="2"/>
    <s v="Single"/>
    <n v="11560"/>
    <n v="27244"/>
    <x v="7"/>
    <x v="2"/>
    <n v="3"/>
    <s v="No"/>
    <n v="3"/>
    <x v="37"/>
    <n v="31"/>
    <x v="0"/>
    <n v="1"/>
    <x v="0"/>
  </r>
  <r>
    <n v="11621"/>
    <n v="59"/>
    <x v="0"/>
    <x v="5"/>
    <x v="4"/>
    <x v="3"/>
    <s v="Single"/>
    <n v="36515"/>
    <n v="28245"/>
    <x v="22"/>
    <x v="13"/>
    <n v="4"/>
    <s v="No"/>
    <n v="2"/>
    <x v="13"/>
    <n v="34"/>
    <x v="1"/>
    <n v="2"/>
    <x v="0"/>
  </r>
  <r>
    <n v="11622"/>
    <n v="22"/>
    <x v="1"/>
    <x v="5"/>
    <x v="4"/>
    <x v="2"/>
    <s v="Single"/>
    <n v="34914"/>
    <n v="32606"/>
    <x v="5"/>
    <x v="12"/>
    <n v="2"/>
    <s v="No"/>
    <n v="3"/>
    <x v="11"/>
    <n v="44"/>
    <x v="0"/>
    <n v="3"/>
    <x v="0"/>
  </r>
  <r>
    <n v="11623"/>
    <n v="47"/>
    <x v="0"/>
    <x v="0"/>
    <x v="4"/>
    <x v="2"/>
    <s v="Divorced"/>
    <n v="34578"/>
    <n v="46958"/>
    <x v="6"/>
    <x v="4"/>
    <n v="3"/>
    <s v="No"/>
    <n v="1"/>
    <x v="32"/>
    <n v="52"/>
    <x v="2"/>
    <n v="1"/>
    <x v="1"/>
  </r>
  <r>
    <n v="11624"/>
    <n v="21"/>
    <x v="0"/>
    <x v="5"/>
    <x v="4"/>
    <x v="0"/>
    <s v="Single"/>
    <n v="38155"/>
    <n v="49109"/>
    <x v="1"/>
    <x v="4"/>
    <n v="4"/>
    <s v="No"/>
    <n v="3"/>
    <x v="33"/>
    <n v="29"/>
    <x v="1"/>
    <n v="4"/>
    <x v="0"/>
  </r>
  <r>
    <n v="11625"/>
    <n v="35"/>
    <x v="1"/>
    <x v="1"/>
    <x v="4"/>
    <x v="2"/>
    <s v="Single"/>
    <n v="31486"/>
    <n v="7664"/>
    <x v="6"/>
    <x v="4"/>
    <n v="3"/>
    <s v="No"/>
    <n v="3"/>
    <x v="22"/>
    <n v="48"/>
    <x v="1"/>
    <n v="3"/>
    <x v="0"/>
  </r>
  <r>
    <n v="11626"/>
    <n v="33"/>
    <x v="0"/>
    <x v="1"/>
    <x v="4"/>
    <x v="3"/>
    <s v="Married"/>
    <n v="42926"/>
    <n v="32146"/>
    <x v="4"/>
    <x v="5"/>
    <n v="4"/>
    <s v="No"/>
    <n v="1"/>
    <x v="7"/>
    <n v="48"/>
    <x v="1"/>
    <n v="3"/>
    <x v="1"/>
  </r>
  <r>
    <n v="11627"/>
    <n v="52"/>
    <x v="0"/>
    <x v="3"/>
    <x v="0"/>
    <x v="0"/>
    <s v="Divorced"/>
    <n v="63950"/>
    <n v="23553"/>
    <x v="9"/>
    <x v="7"/>
    <n v="3"/>
    <s v="Yes"/>
    <n v="2"/>
    <x v="12"/>
    <n v="54"/>
    <x v="2"/>
    <n v="1"/>
    <x v="0"/>
  </r>
  <r>
    <n v="11628"/>
    <n v="21"/>
    <x v="0"/>
    <x v="2"/>
    <x v="0"/>
    <x v="3"/>
    <s v="Single"/>
    <n v="74913"/>
    <n v="17279"/>
    <x v="22"/>
    <x v="6"/>
    <n v="4"/>
    <s v="No"/>
    <n v="2"/>
    <x v="25"/>
    <n v="57"/>
    <x v="2"/>
    <n v="2"/>
    <x v="0"/>
  </r>
  <r>
    <n v="11629"/>
    <n v="27"/>
    <x v="0"/>
    <x v="1"/>
    <x v="1"/>
    <x v="2"/>
    <s v="Married"/>
    <n v="58923"/>
    <n v="31419"/>
    <x v="15"/>
    <x v="0"/>
    <n v="3"/>
    <s v="No"/>
    <n v="4"/>
    <x v="6"/>
    <n v="27"/>
    <x v="2"/>
    <n v="3"/>
    <x v="0"/>
  </r>
  <r>
    <n v="11630"/>
    <n v="23"/>
    <x v="1"/>
    <x v="2"/>
    <x v="1"/>
    <x v="3"/>
    <s v="Divorced"/>
    <n v="47683"/>
    <n v="20487"/>
    <x v="17"/>
    <x v="2"/>
    <n v="3"/>
    <s v="Yes"/>
    <n v="3"/>
    <x v="22"/>
    <n v="11"/>
    <x v="3"/>
    <n v="3"/>
    <x v="0"/>
  </r>
  <r>
    <n v="11631"/>
    <n v="48"/>
    <x v="1"/>
    <x v="1"/>
    <x v="4"/>
    <x v="0"/>
    <s v="Married"/>
    <n v="40987"/>
    <n v="39330"/>
    <x v="7"/>
    <x v="2"/>
    <n v="4"/>
    <s v="No"/>
    <n v="1"/>
    <x v="6"/>
    <n v="41"/>
    <x v="3"/>
    <n v="4"/>
    <x v="0"/>
  </r>
  <r>
    <n v="11632"/>
    <n v="48"/>
    <x v="0"/>
    <x v="2"/>
    <x v="0"/>
    <x v="3"/>
    <s v="Single"/>
    <n v="63623"/>
    <n v="18953"/>
    <x v="14"/>
    <x v="10"/>
    <n v="5"/>
    <s v="No"/>
    <n v="1"/>
    <x v="7"/>
    <n v="59"/>
    <x v="2"/>
    <n v="3"/>
    <x v="1"/>
  </r>
  <r>
    <n v="11633"/>
    <n v="57"/>
    <x v="0"/>
    <x v="1"/>
    <x v="0"/>
    <x v="0"/>
    <s v="Single"/>
    <n v="78186"/>
    <n v="43211"/>
    <x v="2"/>
    <x v="11"/>
    <n v="5"/>
    <s v="No"/>
    <n v="3"/>
    <x v="32"/>
    <n v="7"/>
    <x v="0"/>
    <n v="3"/>
    <x v="0"/>
  </r>
  <r>
    <n v="11634"/>
    <n v="23"/>
    <x v="1"/>
    <x v="2"/>
    <x v="0"/>
    <x v="0"/>
    <s v="Single"/>
    <n v="64045"/>
    <n v="21604"/>
    <x v="7"/>
    <x v="6"/>
    <n v="3"/>
    <s v="Yes"/>
    <n v="2"/>
    <x v="16"/>
    <n v="9"/>
    <x v="3"/>
    <n v="3"/>
    <x v="0"/>
  </r>
  <r>
    <n v="11635"/>
    <n v="54"/>
    <x v="0"/>
    <x v="4"/>
    <x v="0"/>
    <x v="0"/>
    <s v="Married"/>
    <n v="63826"/>
    <n v="3993"/>
    <x v="15"/>
    <x v="0"/>
    <n v="1"/>
    <s v="No"/>
    <n v="4"/>
    <x v="25"/>
    <n v="21"/>
    <x v="0"/>
    <n v="1"/>
    <x v="0"/>
  </r>
  <r>
    <n v="11636"/>
    <n v="57"/>
    <x v="0"/>
    <x v="5"/>
    <x v="4"/>
    <x v="2"/>
    <s v="Divorced"/>
    <n v="29189"/>
    <n v="18297"/>
    <x v="0"/>
    <x v="4"/>
    <n v="5"/>
    <s v="No"/>
    <n v="3"/>
    <x v="8"/>
    <n v="7"/>
    <x v="1"/>
    <n v="2"/>
    <x v="0"/>
  </r>
  <r>
    <n v="11637"/>
    <n v="36"/>
    <x v="0"/>
    <x v="0"/>
    <x v="4"/>
    <x v="2"/>
    <s v="Single"/>
    <n v="43895"/>
    <n v="31828"/>
    <x v="11"/>
    <x v="13"/>
    <n v="4"/>
    <s v="No"/>
    <n v="3"/>
    <x v="28"/>
    <n v="55"/>
    <x v="0"/>
    <n v="3"/>
    <x v="1"/>
  </r>
  <r>
    <n v="11638"/>
    <n v="35"/>
    <x v="0"/>
    <x v="4"/>
    <x v="1"/>
    <x v="0"/>
    <s v="Single"/>
    <n v="60718"/>
    <n v="35689"/>
    <x v="22"/>
    <x v="8"/>
    <n v="2"/>
    <s v="No"/>
    <n v="4"/>
    <x v="7"/>
    <n v="39"/>
    <x v="0"/>
    <n v="4"/>
    <x v="0"/>
  </r>
  <r>
    <n v="11639"/>
    <n v="23"/>
    <x v="1"/>
    <x v="2"/>
    <x v="1"/>
    <x v="2"/>
    <s v="Single"/>
    <n v="53462"/>
    <n v="29512"/>
    <x v="23"/>
    <x v="4"/>
    <n v="3"/>
    <s v="No"/>
    <n v="2"/>
    <x v="1"/>
    <n v="57"/>
    <x v="1"/>
    <n v="4"/>
    <x v="0"/>
  </r>
  <r>
    <n v="11640"/>
    <n v="29"/>
    <x v="1"/>
    <x v="3"/>
    <x v="1"/>
    <x v="2"/>
    <s v="Divorced"/>
    <n v="57620"/>
    <n v="48028"/>
    <x v="5"/>
    <x v="4"/>
    <n v="3"/>
    <s v="Yes"/>
    <n v="4"/>
    <x v="7"/>
    <n v="55"/>
    <x v="3"/>
    <n v="3"/>
    <x v="0"/>
  </r>
  <r>
    <n v="11641"/>
    <n v="36"/>
    <x v="0"/>
    <x v="2"/>
    <x v="1"/>
    <x v="2"/>
    <s v="Divorced"/>
    <n v="67928"/>
    <n v="40830"/>
    <x v="1"/>
    <x v="13"/>
    <n v="3"/>
    <s v="No"/>
    <n v="3"/>
    <x v="38"/>
    <n v="50"/>
    <x v="0"/>
    <n v="3"/>
    <x v="0"/>
  </r>
  <r>
    <n v="11642"/>
    <n v="48"/>
    <x v="1"/>
    <x v="1"/>
    <x v="3"/>
    <x v="3"/>
    <s v="Single"/>
    <n v="126612"/>
    <n v="40919"/>
    <x v="12"/>
    <x v="9"/>
    <n v="3"/>
    <s v="No"/>
    <n v="3"/>
    <x v="14"/>
    <n v="16"/>
    <x v="1"/>
    <n v="4"/>
    <x v="0"/>
  </r>
  <r>
    <n v="11643"/>
    <n v="45"/>
    <x v="0"/>
    <x v="5"/>
    <x v="2"/>
    <x v="0"/>
    <s v="Single"/>
    <n v="11434"/>
    <n v="25050"/>
    <x v="2"/>
    <x v="12"/>
    <n v="4"/>
    <s v="No"/>
    <n v="3"/>
    <x v="18"/>
    <n v="26"/>
    <x v="0"/>
    <n v="4"/>
    <x v="0"/>
  </r>
  <r>
    <n v="11644"/>
    <n v="34"/>
    <x v="1"/>
    <x v="5"/>
    <x v="4"/>
    <x v="2"/>
    <s v="Married"/>
    <n v="42409"/>
    <n v="20205"/>
    <x v="0"/>
    <x v="12"/>
    <n v="2"/>
    <s v="No"/>
    <n v="3"/>
    <x v="8"/>
    <n v="40"/>
    <x v="3"/>
    <n v="2"/>
    <x v="0"/>
  </r>
  <r>
    <n v="11645"/>
    <n v="52"/>
    <x v="1"/>
    <x v="2"/>
    <x v="1"/>
    <x v="3"/>
    <s v="Married"/>
    <n v="54702"/>
    <n v="31052"/>
    <x v="5"/>
    <x v="2"/>
    <n v="5"/>
    <s v="No"/>
    <n v="2"/>
    <x v="18"/>
    <n v="36"/>
    <x v="2"/>
    <n v="2"/>
    <x v="0"/>
  </r>
  <r>
    <n v="11646"/>
    <n v="54"/>
    <x v="1"/>
    <x v="2"/>
    <x v="4"/>
    <x v="3"/>
    <s v="Single"/>
    <n v="39157"/>
    <n v="48509"/>
    <x v="10"/>
    <x v="0"/>
    <n v="5"/>
    <s v="No"/>
    <n v="3"/>
    <x v="28"/>
    <n v="31"/>
    <x v="1"/>
    <n v="2"/>
    <x v="0"/>
  </r>
  <r>
    <n v="11647"/>
    <n v="37"/>
    <x v="0"/>
    <x v="4"/>
    <x v="1"/>
    <x v="0"/>
    <s v="Married"/>
    <n v="57271"/>
    <n v="31455"/>
    <x v="15"/>
    <x v="6"/>
    <n v="5"/>
    <s v="No"/>
    <n v="3"/>
    <x v="38"/>
    <n v="25"/>
    <x v="0"/>
    <n v="4"/>
    <x v="0"/>
  </r>
  <r>
    <n v="11648"/>
    <n v="26"/>
    <x v="1"/>
    <x v="2"/>
    <x v="4"/>
    <x v="1"/>
    <s v="Married"/>
    <n v="43930"/>
    <n v="39314"/>
    <x v="7"/>
    <x v="6"/>
    <n v="4"/>
    <s v="No"/>
    <n v="4"/>
    <x v="20"/>
    <n v="51"/>
    <x v="1"/>
    <n v="1"/>
    <x v="0"/>
  </r>
  <r>
    <n v="11649"/>
    <n v="34"/>
    <x v="1"/>
    <x v="4"/>
    <x v="1"/>
    <x v="3"/>
    <s v="Single"/>
    <n v="57014"/>
    <n v="46490"/>
    <x v="9"/>
    <x v="3"/>
    <n v="4"/>
    <s v="No"/>
    <n v="4"/>
    <x v="1"/>
    <n v="17"/>
    <x v="0"/>
    <n v="2"/>
    <x v="0"/>
  </r>
  <r>
    <n v="11650"/>
    <n v="46"/>
    <x v="1"/>
    <x v="2"/>
    <x v="4"/>
    <x v="2"/>
    <s v="Married"/>
    <n v="38491"/>
    <n v="4410"/>
    <x v="15"/>
    <x v="6"/>
    <n v="3"/>
    <s v="No"/>
    <n v="3"/>
    <x v="33"/>
    <n v="48"/>
    <x v="0"/>
    <n v="3"/>
    <x v="0"/>
  </r>
  <r>
    <n v="11651"/>
    <n v="48"/>
    <x v="0"/>
    <x v="2"/>
    <x v="1"/>
    <x v="3"/>
    <s v="Married"/>
    <n v="61656"/>
    <n v="21274"/>
    <x v="10"/>
    <x v="4"/>
    <n v="4"/>
    <s v="No"/>
    <n v="2"/>
    <x v="7"/>
    <n v="36"/>
    <x v="3"/>
    <n v="2"/>
    <x v="1"/>
  </r>
  <r>
    <n v="11652"/>
    <n v="32"/>
    <x v="1"/>
    <x v="1"/>
    <x v="0"/>
    <x v="0"/>
    <s v="Married"/>
    <n v="61358"/>
    <n v="24984"/>
    <x v="7"/>
    <x v="9"/>
    <n v="1"/>
    <s v="No"/>
    <n v="1"/>
    <x v="26"/>
    <n v="27"/>
    <x v="3"/>
    <n v="3"/>
    <x v="0"/>
  </r>
  <r>
    <n v="11653"/>
    <n v="49"/>
    <x v="1"/>
    <x v="5"/>
    <x v="1"/>
    <x v="3"/>
    <s v="Married"/>
    <n v="55968"/>
    <n v="21220"/>
    <x v="4"/>
    <x v="3"/>
    <n v="3"/>
    <s v="No"/>
    <n v="3"/>
    <x v="13"/>
    <n v="20"/>
    <x v="1"/>
    <n v="1"/>
    <x v="0"/>
  </r>
  <r>
    <n v="11654"/>
    <n v="22"/>
    <x v="0"/>
    <x v="2"/>
    <x v="4"/>
    <x v="2"/>
    <s v="Single"/>
    <n v="38258"/>
    <n v="408"/>
    <x v="12"/>
    <x v="2"/>
    <n v="2"/>
    <s v="Yes"/>
    <n v="3"/>
    <x v="0"/>
    <n v="44"/>
    <x v="1"/>
    <n v="3"/>
    <x v="0"/>
  </r>
  <r>
    <n v="11655"/>
    <n v="57"/>
    <x v="0"/>
    <x v="1"/>
    <x v="4"/>
    <x v="2"/>
    <s v="Married"/>
    <n v="38407"/>
    <n v="19859"/>
    <x v="21"/>
    <x v="5"/>
    <n v="2"/>
    <s v="No"/>
    <n v="4"/>
    <x v="32"/>
    <n v="9"/>
    <x v="3"/>
    <n v="1"/>
    <x v="0"/>
  </r>
  <r>
    <n v="11656"/>
    <n v="33"/>
    <x v="1"/>
    <x v="2"/>
    <x v="4"/>
    <x v="3"/>
    <s v="Married"/>
    <n v="39844"/>
    <n v="23103"/>
    <x v="0"/>
    <x v="10"/>
    <n v="2"/>
    <s v="No"/>
    <n v="1"/>
    <x v="38"/>
    <n v="6"/>
    <x v="2"/>
    <n v="4"/>
    <x v="0"/>
  </r>
  <r>
    <n v="11657"/>
    <n v="50"/>
    <x v="0"/>
    <x v="2"/>
    <x v="5"/>
    <x v="2"/>
    <s v="Divorced"/>
    <n v="157148"/>
    <n v="2588"/>
    <x v="9"/>
    <x v="14"/>
    <n v="4"/>
    <s v="No"/>
    <n v="3"/>
    <x v="7"/>
    <n v="12"/>
    <x v="0"/>
    <n v="4"/>
    <x v="0"/>
  </r>
  <r>
    <n v="11658"/>
    <n v="48"/>
    <x v="0"/>
    <x v="3"/>
    <x v="0"/>
    <x v="2"/>
    <s v="Single"/>
    <n v="76881"/>
    <n v="21263"/>
    <x v="13"/>
    <x v="11"/>
    <n v="5"/>
    <s v="No"/>
    <n v="2"/>
    <x v="35"/>
    <n v="47"/>
    <x v="0"/>
    <n v="4"/>
    <x v="0"/>
  </r>
  <r>
    <n v="11659"/>
    <n v="25"/>
    <x v="0"/>
    <x v="4"/>
    <x v="1"/>
    <x v="2"/>
    <s v="Married"/>
    <n v="59885"/>
    <n v="9540"/>
    <x v="7"/>
    <x v="3"/>
    <n v="3"/>
    <s v="No"/>
    <n v="1"/>
    <x v="7"/>
    <n v="33"/>
    <x v="0"/>
    <n v="4"/>
    <x v="0"/>
  </r>
  <r>
    <n v="11660"/>
    <n v="52"/>
    <x v="0"/>
    <x v="2"/>
    <x v="0"/>
    <x v="2"/>
    <s v="Divorced"/>
    <n v="61510"/>
    <n v="4406"/>
    <x v="5"/>
    <x v="7"/>
    <n v="3"/>
    <s v="No"/>
    <n v="3"/>
    <x v="2"/>
    <n v="7"/>
    <x v="0"/>
    <n v="4"/>
    <x v="0"/>
  </r>
  <r>
    <n v="11661"/>
    <n v="54"/>
    <x v="0"/>
    <x v="2"/>
    <x v="1"/>
    <x v="2"/>
    <s v="Married"/>
    <n v="51426"/>
    <n v="34846"/>
    <x v="24"/>
    <x v="10"/>
    <n v="3"/>
    <s v="Yes"/>
    <n v="2"/>
    <x v="16"/>
    <n v="41"/>
    <x v="2"/>
    <n v="2"/>
    <x v="0"/>
  </r>
  <r>
    <n v="11662"/>
    <n v="49"/>
    <x v="1"/>
    <x v="4"/>
    <x v="1"/>
    <x v="0"/>
    <s v="Married"/>
    <n v="46238"/>
    <n v="33547"/>
    <x v="4"/>
    <x v="8"/>
    <n v="3"/>
    <s v="No"/>
    <n v="1"/>
    <x v="14"/>
    <n v="19"/>
    <x v="0"/>
    <n v="3"/>
    <x v="0"/>
  </r>
  <r>
    <n v="11663"/>
    <n v="36"/>
    <x v="0"/>
    <x v="2"/>
    <x v="3"/>
    <x v="0"/>
    <s v="Single"/>
    <n v="120712"/>
    <n v="13207"/>
    <x v="22"/>
    <x v="0"/>
    <n v="4"/>
    <s v="No"/>
    <n v="3"/>
    <x v="9"/>
    <n v="56"/>
    <x v="3"/>
    <n v="3"/>
    <x v="0"/>
  </r>
  <r>
    <n v="11664"/>
    <n v="46"/>
    <x v="0"/>
    <x v="3"/>
    <x v="0"/>
    <x v="2"/>
    <s v="Married"/>
    <n v="71942"/>
    <n v="45884"/>
    <x v="23"/>
    <x v="8"/>
    <n v="4"/>
    <s v="No"/>
    <n v="4"/>
    <x v="24"/>
    <n v="6"/>
    <x v="3"/>
    <n v="2"/>
    <x v="0"/>
  </r>
  <r>
    <n v="11665"/>
    <n v="31"/>
    <x v="0"/>
    <x v="2"/>
    <x v="3"/>
    <x v="0"/>
    <s v="Single"/>
    <n v="121090"/>
    <n v="42016"/>
    <x v="24"/>
    <x v="10"/>
    <n v="2"/>
    <s v="No"/>
    <n v="4"/>
    <x v="20"/>
    <n v="5"/>
    <x v="3"/>
    <n v="2"/>
    <x v="0"/>
  </r>
  <r>
    <n v="11666"/>
    <n v="45"/>
    <x v="1"/>
    <x v="0"/>
    <x v="0"/>
    <x v="2"/>
    <s v="Married"/>
    <n v="82665"/>
    <n v="25533"/>
    <x v="23"/>
    <x v="0"/>
    <n v="4"/>
    <s v="No"/>
    <n v="1"/>
    <x v="10"/>
    <n v="37"/>
    <x v="0"/>
    <n v="3"/>
    <x v="0"/>
  </r>
  <r>
    <n v="11667"/>
    <n v="57"/>
    <x v="0"/>
    <x v="3"/>
    <x v="3"/>
    <x v="2"/>
    <s v="Married"/>
    <n v="124500"/>
    <n v="9176"/>
    <x v="11"/>
    <x v="5"/>
    <n v="3"/>
    <s v="No"/>
    <n v="1"/>
    <x v="29"/>
    <n v="50"/>
    <x v="0"/>
    <n v="2"/>
    <x v="0"/>
  </r>
  <r>
    <n v="11668"/>
    <n v="32"/>
    <x v="0"/>
    <x v="2"/>
    <x v="2"/>
    <x v="2"/>
    <s v="Single"/>
    <n v="11136"/>
    <n v="948"/>
    <x v="0"/>
    <x v="13"/>
    <n v="3"/>
    <s v="No"/>
    <n v="3"/>
    <x v="32"/>
    <n v="31"/>
    <x v="0"/>
    <n v="3"/>
    <x v="0"/>
  </r>
  <r>
    <n v="11669"/>
    <n v="39"/>
    <x v="0"/>
    <x v="4"/>
    <x v="3"/>
    <x v="0"/>
    <s v="Married"/>
    <n v="109572"/>
    <n v="9407"/>
    <x v="8"/>
    <x v="10"/>
    <n v="3"/>
    <s v="Yes"/>
    <n v="4"/>
    <x v="7"/>
    <n v="16"/>
    <x v="1"/>
    <n v="3"/>
    <x v="0"/>
  </r>
  <r>
    <n v="11670"/>
    <n v="47"/>
    <x v="1"/>
    <x v="2"/>
    <x v="1"/>
    <x v="3"/>
    <s v="Married"/>
    <n v="48337"/>
    <n v="28920"/>
    <x v="20"/>
    <x v="12"/>
    <n v="4"/>
    <s v="Yes"/>
    <n v="3"/>
    <x v="10"/>
    <n v="41"/>
    <x v="1"/>
    <n v="3"/>
    <x v="0"/>
  </r>
  <r>
    <n v="11671"/>
    <n v="57"/>
    <x v="0"/>
    <x v="3"/>
    <x v="2"/>
    <x v="2"/>
    <s v="Married"/>
    <n v="13735"/>
    <n v="19629"/>
    <x v="9"/>
    <x v="12"/>
    <n v="4"/>
    <s v="No"/>
    <n v="3"/>
    <x v="32"/>
    <n v="37"/>
    <x v="0"/>
    <n v="2"/>
    <x v="0"/>
  </r>
  <r>
    <n v="11672"/>
    <n v="48"/>
    <x v="0"/>
    <x v="2"/>
    <x v="3"/>
    <x v="2"/>
    <s v="Married"/>
    <n v="90844"/>
    <n v="22523"/>
    <x v="22"/>
    <x v="0"/>
    <n v="3"/>
    <s v="Yes"/>
    <n v="2"/>
    <x v="6"/>
    <n v="11"/>
    <x v="3"/>
    <n v="2"/>
    <x v="0"/>
  </r>
  <r>
    <n v="11673"/>
    <n v="49"/>
    <x v="0"/>
    <x v="3"/>
    <x v="4"/>
    <x v="0"/>
    <s v="Married"/>
    <n v="31380"/>
    <n v="19729"/>
    <x v="15"/>
    <x v="7"/>
    <n v="3"/>
    <s v="No"/>
    <n v="4"/>
    <x v="15"/>
    <n v="56"/>
    <x v="3"/>
    <n v="4"/>
    <x v="0"/>
  </r>
  <r>
    <n v="11674"/>
    <n v="30"/>
    <x v="1"/>
    <x v="3"/>
    <x v="0"/>
    <x v="2"/>
    <s v="Married"/>
    <n v="74548"/>
    <n v="35032"/>
    <x v="22"/>
    <x v="12"/>
    <n v="3"/>
    <s v="No"/>
    <n v="4"/>
    <x v="4"/>
    <n v="5"/>
    <x v="3"/>
    <n v="1"/>
    <x v="1"/>
  </r>
  <r>
    <n v="11675"/>
    <n v="32"/>
    <x v="0"/>
    <x v="2"/>
    <x v="4"/>
    <x v="2"/>
    <s v="Single"/>
    <n v="38658"/>
    <n v="18853"/>
    <x v="17"/>
    <x v="3"/>
    <n v="3"/>
    <s v="No"/>
    <n v="1"/>
    <x v="17"/>
    <n v="48"/>
    <x v="3"/>
    <n v="3"/>
    <x v="0"/>
  </r>
  <r>
    <n v="11676"/>
    <n v="24"/>
    <x v="0"/>
    <x v="2"/>
    <x v="1"/>
    <x v="3"/>
    <s v="Single"/>
    <n v="45574"/>
    <n v="34224"/>
    <x v="9"/>
    <x v="7"/>
    <n v="4"/>
    <s v="No"/>
    <n v="2"/>
    <x v="19"/>
    <n v="34"/>
    <x v="0"/>
    <n v="4"/>
    <x v="0"/>
  </r>
  <r>
    <n v="11677"/>
    <n v="30"/>
    <x v="0"/>
    <x v="5"/>
    <x v="0"/>
    <x v="2"/>
    <s v="Married"/>
    <n v="82446"/>
    <n v="47258"/>
    <x v="2"/>
    <x v="10"/>
    <n v="3"/>
    <s v="No"/>
    <n v="3"/>
    <x v="20"/>
    <n v="35"/>
    <x v="0"/>
    <n v="3"/>
    <x v="0"/>
  </r>
  <r>
    <n v="11678"/>
    <n v="48"/>
    <x v="0"/>
    <x v="3"/>
    <x v="0"/>
    <x v="2"/>
    <s v="Single"/>
    <n v="74694"/>
    <n v="19841"/>
    <x v="18"/>
    <x v="14"/>
    <n v="3"/>
    <s v="No"/>
    <n v="2"/>
    <x v="0"/>
    <n v="12"/>
    <x v="0"/>
    <n v="1"/>
    <x v="0"/>
  </r>
  <r>
    <n v="11679"/>
    <n v="20"/>
    <x v="1"/>
    <x v="0"/>
    <x v="1"/>
    <x v="0"/>
    <s v="Married"/>
    <n v="51454"/>
    <n v="17196"/>
    <x v="0"/>
    <x v="11"/>
    <n v="3"/>
    <s v="No"/>
    <n v="3"/>
    <x v="37"/>
    <n v="44"/>
    <x v="0"/>
    <n v="3"/>
    <x v="0"/>
  </r>
  <r>
    <n v="11680"/>
    <n v="46"/>
    <x v="1"/>
    <x v="3"/>
    <x v="0"/>
    <x v="0"/>
    <s v="Married"/>
    <n v="70452"/>
    <n v="20764"/>
    <x v="15"/>
    <x v="8"/>
    <n v="3"/>
    <s v="Yes"/>
    <n v="4"/>
    <x v="7"/>
    <n v="59"/>
    <x v="3"/>
    <n v="1"/>
    <x v="0"/>
  </r>
  <r>
    <n v="11681"/>
    <n v="40"/>
    <x v="0"/>
    <x v="1"/>
    <x v="0"/>
    <x v="1"/>
    <s v="Single"/>
    <n v="65233"/>
    <n v="44739"/>
    <x v="14"/>
    <x v="4"/>
    <n v="2"/>
    <s v="No"/>
    <n v="3"/>
    <x v="6"/>
    <n v="30"/>
    <x v="1"/>
    <n v="4"/>
    <x v="0"/>
  </r>
  <r>
    <n v="11682"/>
    <n v="47"/>
    <x v="0"/>
    <x v="3"/>
    <x v="3"/>
    <x v="3"/>
    <s v="Single"/>
    <n v="103550"/>
    <n v="16721"/>
    <x v="23"/>
    <x v="13"/>
    <n v="3"/>
    <s v="Yes"/>
    <n v="2"/>
    <x v="21"/>
    <n v="55"/>
    <x v="0"/>
    <n v="3"/>
    <x v="0"/>
  </r>
  <r>
    <n v="11683"/>
    <n v="53"/>
    <x v="0"/>
    <x v="2"/>
    <x v="4"/>
    <x v="2"/>
    <s v="Married"/>
    <n v="36699"/>
    <n v="8351"/>
    <x v="23"/>
    <x v="3"/>
    <n v="3"/>
    <s v="Yes"/>
    <n v="4"/>
    <x v="8"/>
    <n v="6"/>
    <x v="0"/>
    <n v="3"/>
    <x v="0"/>
  </r>
  <r>
    <n v="11684"/>
    <n v="49"/>
    <x v="0"/>
    <x v="2"/>
    <x v="4"/>
    <x v="2"/>
    <s v="Married"/>
    <n v="28747"/>
    <n v="28927"/>
    <x v="6"/>
    <x v="1"/>
    <n v="3"/>
    <s v="No"/>
    <n v="4"/>
    <x v="26"/>
    <n v="50"/>
    <x v="0"/>
    <n v="4"/>
    <x v="0"/>
  </r>
  <r>
    <n v="11685"/>
    <n v="22"/>
    <x v="0"/>
    <x v="1"/>
    <x v="2"/>
    <x v="0"/>
    <s v="Married"/>
    <n v="15098"/>
    <n v="33506"/>
    <x v="8"/>
    <x v="10"/>
    <n v="3"/>
    <s v="No"/>
    <n v="3"/>
    <x v="1"/>
    <n v="54"/>
    <x v="0"/>
    <n v="1"/>
    <x v="0"/>
  </r>
  <r>
    <n v="11686"/>
    <n v="52"/>
    <x v="0"/>
    <x v="1"/>
    <x v="1"/>
    <x v="2"/>
    <s v="Married"/>
    <n v="50339"/>
    <n v="1809"/>
    <x v="24"/>
    <x v="4"/>
    <n v="5"/>
    <s v="No"/>
    <n v="3"/>
    <x v="20"/>
    <n v="9"/>
    <x v="3"/>
    <n v="3"/>
    <x v="0"/>
  </r>
  <r>
    <n v="11687"/>
    <n v="28"/>
    <x v="1"/>
    <x v="3"/>
    <x v="4"/>
    <x v="0"/>
    <s v="Married"/>
    <n v="30202"/>
    <n v="41290"/>
    <x v="6"/>
    <x v="14"/>
    <n v="4"/>
    <s v="Yes"/>
    <n v="2"/>
    <x v="15"/>
    <n v="15"/>
    <x v="2"/>
    <n v="2"/>
    <x v="1"/>
  </r>
  <r>
    <n v="11688"/>
    <n v="23"/>
    <x v="0"/>
    <x v="0"/>
    <x v="4"/>
    <x v="2"/>
    <s v="Single"/>
    <n v="32148"/>
    <n v="44006"/>
    <x v="9"/>
    <x v="4"/>
    <n v="5"/>
    <s v="Yes"/>
    <n v="3"/>
    <x v="11"/>
    <n v="44"/>
    <x v="0"/>
    <n v="3"/>
    <x v="0"/>
  </r>
  <r>
    <n v="11689"/>
    <n v="21"/>
    <x v="1"/>
    <x v="4"/>
    <x v="4"/>
    <x v="2"/>
    <s v="Married"/>
    <n v="43508"/>
    <n v="1085"/>
    <x v="5"/>
    <x v="12"/>
    <n v="3"/>
    <s v="No"/>
    <n v="3"/>
    <x v="29"/>
    <n v="39"/>
    <x v="0"/>
    <n v="3"/>
    <x v="0"/>
  </r>
  <r>
    <n v="11690"/>
    <n v="47"/>
    <x v="0"/>
    <x v="0"/>
    <x v="0"/>
    <x v="0"/>
    <s v="Single"/>
    <n v="65263"/>
    <n v="21024"/>
    <x v="16"/>
    <x v="0"/>
    <n v="4"/>
    <s v="No"/>
    <n v="2"/>
    <x v="16"/>
    <n v="24"/>
    <x v="3"/>
    <n v="1"/>
    <x v="0"/>
  </r>
  <r>
    <n v="11691"/>
    <n v="28"/>
    <x v="0"/>
    <x v="3"/>
    <x v="2"/>
    <x v="2"/>
    <s v="Divorced"/>
    <n v="13853"/>
    <n v="48232"/>
    <x v="10"/>
    <x v="9"/>
    <n v="3"/>
    <s v="No"/>
    <n v="1"/>
    <x v="27"/>
    <n v="36"/>
    <x v="2"/>
    <n v="1"/>
    <x v="1"/>
  </r>
  <r>
    <n v="11692"/>
    <n v="37"/>
    <x v="1"/>
    <x v="0"/>
    <x v="3"/>
    <x v="0"/>
    <s v="Divorced"/>
    <n v="97174"/>
    <n v="29472"/>
    <x v="22"/>
    <x v="9"/>
    <n v="5"/>
    <s v="No"/>
    <n v="1"/>
    <x v="21"/>
    <n v="18"/>
    <x v="1"/>
    <n v="3"/>
    <x v="0"/>
  </r>
  <r>
    <n v="11693"/>
    <n v="48"/>
    <x v="1"/>
    <x v="4"/>
    <x v="5"/>
    <x v="2"/>
    <s v="Divorced"/>
    <n v="146015"/>
    <n v="42058"/>
    <x v="13"/>
    <x v="1"/>
    <n v="4"/>
    <s v="Yes"/>
    <n v="4"/>
    <x v="4"/>
    <n v="13"/>
    <x v="3"/>
    <n v="3"/>
    <x v="0"/>
  </r>
  <r>
    <n v="11694"/>
    <n v="51"/>
    <x v="1"/>
    <x v="0"/>
    <x v="3"/>
    <x v="2"/>
    <s v="Single"/>
    <n v="114871"/>
    <n v="4650"/>
    <x v="3"/>
    <x v="13"/>
    <n v="3"/>
    <s v="No"/>
    <n v="2"/>
    <x v="38"/>
    <n v="33"/>
    <x v="1"/>
    <n v="1"/>
    <x v="0"/>
  </r>
  <r>
    <n v="11695"/>
    <n v="38"/>
    <x v="1"/>
    <x v="1"/>
    <x v="5"/>
    <x v="2"/>
    <s v="Married"/>
    <n v="151764"/>
    <n v="33081"/>
    <x v="12"/>
    <x v="12"/>
    <n v="3"/>
    <s v="No"/>
    <n v="3"/>
    <x v="27"/>
    <n v="56"/>
    <x v="2"/>
    <n v="4"/>
    <x v="1"/>
  </r>
  <r>
    <n v="11696"/>
    <n v="20"/>
    <x v="1"/>
    <x v="2"/>
    <x v="1"/>
    <x v="2"/>
    <s v="Single"/>
    <n v="56169"/>
    <n v="19462"/>
    <x v="16"/>
    <x v="4"/>
    <n v="2"/>
    <s v="No"/>
    <n v="2"/>
    <x v="5"/>
    <n v="48"/>
    <x v="2"/>
    <n v="2"/>
    <x v="0"/>
  </r>
  <r>
    <n v="11697"/>
    <n v="54"/>
    <x v="1"/>
    <x v="1"/>
    <x v="0"/>
    <x v="2"/>
    <s v="Married"/>
    <n v="88411"/>
    <n v="23954"/>
    <x v="17"/>
    <x v="2"/>
    <n v="3"/>
    <s v="No"/>
    <n v="4"/>
    <x v="0"/>
    <n v="46"/>
    <x v="0"/>
    <n v="3"/>
    <x v="0"/>
  </r>
  <r>
    <n v="11698"/>
    <n v="27"/>
    <x v="0"/>
    <x v="0"/>
    <x v="3"/>
    <x v="2"/>
    <s v="Single"/>
    <n v="121049"/>
    <n v="36003"/>
    <x v="0"/>
    <x v="1"/>
    <n v="3"/>
    <s v="No"/>
    <n v="1"/>
    <x v="29"/>
    <n v="21"/>
    <x v="1"/>
    <n v="4"/>
    <x v="0"/>
  </r>
  <r>
    <n v="11699"/>
    <n v="37"/>
    <x v="0"/>
    <x v="3"/>
    <x v="5"/>
    <x v="2"/>
    <s v="Single"/>
    <n v="144525"/>
    <n v="15641"/>
    <x v="19"/>
    <x v="1"/>
    <n v="3"/>
    <s v="No"/>
    <n v="3"/>
    <x v="12"/>
    <n v="53"/>
    <x v="2"/>
    <n v="2"/>
    <x v="0"/>
  </r>
  <r>
    <n v="11700"/>
    <n v="44"/>
    <x v="0"/>
    <x v="2"/>
    <x v="1"/>
    <x v="2"/>
    <s v="Married"/>
    <n v="54027"/>
    <n v="14847"/>
    <x v="15"/>
    <x v="5"/>
    <n v="3"/>
    <s v="No"/>
    <n v="1"/>
    <x v="37"/>
    <n v="29"/>
    <x v="3"/>
    <n v="3"/>
    <x v="0"/>
  </r>
  <r>
    <n v="11701"/>
    <n v="54"/>
    <x v="0"/>
    <x v="3"/>
    <x v="3"/>
    <x v="2"/>
    <s v="Divorced"/>
    <n v="102682"/>
    <n v="26048"/>
    <x v="5"/>
    <x v="7"/>
    <n v="4"/>
    <s v="No"/>
    <n v="1"/>
    <x v="19"/>
    <n v="35"/>
    <x v="2"/>
    <n v="3"/>
    <x v="1"/>
  </r>
  <r>
    <n v="11702"/>
    <n v="28"/>
    <x v="0"/>
    <x v="3"/>
    <x v="0"/>
    <x v="3"/>
    <s v="Single"/>
    <n v="65615"/>
    <n v="20019"/>
    <x v="24"/>
    <x v="9"/>
    <n v="4"/>
    <s v="No"/>
    <n v="1"/>
    <x v="27"/>
    <n v="58"/>
    <x v="0"/>
    <n v="2"/>
    <x v="1"/>
  </r>
  <r>
    <n v="11703"/>
    <n v="49"/>
    <x v="0"/>
    <x v="2"/>
    <x v="4"/>
    <x v="2"/>
    <s v="Married"/>
    <n v="38064"/>
    <n v="22570"/>
    <x v="12"/>
    <x v="8"/>
    <n v="5"/>
    <s v="Yes"/>
    <n v="3"/>
    <x v="11"/>
    <n v="10"/>
    <x v="3"/>
    <n v="3"/>
    <x v="0"/>
  </r>
  <r>
    <n v="11704"/>
    <n v="49"/>
    <x v="1"/>
    <x v="0"/>
    <x v="1"/>
    <x v="3"/>
    <s v="Single"/>
    <n v="66787"/>
    <n v="46267"/>
    <x v="17"/>
    <x v="9"/>
    <n v="3"/>
    <s v="No"/>
    <n v="4"/>
    <x v="23"/>
    <n v="9"/>
    <x v="2"/>
    <n v="4"/>
    <x v="0"/>
  </r>
  <r>
    <n v="11705"/>
    <n v="57"/>
    <x v="0"/>
    <x v="2"/>
    <x v="4"/>
    <x v="1"/>
    <s v="Single"/>
    <n v="37484"/>
    <n v="26025"/>
    <x v="21"/>
    <x v="11"/>
    <n v="3"/>
    <s v="Yes"/>
    <n v="3"/>
    <x v="0"/>
    <n v="51"/>
    <x v="0"/>
    <n v="2"/>
    <x v="0"/>
  </r>
  <r>
    <n v="11706"/>
    <n v="27"/>
    <x v="1"/>
    <x v="2"/>
    <x v="2"/>
    <x v="3"/>
    <s v="Single"/>
    <n v="11411"/>
    <n v="29248"/>
    <x v="14"/>
    <x v="9"/>
    <n v="3"/>
    <s v="No"/>
    <n v="3"/>
    <x v="17"/>
    <n v="30"/>
    <x v="3"/>
    <n v="3"/>
    <x v="0"/>
  </r>
  <r>
    <n v="11707"/>
    <n v="44"/>
    <x v="0"/>
    <x v="3"/>
    <x v="0"/>
    <x v="0"/>
    <s v="Married"/>
    <n v="68862"/>
    <n v="7370"/>
    <x v="10"/>
    <x v="14"/>
    <n v="3"/>
    <s v="No"/>
    <n v="4"/>
    <x v="26"/>
    <n v="30"/>
    <x v="0"/>
    <n v="3"/>
    <x v="0"/>
  </r>
  <r>
    <n v="11708"/>
    <n v="33"/>
    <x v="1"/>
    <x v="3"/>
    <x v="4"/>
    <x v="2"/>
    <s v="Married"/>
    <n v="32897"/>
    <n v="9782"/>
    <x v="14"/>
    <x v="8"/>
    <n v="1"/>
    <s v="No"/>
    <n v="2"/>
    <x v="2"/>
    <n v="24"/>
    <x v="0"/>
    <n v="4"/>
    <x v="0"/>
  </r>
  <r>
    <n v="11709"/>
    <n v="43"/>
    <x v="0"/>
    <x v="4"/>
    <x v="1"/>
    <x v="2"/>
    <s v="Married"/>
    <n v="59823"/>
    <n v="33110"/>
    <x v="20"/>
    <x v="14"/>
    <n v="2"/>
    <s v="No"/>
    <n v="3"/>
    <x v="21"/>
    <n v="47"/>
    <x v="0"/>
    <n v="3"/>
    <x v="0"/>
  </r>
  <r>
    <n v="11710"/>
    <n v="46"/>
    <x v="0"/>
    <x v="3"/>
    <x v="0"/>
    <x v="0"/>
    <s v="Single"/>
    <n v="73037"/>
    <n v="18922"/>
    <x v="3"/>
    <x v="6"/>
    <n v="3"/>
    <s v="No"/>
    <n v="3"/>
    <x v="21"/>
    <n v="45"/>
    <x v="0"/>
    <n v="4"/>
    <x v="0"/>
  </r>
  <r>
    <n v="11711"/>
    <n v="20"/>
    <x v="0"/>
    <x v="5"/>
    <x v="4"/>
    <x v="2"/>
    <s v="Single"/>
    <n v="29339"/>
    <n v="32033"/>
    <x v="8"/>
    <x v="5"/>
    <n v="1"/>
    <s v="No"/>
    <n v="1"/>
    <x v="34"/>
    <n v="8"/>
    <x v="1"/>
    <n v="4"/>
    <x v="0"/>
  </r>
  <r>
    <n v="11712"/>
    <n v="27"/>
    <x v="1"/>
    <x v="4"/>
    <x v="4"/>
    <x v="2"/>
    <s v="Single"/>
    <n v="40235"/>
    <n v="11928"/>
    <x v="15"/>
    <x v="5"/>
    <n v="3"/>
    <s v="Yes"/>
    <n v="3"/>
    <x v="32"/>
    <n v="47"/>
    <x v="0"/>
    <n v="3"/>
    <x v="0"/>
  </r>
  <r>
    <n v="11713"/>
    <n v="30"/>
    <x v="0"/>
    <x v="2"/>
    <x v="0"/>
    <x v="2"/>
    <s v="Divorced"/>
    <n v="76689"/>
    <n v="18242"/>
    <x v="7"/>
    <x v="12"/>
    <n v="3"/>
    <s v="No"/>
    <n v="2"/>
    <x v="30"/>
    <n v="21"/>
    <x v="2"/>
    <n v="3"/>
    <x v="0"/>
  </r>
  <r>
    <n v="11714"/>
    <n v="49"/>
    <x v="0"/>
    <x v="2"/>
    <x v="1"/>
    <x v="1"/>
    <s v="Married"/>
    <n v="65771"/>
    <n v="17331"/>
    <x v="10"/>
    <x v="8"/>
    <n v="3"/>
    <s v="No"/>
    <n v="1"/>
    <x v="31"/>
    <n v="45"/>
    <x v="0"/>
    <n v="1"/>
    <x v="0"/>
  </r>
  <r>
    <n v="11715"/>
    <n v="23"/>
    <x v="0"/>
    <x v="3"/>
    <x v="3"/>
    <x v="0"/>
    <s v="Married"/>
    <n v="119236"/>
    <n v="33226"/>
    <x v="10"/>
    <x v="13"/>
    <n v="3"/>
    <s v="No"/>
    <n v="3"/>
    <x v="28"/>
    <n v="39"/>
    <x v="0"/>
    <n v="3"/>
    <x v="0"/>
  </r>
  <r>
    <n v="11716"/>
    <n v="28"/>
    <x v="0"/>
    <x v="0"/>
    <x v="0"/>
    <x v="3"/>
    <s v="Single"/>
    <n v="71804"/>
    <n v="23709"/>
    <x v="2"/>
    <x v="9"/>
    <n v="3"/>
    <s v="Yes"/>
    <n v="3"/>
    <x v="14"/>
    <n v="20"/>
    <x v="0"/>
    <n v="4"/>
    <x v="0"/>
  </r>
  <r>
    <n v="11717"/>
    <n v="49"/>
    <x v="0"/>
    <x v="0"/>
    <x v="5"/>
    <x v="3"/>
    <s v="Divorced"/>
    <n v="155074"/>
    <n v="11159"/>
    <x v="5"/>
    <x v="2"/>
    <n v="5"/>
    <s v="No"/>
    <n v="1"/>
    <x v="22"/>
    <n v="20"/>
    <x v="3"/>
    <n v="4"/>
    <x v="0"/>
  </r>
  <r>
    <n v="11718"/>
    <n v="43"/>
    <x v="0"/>
    <x v="2"/>
    <x v="4"/>
    <x v="2"/>
    <s v="Single"/>
    <n v="31176"/>
    <n v="37978"/>
    <x v="9"/>
    <x v="3"/>
    <n v="5"/>
    <s v="No"/>
    <n v="3"/>
    <x v="14"/>
    <n v="49"/>
    <x v="0"/>
    <n v="2"/>
    <x v="0"/>
  </r>
  <r>
    <n v="11719"/>
    <n v="47"/>
    <x v="0"/>
    <x v="2"/>
    <x v="4"/>
    <x v="3"/>
    <s v="Single"/>
    <n v="38259"/>
    <n v="32791"/>
    <x v="13"/>
    <x v="8"/>
    <n v="3"/>
    <s v="No"/>
    <n v="3"/>
    <x v="30"/>
    <n v="25"/>
    <x v="0"/>
    <n v="3"/>
    <x v="0"/>
  </r>
  <r>
    <n v="11720"/>
    <n v="50"/>
    <x v="1"/>
    <x v="0"/>
    <x v="1"/>
    <x v="3"/>
    <s v="Married"/>
    <n v="50337"/>
    <n v="17061"/>
    <x v="1"/>
    <x v="2"/>
    <n v="3"/>
    <s v="No"/>
    <n v="2"/>
    <x v="29"/>
    <n v="22"/>
    <x v="0"/>
    <n v="1"/>
    <x v="0"/>
  </r>
  <r>
    <n v="11721"/>
    <n v="54"/>
    <x v="0"/>
    <x v="2"/>
    <x v="3"/>
    <x v="3"/>
    <s v="Divorced"/>
    <n v="93314"/>
    <n v="44852"/>
    <x v="4"/>
    <x v="12"/>
    <n v="2"/>
    <s v="Yes"/>
    <n v="4"/>
    <x v="14"/>
    <n v="15"/>
    <x v="2"/>
    <n v="1"/>
    <x v="1"/>
  </r>
  <r>
    <n v="11722"/>
    <n v="58"/>
    <x v="1"/>
    <x v="2"/>
    <x v="1"/>
    <x v="2"/>
    <s v="Single"/>
    <n v="51363"/>
    <n v="13240"/>
    <x v="4"/>
    <x v="13"/>
    <n v="4"/>
    <s v="No"/>
    <n v="3"/>
    <x v="12"/>
    <n v="12"/>
    <x v="3"/>
    <n v="3"/>
    <x v="0"/>
  </r>
  <r>
    <n v="11723"/>
    <n v="22"/>
    <x v="0"/>
    <x v="5"/>
    <x v="3"/>
    <x v="0"/>
    <s v="Married"/>
    <n v="104016"/>
    <n v="14133"/>
    <x v="7"/>
    <x v="5"/>
    <n v="5"/>
    <s v="No"/>
    <n v="3"/>
    <x v="13"/>
    <n v="29"/>
    <x v="0"/>
    <n v="3"/>
    <x v="0"/>
  </r>
  <r>
    <n v="11724"/>
    <n v="43"/>
    <x v="0"/>
    <x v="2"/>
    <x v="1"/>
    <x v="3"/>
    <s v="Married"/>
    <n v="58759"/>
    <n v="34061"/>
    <x v="8"/>
    <x v="14"/>
    <n v="2"/>
    <s v="Yes"/>
    <n v="3"/>
    <x v="0"/>
    <n v="41"/>
    <x v="1"/>
    <n v="2"/>
    <x v="0"/>
  </r>
  <r>
    <n v="11725"/>
    <n v="49"/>
    <x v="0"/>
    <x v="2"/>
    <x v="1"/>
    <x v="0"/>
    <s v="Married"/>
    <n v="57607"/>
    <n v="7085"/>
    <x v="4"/>
    <x v="12"/>
    <n v="3"/>
    <s v="Yes"/>
    <n v="2"/>
    <x v="28"/>
    <n v="55"/>
    <x v="0"/>
    <n v="2"/>
    <x v="0"/>
  </r>
  <r>
    <n v="11726"/>
    <n v="40"/>
    <x v="0"/>
    <x v="5"/>
    <x v="3"/>
    <x v="2"/>
    <s v="Single"/>
    <n v="117513"/>
    <n v="15154"/>
    <x v="16"/>
    <x v="11"/>
    <n v="4"/>
    <s v="No"/>
    <n v="1"/>
    <x v="10"/>
    <n v="30"/>
    <x v="1"/>
    <n v="2"/>
    <x v="0"/>
  </r>
  <r>
    <n v="11727"/>
    <n v="36"/>
    <x v="0"/>
    <x v="1"/>
    <x v="1"/>
    <x v="2"/>
    <s v="Single"/>
    <n v="58500"/>
    <n v="16652"/>
    <x v="2"/>
    <x v="7"/>
    <n v="3"/>
    <s v="No"/>
    <n v="2"/>
    <x v="22"/>
    <n v="31"/>
    <x v="0"/>
    <n v="2"/>
    <x v="0"/>
  </r>
  <r>
    <n v="11728"/>
    <n v="59"/>
    <x v="0"/>
    <x v="2"/>
    <x v="2"/>
    <x v="2"/>
    <s v="Single"/>
    <n v="16438"/>
    <n v="27061"/>
    <x v="18"/>
    <x v="11"/>
    <n v="3"/>
    <s v="Yes"/>
    <n v="4"/>
    <x v="6"/>
    <n v="27"/>
    <x v="0"/>
    <n v="1"/>
    <x v="0"/>
  </r>
  <r>
    <n v="11729"/>
    <n v="56"/>
    <x v="0"/>
    <x v="3"/>
    <x v="2"/>
    <x v="2"/>
    <s v="Single"/>
    <n v="14756"/>
    <n v="27301"/>
    <x v="2"/>
    <x v="11"/>
    <n v="2"/>
    <s v="No"/>
    <n v="3"/>
    <x v="38"/>
    <n v="45"/>
    <x v="3"/>
    <n v="3"/>
    <x v="0"/>
  </r>
  <r>
    <n v="11730"/>
    <n v="27"/>
    <x v="0"/>
    <x v="1"/>
    <x v="1"/>
    <x v="2"/>
    <s v="Married"/>
    <n v="64529"/>
    <n v="31782"/>
    <x v="2"/>
    <x v="3"/>
    <n v="2"/>
    <s v="No"/>
    <n v="1"/>
    <x v="26"/>
    <n v="39"/>
    <x v="2"/>
    <n v="2"/>
    <x v="0"/>
  </r>
  <r>
    <n v="11731"/>
    <n v="59"/>
    <x v="0"/>
    <x v="0"/>
    <x v="4"/>
    <x v="2"/>
    <s v="Single"/>
    <n v="28367"/>
    <n v="23414"/>
    <x v="1"/>
    <x v="4"/>
    <n v="5"/>
    <s v="Yes"/>
    <n v="3"/>
    <x v="8"/>
    <n v="36"/>
    <x v="3"/>
    <n v="1"/>
    <x v="0"/>
  </r>
  <r>
    <n v="11732"/>
    <n v="49"/>
    <x v="0"/>
    <x v="3"/>
    <x v="4"/>
    <x v="0"/>
    <s v="Married"/>
    <n v="38130"/>
    <n v="20534"/>
    <x v="18"/>
    <x v="10"/>
    <n v="2"/>
    <s v="Yes"/>
    <n v="2"/>
    <x v="29"/>
    <n v="19"/>
    <x v="2"/>
    <n v="2"/>
    <x v="1"/>
  </r>
  <r>
    <n v="11733"/>
    <n v="42"/>
    <x v="0"/>
    <x v="2"/>
    <x v="3"/>
    <x v="3"/>
    <s v="Married"/>
    <n v="121289"/>
    <n v="5220"/>
    <x v="3"/>
    <x v="5"/>
    <n v="3"/>
    <s v="No"/>
    <n v="4"/>
    <x v="37"/>
    <n v="7"/>
    <x v="1"/>
    <n v="2"/>
    <x v="0"/>
  </r>
  <r>
    <n v="11734"/>
    <n v="29"/>
    <x v="0"/>
    <x v="5"/>
    <x v="2"/>
    <x v="3"/>
    <s v="Single"/>
    <n v="13911"/>
    <n v="15503"/>
    <x v="1"/>
    <x v="11"/>
    <n v="5"/>
    <s v="No"/>
    <n v="2"/>
    <x v="9"/>
    <n v="48"/>
    <x v="2"/>
    <n v="3"/>
    <x v="0"/>
  </r>
  <r>
    <n v="11735"/>
    <n v="32"/>
    <x v="1"/>
    <x v="3"/>
    <x v="2"/>
    <x v="1"/>
    <s v="Divorced"/>
    <n v="19004"/>
    <n v="6078"/>
    <x v="23"/>
    <x v="2"/>
    <n v="4"/>
    <s v="No"/>
    <n v="2"/>
    <x v="26"/>
    <n v="53"/>
    <x v="3"/>
    <n v="1"/>
    <x v="1"/>
  </r>
  <r>
    <n v="11736"/>
    <n v="53"/>
    <x v="0"/>
    <x v="2"/>
    <x v="4"/>
    <x v="3"/>
    <s v="Married"/>
    <n v="30098"/>
    <n v="28670"/>
    <x v="13"/>
    <x v="4"/>
    <n v="3"/>
    <s v="No"/>
    <n v="2"/>
    <x v="30"/>
    <n v="39"/>
    <x v="1"/>
    <n v="2"/>
    <x v="0"/>
  </r>
  <r>
    <n v="11737"/>
    <n v="26"/>
    <x v="0"/>
    <x v="1"/>
    <x v="1"/>
    <x v="3"/>
    <s v="Divorced"/>
    <n v="60344"/>
    <n v="24717"/>
    <x v="18"/>
    <x v="14"/>
    <n v="3"/>
    <s v="No"/>
    <n v="3"/>
    <x v="36"/>
    <n v="9"/>
    <x v="1"/>
    <n v="4"/>
    <x v="0"/>
  </r>
  <r>
    <n v="11738"/>
    <n v="28"/>
    <x v="0"/>
    <x v="1"/>
    <x v="4"/>
    <x v="2"/>
    <s v="Divorced"/>
    <n v="35871"/>
    <n v="45199"/>
    <x v="11"/>
    <x v="7"/>
    <n v="4"/>
    <s v="No"/>
    <n v="3"/>
    <x v="18"/>
    <n v="37"/>
    <x v="0"/>
    <n v="3"/>
    <x v="0"/>
  </r>
  <r>
    <n v="11739"/>
    <n v="56"/>
    <x v="1"/>
    <x v="5"/>
    <x v="2"/>
    <x v="3"/>
    <s v="Single"/>
    <n v="13162"/>
    <n v="33675"/>
    <x v="23"/>
    <x v="4"/>
    <n v="3"/>
    <s v="Yes"/>
    <n v="2"/>
    <x v="21"/>
    <n v="7"/>
    <x v="3"/>
    <n v="4"/>
    <x v="0"/>
  </r>
  <r>
    <n v="11740"/>
    <n v="52"/>
    <x v="0"/>
    <x v="0"/>
    <x v="0"/>
    <x v="0"/>
    <s v="Married"/>
    <n v="88447"/>
    <n v="37844"/>
    <x v="22"/>
    <x v="13"/>
    <n v="2"/>
    <s v="No"/>
    <n v="2"/>
    <x v="21"/>
    <n v="23"/>
    <x v="3"/>
    <n v="4"/>
    <x v="0"/>
  </r>
  <r>
    <n v="11741"/>
    <n v="39"/>
    <x v="0"/>
    <x v="2"/>
    <x v="2"/>
    <x v="2"/>
    <s v="Married"/>
    <n v="15351"/>
    <n v="11291"/>
    <x v="6"/>
    <x v="4"/>
    <n v="3"/>
    <s v="No"/>
    <n v="3"/>
    <x v="25"/>
    <n v="7"/>
    <x v="0"/>
    <n v="1"/>
    <x v="0"/>
  </r>
  <r>
    <n v="11742"/>
    <n v="34"/>
    <x v="0"/>
    <x v="2"/>
    <x v="2"/>
    <x v="3"/>
    <s v="Married"/>
    <n v="14352"/>
    <n v="13198"/>
    <x v="16"/>
    <x v="1"/>
    <n v="4"/>
    <s v="No"/>
    <n v="3"/>
    <x v="4"/>
    <n v="22"/>
    <x v="3"/>
    <n v="3"/>
    <x v="0"/>
  </r>
  <r>
    <n v="11743"/>
    <n v="53"/>
    <x v="0"/>
    <x v="3"/>
    <x v="3"/>
    <x v="2"/>
    <s v="Married"/>
    <n v="111154"/>
    <n v="24553"/>
    <x v="9"/>
    <x v="7"/>
    <n v="2"/>
    <s v="Yes"/>
    <n v="4"/>
    <x v="36"/>
    <n v="14"/>
    <x v="1"/>
    <n v="3"/>
    <x v="0"/>
  </r>
  <r>
    <n v="11744"/>
    <n v="21"/>
    <x v="1"/>
    <x v="4"/>
    <x v="0"/>
    <x v="1"/>
    <s v="Divorced"/>
    <n v="75785"/>
    <n v="22148"/>
    <x v="11"/>
    <x v="2"/>
    <n v="3"/>
    <s v="No"/>
    <n v="1"/>
    <x v="15"/>
    <n v="38"/>
    <x v="3"/>
    <n v="2"/>
    <x v="0"/>
  </r>
  <r>
    <n v="11745"/>
    <n v="45"/>
    <x v="0"/>
    <x v="5"/>
    <x v="4"/>
    <x v="3"/>
    <s v="Married"/>
    <n v="39702"/>
    <n v="2416"/>
    <x v="13"/>
    <x v="13"/>
    <n v="3"/>
    <s v="No"/>
    <n v="1"/>
    <x v="2"/>
    <n v="38"/>
    <x v="2"/>
    <n v="4"/>
    <x v="1"/>
  </r>
  <r>
    <n v="11746"/>
    <n v="48"/>
    <x v="0"/>
    <x v="2"/>
    <x v="2"/>
    <x v="3"/>
    <s v="Single"/>
    <n v="19362"/>
    <n v="45772"/>
    <x v="2"/>
    <x v="0"/>
    <n v="3"/>
    <s v="No"/>
    <n v="3"/>
    <x v="13"/>
    <n v="23"/>
    <x v="2"/>
    <n v="3"/>
    <x v="0"/>
  </r>
  <r>
    <n v="11747"/>
    <n v="54"/>
    <x v="1"/>
    <x v="4"/>
    <x v="1"/>
    <x v="0"/>
    <s v="Married"/>
    <n v="65774"/>
    <n v="15515"/>
    <x v="5"/>
    <x v="6"/>
    <n v="3"/>
    <s v="Yes"/>
    <n v="2"/>
    <x v="18"/>
    <n v="22"/>
    <x v="0"/>
    <n v="4"/>
    <x v="0"/>
  </r>
  <r>
    <n v="11748"/>
    <n v="35"/>
    <x v="0"/>
    <x v="2"/>
    <x v="4"/>
    <x v="2"/>
    <s v="Married"/>
    <n v="34757"/>
    <n v="17431"/>
    <x v="4"/>
    <x v="11"/>
    <n v="5"/>
    <s v="Yes"/>
    <n v="3"/>
    <x v="0"/>
    <n v="6"/>
    <x v="0"/>
    <n v="1"/>
    <x v="0"/>
  </r>
  <r>
    <n v="11749"/>
    <n v="32"/>
    <x v="0"/>
    <x v="0"/>
    <x v="3"/>
    <x v="2"/>
    <s v="Married"/>
    <n v="118831"/>
    <n v="7054"/>
    <x v="22"/>
    <x v="8"/>
    <n v="3"/>
    <s v="No"/>
    <n v="4"/>
    <x v="17"/>
    <n v="55"/>
    <x v="3"/>
    <n v="1"/>
    <x v="0"/>
  </r>
  <r>
    <n v="11750"/>
    <n v="49"/>
    <x v="0"/>
    <x v="3"/>
    <x v="0"/>
    <x v="3"/>
    <s v="Single"/>
    <n v="70270"/>
    <n v="12886"/>
    <x v="21"/>
    <x v="10"/>
    <n v="3"/>
    <s v="No"/>
    <n v="3"/>
    <x v="16"/>
    <n v="10"/>
    <x v="3"/>
    <n v="3"/>
    <x v="0"/>
  </r>
  <r>
    <n v="11751"/>
    <n v="34"/>
    <x v="1"/>
    <x v="2"/>
    <x v="2"/>
    <x v="2"/>
    <s v="Married"/>
    <n v="13045"/>
    <n v="6352"/>
    <x v="22"/>
    <x v="3"/>
    <n v="3"/>
    <s v="No"/>
    <n v="1"/>
    <x v="26"/>
    <n v="25"/>
    <x v="3"/>
    <n v="4"/>
    <x v="0"/>
  </r>
  <r>
    <n v="11752"/>
    <n v="41"/>
    <x v="1"/>
    <x v="5"/>
    <x v="1"/>
    <x v="2"/>
    <s v="Married"/>
    <n v="53508"/>
    <n v="44747"/>
    <x v="8"/>
    <x v="14"/>
    <n v="3"/>
    <s v="No"/>
    <n v="1"/>
    <x v="15"/>
    <n v="34"/>
    <x v="2"/>
    <n v="4"/>
    <x v="0"/>
  </r>
  <r>
    <n v="11753"/>
    <n v="37"/>
    <x v="0"/>
    <x v="2"/>
    <x v="1"/>
    <x v="3"/>
    <s v="Divorced"/>
    <n v="49597"/>
    <n v="40726"/>
    <x v="20"/>
    <x v="4"/>
    <n v="3"/>
    <s v="No"/>
    <n v="4"/>
    <x v="31"/>
    <n v="56"/>
    <x v="0"/>
    <n v="2"/>
    <x v="0"/>
  </r>
  <r>
    <n v="11754"/>
    <n v="45"/>
    <x v="1"/>
    <x v="2"/>
    <x v="1"/>
    <x v="3"/>
    <s v="Single"/>
    <n v="55082"/>
    <n v="25853"/>
    <x v="5"/>
    <x v="5"/>
    <n v="5"/>
    <s v="No"/>
    <n v="4"/>
    <x v="11"/>
    <n v="17"/>
    <x v="1"/>
    <n v="2"/>
    <x v="0"/>
  </r>
  <r>
    <n v="11755"/>
    <n v="44"/>
    <x v="0"/>
    <x v="2"/>
    <x v="4"/>
    <x v="2"/>
    <s v="Married"/>
    <n v="35033"/>
    <n v="29482"/>
    <x v="8"/>
    <x v="7"/>
    <n v="2"/>
    <s v="No"/>
    <n v="1"/>
    <x v="2"/>
    <n v="48"/>
    <x v="1"/>
    <n v="3"/>
    <x v="1"/>
  </r>
  <r>
    <n v="11756"/>
    <n v="47"/>
    <x v="0"/>
    <x v="2"/>
    <x v="3"/>
    <x v="2"/>
    <s v="Divorced"/>
    <n v="101274"/>
    <n v="27314"/>
    <x v="23"/>
    <x v="13"/>
    <n v="3"/>
    <s v="Yes"/>
    <n v="2"/>
    <x v="2"/>
    <n v="57"/>
    <x v="3"/>
    <n v="3"/>
    <x v="0"/>
  </r>
  <r>
    <n v="11757"/>
    <n v="37"/>
    <x v="1"/>
    <x v="2"/>
    <x v="1"/>
    <x v="0"/>
    <s v="Single"/>
    <n v="53803"/>
    <n v="48091"/>
    <x v="8"/>
    <x v="14"/>
    <n v="3"/>
    <s v="No"/>
    <n v="3"/>
    <x v="1"/>
    <n v="51"/>
    <x v="0"/>
    <n v="2"/>
    <x v="0"/>
  </r>
  <r>
    <n v="11758"/>
    <n v="46"/>
    <x v="0"/>
    <x v="0"/>
    <x v="3"/>
    <x v="2"/>
    <s v="Married"/>
    <n v="120235"/>
    <n v="2216"/>
    <x v="18"/>
    <x v="0"/>
    <n v="3"/>
    <s v="No"/>
    <n v="3"/>
    <x v="22"/>
    <n v="12"/>
    <x v="1"/>
    <n v="3"/>
    <x v="0"/>
  </r>
  <r>
    <n v="11759"/>
    <n v="40"/>
    <x v="1"/>
    <x v="0"/>
    <x v="4"/>
    <x v="2"/>
    <s v="Divorced"/>
    <n v="32421"/>
    <n v="46595"/>
    <x v="8"/>
    <x v="9"/>
    <n v="3"/>
    <s v="No"/>
    <n v="4"/>
    <x v="1"/>
    <n v="48"/>
    <x v="3"/>
    <n v="2"/>
    <x v="0"/>
  </r>
  <r>
    <n v="11760"/>
    <n v="51"/>
    <x v="1"/>
    <x v="2"/>
    <x v="1"/>
    <x v="0"/>
    <s v="Married"/>
    <n v="61015"/>
    <n v="13276"/>
    <x v="13"/>
    <x v="0"/>
    <n v="2"/>
    <s v="No"/>
    <n v="2"/>
    <x v="32"/>
    <n v="42"/>
    <x v="1"/>
    <n v="3"/>
    <x v="1"/>
  </r>
  <r>
    <n v="11761"/>
    <n v="31"/>
    <x v="0"/>
    <x v="3"/>
    <x v="1"/>
    <x v="2"/>
    <s v="Single"/>
    <n v="63574"/>
    <n v="39962"/>
    <x v="12"/>
    <x v="11"/>
    <n v="3"/>
    <s v="No"/>
    <n v="2"/>
    <x v="31"/>
    <n v="33"/>
    <x v="3"/>
    <n v="3"/>
    <x v="0"/>
  </r>
  <r>
    <n v="11762"/>
    <n v="45"/>
    <x v="0"/>
    <x v="2"/>
    <x v="1"/>
    <x v="2"/>
    <s v="Married"/>
    <n v="50489"/>
    <n v="19999"/>
    <x v="16"/>
    <x v="4"/>
    <n v="3"/>
    <s v="Yes"/>
    <n v="4"/>
    <x v="25"/>
    <n v="55"/>
    <x v="3"/>
    <n v="1"/>
    <x v="0"/>
  </r>
  <r>
    <n v="11763"/>
    <n v="42"/>
    <x v="0"/>
    <x v="3"/>
    <x v="3"/>
    <x v="2"/>
    <s v="Single"/>
    <n v="105637"/>
    <n v="43886"/>
    <x v="5"/>
    <x v="10"/>
    <n v="5"/>
    <s v="Yes"/>
    <n v="1"/>
    <x v="4"/>
    <n v="25"/>
    <x v="3"/>
    <n v="1"/>
    <x v="0"/>
  </r>
  <r>
    <n v="11764"/>
    <n v="25"/>
    <x v="0"/>
    <x v="5"/>
    <x v="1"/>
    <x v="3"/>
    <s v="Married"/>
    <n v="56955"/>
    <n v="48139"/>
    <x v="23"/>
    <x v="4"/>
    <n v="5"/>
    <s v="No"/>
    <n v="3"/>
    <x v="8"/>
    <n v="13"/>
    <x v="3"/>
    <n v="3"/>
    <x v="0"/>
  </r>
  <r>
    <n v="11765"/>
    <n v="50"/>
    <x v="0"/>
    <x v="5"/>
    <x v="4"/>
    <x v="0"/>
    <s v="Married"/>
    <n v="32166"/>
    <n v="28581"/>
    <x v="19"/>
    <x v="2"/>
    <n v="3"/>
    <s v="No"/>
    <n v="2"/>
    <x v="23"/>
    <n v="9"/>
    <x v="3"/>
    <n v="4"/>
    <x v="0"/>
  </r>
  <r>
    <n v="11766"/>
    <n v="44"/>
    <x v="1"/>
    <x v="2"/>
    <x v="4"/>
    <x v="2"/>
    <s v="Married"/>
    <n v="35060"/>
    <n v="47516"/>
    <x v="24"/>
    <x v="0"/>
    <n v="3"/>
    <s v="No"/>
    <n v="4"/>
    <x v="9"/>
    <n v="27"/>
    <x v="0"/>
    <n v="2"/>
    <x v="0"/>
  </r>
  <r>
    <n v="11767"/>
    <n v="43"/>
    <x v="0"/>
    <x v="2"/>
    <x v="1"/>
    <x v="2"/>
    <s v="Single"/>
    <n v="65885"/>
    <n v="24708"/>
    <x v="0"/>
    <x v="7"/>
    <n v="4"/>
    <s v="Yes"/>
    <n v="4"/>
    <x v="26"/>
    <n v="41"/>
    <x v="1"/>
    <n v="3"/>
    <x v="0"/>
  </r>
  <r>
    <n v="11768"/>
    <n v="54"/>
    <x v="1"/>
    <x v="5"/>
    <x v="4"/>
    <x v="3"/>
    <s v="Single"/>
    <n v="40840"/>
    <n v="19822"/>
    <x v="21"/>
    <x v="4"/>
    <n v="3"/>
    <s v="Yes"/>
    <n v="2"/>
    <x v="35"/>
    <n v="56"/>
    <x v="1"/>
    <n v="3"/>
    <x v="0"/>
  </r>
  <r>
    <n v="11769"/>
    <n v="25"/>
    <x v="0"/>
    <x v="2"/>
    <x v="1"/>
    <x v="2"/>
    <s v="Single"/>
    <n v="51120"/>
    <n v="43176"/>
    <x v="9"/>
    <x v="13"/>
    <n v="1"/>
    <s v="Yes"/>
    <n v="3"/>
    <x v="17"/>
    <n v="28"/>
    <x v="2"/>
    <n v="3"/>
    <x v="1"/>
  </r>
  <r>
    <n v="11770"/>
    <n v="33"/>
    <x v="0"/>
    <x v="5"/>
    <x v="3"/>
    <x v="3"/>
    <s v="Married"/>
    <n v="104426"/>
    <n v="11804"/>
    <x v="7"/>
    <x v="4"/>
    <n v="3"/>
    <s v="Yes"/>
    <n v="4"/>
    <x v="21"/>
    <n v="17"/>
    <x v="1"/>
    <n v="4"/>
    <x v="0"/>
  </r>
  <r>
    <n v="11771"/>
    <n v="20"/>
    <x v="0"/>
    <x v="2"/>
    <x v="4"/>
    <x v="1"/>
    <s v="Married"/>
    <n v="32878"/>
    <n v="15178"/>
    <x v="10"/>
    <x v="13"/>
    <n v="2"/>
    <s v="No"/>
    <n v="3"/>
    <x v="11"/>
    <n v="33"/>
    <x v="1"/>
    <n v="3"/>
    <x v="0"/>
  </r>
  <r>
    <n v="11772"/>
    <n v="27"/>
    <x v="0"/>
    <x v="1"/>
    <x v="4"/>
    <x v="3"/>
    <s v="Single"/>
    <n v="25620"/>
    <n v="32923"/>
    <x v="21"/>
    <x v="3"/>
    <n v="2"/>
    <s v="No"/>
    <n v="2"/>
    <x v="14"/>
    <n v="56"/>
    <x v="3"/>
    <n v="4"/>
    <x v="0"/>
  </r>
  <r>
    <n v="11773"/>
    <n v="58"/>
    <x v="1"/>
    <x v="4"/>
    <x v="4"/>
    <x v="2"/>
    <s v="Divorced"/>
    <n v="27819"/>
    <n v="10985"/>
    <x v="0"/>
    <x v="5"/>
    <n v="2"/>
    <s v="No"/>
    <n v="4"/>
    <x v="3"/>
    <n v="56"/>
    <x v="2"/>
    <n v="3"/>
    <x v="0"/>
  </r>
  <r>
    <n v="11774"/>
    <n v="37"/>
    <x v="1"/>
    <x v="3"/>
    <x v="4"/>
    <x v="2"/>
    <s v="Divorced"/>
    <n v="28922"/>
    <n v="31285"/>
    <x v="17"/>
    <x v="0"/>
    <n v="4"/>
    <s v="No"/>
    <n v="2"/>
    <x v="7"/>
    <n v="12"/>
    <x v="0"/>
    <n v="3"/>
    <x v="1"/>
  </r>
  <r>
    <n v="11775"/>
    <n v="32"/>
    <x v="0"/>
    <x v="3"/>
    <x v="0"/>
    <x v="0"/>
    <s v="Married"/>
    <n v="61259"/>
    <n v="17946"/>
    <x v="5"/>
    <x v="4"/>
    <n v="4"/>
    <s v="Yes"/>
    <n v="3"/>
    <x v="8"/>
    <n v="35"/>
    <x v="3"/>
    <n v="3"/>
    <x v="0"/>
  </r>
  <r>
    <n v="11776"/>
    <n v="37"/>
    <x v="1"/>
    <x v="1"/>
    <x v="3"/>
    <x v="2"/>
    <s v="Single"/>
    <n v="127031"/>
    <n v="36965"/>
    <x v="11"/>
    <x v="5"/>
    <n v="3"/>
    <s v="No"/>
    <n v="2"/>
    <x v="17"/>
    <n v="54"/>
    <x v="1"/>
    <n v="3"/>
    <x v="1"/>
  </r>
  <r>
    <n v="11777"/>
    <n v="49"/>
    <x v="0"/>
    <x v="5"/>
    <x v="1"/>
    <x v="2"/>
    <s v="Divorced"/>
    <n v="58088"/>
    <n v="16475"/>
    <x v="3"/>
    <x v="5"/>
    <n v="4"/>
    <s v="No"/>
    <n v="2"/>
    <x v="23"/>
    <n v="19"/>
    <x v="0"/>
    <n v="4"/>
    <x v="0"/>
  </r>
  <r>
    <n v="11778"/>
    <n v="36"/>
    <x v="1"/>
    <x v="0"/>
    <x v="5"/>
    <x v="2"/>
    <s v="Single"/>
    <n v="120909"/>
    <n v="38921"/>
    <x v="2"/>
    <x v="12"/>
    <n v="3"/>
    <s v="No"/>
    <n v="2"/>
    <x v="27"/>
    <n v="22"/>
    <x v="3"/>
    <n v="3"/>
    <x v="0"/>
  </r>
  <r>
    <n v="11779"/>
    <n v="23"/>
    <x v="0"/>
    <x v="2"/>
    <x v="3"/>
    <x v="2"/>
    <s v="Divorced"/>
    <n v="108155"/>
    <n v="8697"/>
    <x v="24"/>
    <x v="9"/>
    <n v="2"/>
    <s v="Yes"/>
    <n v="3"/>
    <x v="9"/>
    <n v="28"/>
    <x v="1"/>
    <n v="2"/>
    <x v="0"/>
  </r>
  <r>
    <n v="11780"/>
    <n v="59"/>
    <x v="0"/>
    <x v="2"/>
    <x v="1"/>
    <x v="2"/>
    <s v="Married"/>
    <n v="46324"/>
    <n v="12286"/>
    <x v="5"/>
    <x v="12"/>
    <n v="5"/>
    <s v="No"/>
    <n v="4"/>
    <x v="31"/>
    <n v="53"/>
    <x v="0"/>
    <n v="2"/>
    <x v="0"/>
  </r>
  <r>
    <n v="11781"/>
    <n v="35"/>
    <x v="1"/>
    <x v="5"/>
    <x v="0"/>
    <x v="2"/>
    <s v="Married"/>
    <n v="60533"/>
    <n v="49216"/>
    <x v="16"/>
    <x v="11"/>
    <n v="3"/>
    <s v="No"/>
    <n v="4"/>
    <x v="7"/>
    <n v="14"/>
    <x v="3"/>
    <n v="2"/>
    <x v="0"/>
  </r>
  <r>
    <n v="11782"/>
    <n v="22"/>
    <x v="0"/>
    <x v="5"/>
    <x v="2"/>
    <x v="2"/>
    <s v="Single"/>
    <n v="16696"/>
    <n v="27510"/>
    <x v="19"/>
    <x v="0"/>
    <n v="3"/>
    <s v="No"/>
    <n v="3"/>
    <x v="1"/>
    <n v="53"/>
    <x v="2"/>
    <n v="2"/>
    <x v="0"/>
  </r>
  <r>
    <n v="11783"/>
    <n v="41"/>
    <x v="1"/>
    <x v="3"/>
    <x v="2"/>
    <x v="0"/>
    <s v="Single"/>
    <n v="18339"/>
    <n v="28321"/>
    <x v="1"/>
    <x v="11"/>
    <n v="2"/>
    <s v="No"/>
    <n v="3"/>
    <x v="29"/>
    <n v="47"/>
    <x v="1"/>
    <n v="4"/>
    <x v="0"/>
  </r>
  <r>
    <n v="11784"/>
    <n v="50"/>
    <x v="0"/>
    <x v="4"/>
    <x v="1"/>
    <x v="2"/>
    <s v="Married"/>
    <n v="45443"/>
    <n v="14265"/>
    <x v="3"/>
    <x v="13"/>
    <n v="3"/>
    <s v="No"/>
    <n v="3"/>
    <x v="29"/>
    <n v="8"/>
    <x v="2"/>
    <n v="3"/>
    <x v="0"/>
  </r>
  <r>
    <n v="11785"/>
    <n v="28"/>
    <x v="1"/>
    <x v="2"/>
    <x v="0"/>
    <x v="3"/>
    <s v="Single"/>
    <n v="65575"/>
    <n v="10863"/>
    <x v="24"/>
    <x v="0"/>
    <n v="2"/>
    <s v="Yes"/>
    <n v="4"/>
    <x v="17"/>
    <n v="43"/>
    <x v="2"/>
    <n v="1"/>
    <x v="0"/>
  </r>
  <r>
    <n v="11786"/>
    <n v="46"/>
    <x v="0"/>
    <x v="1"/>
    <x v="1"/>
    <x v="2"/>
    <s v="Single"/>
    <n v="47052"/>
    <n v="25"/>
    <x v="9"/>
    <x v="13"/>
    <n v="4"/>
    <s v="Yes"/>
    <n v="4"/>
    <x v="25"/>
    <n v="13"/>
    <x v="0"/>
    <n v="2"/>
    <x v="0"/>
  </r>
  <r>
    <n v="11787"/>
    <n v="29"/>
    <x v="1"/>
    <x v="1"/>
    <x v="0"/>
    <x v="2"/>
    <s v="Married"/>
    <n v="82281"/>
    <n v="1828"/>
    <x v="20"/>
    <x v="4"/>
    <n v="2"/>
    <s v="No"/>
    <n v="1"/>
    <x v="4"/>
    <n v="52"/>
    <x v="0"/>
    <n v="2"/>
    <x v="0"/>
  </r>
  <r>
    <n v="11788"/>
    <n v="39"/>
    <x v="1"/>
    <x v="4"/>
    <x v="1"/>
    <x v="2"/>
    <s v="Married"/>
    <n v="64984"/>
    <n v="40966"/>
    <x v="6"/>
    <x v="1"/>
    <n v="2"/>
    <s v="No"/>
    <n v="4"/>
    <x v="9"/>
    <n v="44"/>
    <x v="0"/>
    <n v="2"/>
    <x v="0"/>
  </r>
  <r>
    <n v="11789"/>
    <n v="59"/>
    <x v="0"/>
    <x v="1"/>
    <x v="0"/>
    <x v="3"/>
    <s v="Single"/>
    <n v="66898"/>
    <n v="27943"/>
    <x v="21"/>
    <x v="5"/>
    <n v="3"/>
    <s v="Yes"/>
    <n v="3"/>
    <x v="24"/>
    <n v="25"/>
    <x v="1"/>
    <n v="2"/>
    <x v="1"/>
  </r>
  <r>
    <n v="11790"/>
    <n v="23"/>
    <x v="0"/>
    <x v="2"/>
    <x v="3"/>
    <x v="3"/>
    <s v="Divorced"/>
    <n v="92169"/>
    <n v="32948"/>
    <x v="22"/>
    <x v="9"/>
    <n v="3"/>
    <s v="No"/>
    <n v="4"/>
    <x v="10"/>
    <n v="27"/>
    <x v="0"/>
    <n v="1"/>
    <x v="0"/>
  </r>
  <r>
    <n v="11791"/>
    <n v="21"/>
    <x v="1"/>
    <x v="1"/>
    <x v="3"/>
    <x v="2"/>
    <s v="Single"/>
    <n v="90660"/>
    <n v="26627"/>
    <x v="19"/>
    <x v="13"/>
    <n v="3"/>
    <s v="Yes"/>
    <n v="1"/>
    <x v="7"/>
    <n v="5"/>
    <x v="3"/>
    <n v="2"/>
    <x v="0"/>
  </r>
  <r>
    <n v="11792"/>
    <n v="29"/>
    <x v="0"/>
    <x v="1"/>
    <x v="1"/>
    <x v="2"/>
    <s v="Married"/>
    <n v="63764"/>
    <n v="42207"/>
    <x v="21"/>
    <x v="8"/>
    <n v="3"/>
    <s v="Yes"/>
    <n v="2"/>
    <x v="31"/>
    <n v="33"/>
    <x v="0"/>
    <n v="3"/>
    <x v="0"/>
  </r>
  <r>
    <n v="11793"/>
    <n v="25"/>
    <x v="0"/>
    <x v="2"/>
    <x v="4"/>
    <x v="2"/>
    <s v="Divorced"/>
    <n v="30208"/>
    <n v="45057"/>
    <x v="3"/>
    <x v="12"/>
    <n v="2"/>
    <s v="Yes"/>
    <n v="4"/>
    <x v="13"/>
    <n v="52"/>
    <x v="1"/>
    <n v="2"/>
    <x v="0"/>
  </r>
  <r>
    <n v="11794"/>
    <n v="22"/>
    <x v="1"/>
    <x v="2"/>
    <x v="1"/>
    <x v="2"/>
    <s v="Single"/>
    <n v="64881"/>
    <n v="44016"/>
    <x v="24"/>
    <x v="9"/>
    <n v="5"/>
    <s v="No"/>
    <n v="2"/>
    <x v="7"/>
    <n v="12"/>
    <x v="0"/>
    <n v="4"/>
    <x v="0"/>
  </r>
  <r>
    <n v="11795"/>
    <n v="30"/>
    <x v="1"/>
    <x v="0"/>
    <x v="1"/>
    <x v="0"/>
    <s v="Married"/>
    <n v="45973"/>
    <n v="17572"/>
    <x v="5"/>
    <x v="2"/>
    <n v="2"/>
    <s v="No"/>
    <n v="3"/>
    <x v="12"/>
    <n v="13"/>
    <x v="0"/>
    <n v="2"/>
    <x v="0"/>
  </r>
  <r>
    <n v="11796"/>
    <n v="53"/>
    <x v="1"/>
    <x v="3"/>
    <x v="4"/>
    <x v="2"/>
    <s v="Single"/>
    <n v="28337"/>
    <n v="5756"/>
    <x v="12"/>
    <x v="2"/>
    <n v="2"/>
    <s v="No"/>
    <n v="3"/>
    <x v="1"/>
    <n v="6"/>
    <x v="1"/>
    <n v="2"/>
    <x v="0"/>
  </r>
  <r>
    <n v="11797"/>
    <n v="52"/>
    <x v="0"/>
    <x v="4"/>
    <x v="5"/>
    <x v="2"/>
    <s v="Single"/>
    <n v="168014"/>
    <n v="32235"/>
    <x v="5"/>
    <x v="8"/>
    <n v="3"/>
    <s v="No"/>
    <n v="2"/>
    <x v="1"/>
    <n v="35"/>
    <x v="1"/>
    <n v="1"/>
    <x v="0"/>
  </r>
  <r>
    <n v="11798"/>
    <n v="30"/>
    <x v="0"/>
    <x v="2"/>
    <x v="0"/>
    <x v="3"/>
    <s v="Single"/>
    <n v="64665"/>
    <n v="12494"/>
    <x v="11"/>
    <x v="5"/>
    <n v="4"/>
    <s v="Yes"/>
    <n v="3"/>
    <x v="29"/>
    <n v="40"/>
    <x v="3"/>
    <n v="3"/>
    <x v="0"/>
  </r>
  <r>
    <n v="11799"/>
    <n v="58"/>
    <x v="1"/>
    <x v="3"/>
    <x v="0"/>
    <x v="2"/>
    <s v="Married"/>
    <n v="80192"/>
    <n v="29501"/>
    <x v="4"/>
    <x v="7"/>
    <n v="5"/>
    <s v="Yes"/>
    <n v="3"/>
    <x v="13"/>
    <n v="31"/>
    <x v="3"/>
    <n v="4"/>
    <x v="0"/>
  </r>
  <r>
    <n v="11800"/>
    <n v="23"/>
    <x v="0"/>
    <x v="5"/>
    <x v="4"/>
    <x v="3"/>
    <s v="Single"/>
    <n v="37137"/>
    <n v="40424"/>
    <x v="13"/>
    <x v="9"/>
    <n v="3"/>
    <s v="No"/>
    <n v="4"/>
    <x v="15"/>
    <n v="18"/>
    <x v="1"/>
    <n v="2"/>
    <x v="1"/>
  </r>
  <r>
    <n v="11801"/>
    <n v="39"/>
    <x v="1"/>
    <x v="2"/>
    <x v="2"/>
    <x v="2"/>
    <s v="Married"/>
    <n v="15347"/>
    <n v="25561"/>
    <x v="20"/>
    <x v="12"/>
    <n v="5"/>
    <s v="No"/>
    <n v="2"/>
    <x v="1"/>
    <n v="40"/>
    <x v="3"/>
    <n v="1"/>
    <x v="0"/>
  </r>
  <r>
    <n v="11802"/>
    <n v="37"/>
    <x v="1"/>
    <x v="3"/>
    <x v="2"/>
    <x v="0"/>
    <s v="Married"/>
    <n v="17901"/>
    <n v="33002"/>
    <x v="9"/>
    <x v="14"/>
    <n v="2"/>
    <s v="No"/>
    <n v="4"/>
    <x v="37"/>
    <n v="47"/>
    <x v="0"/>
    <n v="3"/>
    <x v="0"/>
  </r>
  <r>
    <n v="11803"/>
    <n v="32"/>
    <x v="0"/>
    <x v="2"/>
    <x v="1"/>
    <x v="2"/>
    <s v="Single"/>
    <n v="65379"/>
    <n v="25118"/>
    <x v="22"/>
    <x v="3"/>
    <n v="5"/>
    <s v="No"/>
    <n v="3"/>
    <x v="38"/>
    <n v="8"/>
    <x v="3"/>
    <n v="4"/>
    <x v="0"/>
  </r>
  <r>
    <n v="11804"/>
    <n v="32"/>
    <x v="1"/>
    <x v="1"/>
    <x v="4"/>
    <x v="3"/>
    <s v="Divorced"/>
    <n v="40314"/>
    <n v="31833"/>
    <x v="7"/>
    <x v="9"/>
    <n v="1"/>
    <s v="No"/>
    <n v="3"/>
    <x v="23"/>
    <n v="11"/>
    <x v="1"/>
    <n v="1"/>
    <x v="1"/>
  </r>
  <r>
    <n v="11805"/>
    <n v="46"/>
    <x v="1"/>
    <x v="1"/>
    <x v="4"/>
    <x v="2"/>
    <s v="Married"/>
    <n v="43121"/>
    <n v="35222"/>
    <x v="15"/>
    <x v="12"/>
    <n v="3"/>
    <s v="No"/>
    <n v="3"/>
    <x v="8"/>
    <n v="59"/>
    <x v="0"/>
    <n v="2"/>
    <x v="0"/>
  </r>
  <r>
    <n v="11806"/>
    <n v="45"/>
    <x v="0"/>
    <x v="3"/>
    <x v="0"/>
    <x v="2"/>
    <s v="Married"/>
    <n v="81497"/>
    <n v="5221"/>
    <x v="9"/>
    <x v="5"/>
    <n v="3"/>
    <s v="Yes"/>
    <n v="1"/>
    <x v="32"/>
    <n v="17"/>
    <x v="1"/>
    <n v="3"/>
    <x v="1"/>
  </r>
  <r>
    <n v="11807"/>
    <n v="47"/>
    <x v="1"/>
    <x v="3"/>
    <x v="1"/>
    <x v="2"/>
    <s v="Single"/>
    <n v="56023"/>
    <n v="33321"/>
    <x v="23"/>
    <x v="1"/>
    <n v="3"/>
    <s v="No"/>
    <n v="4"/>
    <x v="20"/>
    <n v="26"/>
    <x v="0"/>
    <n v="3"/>
    <x v="0"/>
  </r>
  <r>
    <n v="11808"/>
    <n v="31"/>
    <x v="0"/>
    <x v="2"/>
    <x v="1"/>
    <x v="0"/>
    <s v="Single"/>
    <n v="55252"/>
    <n v="27945"/>
    <x v="19"/>
    <x v="1"/>
    <n v="2"/>
    <s v="No"/>
    <n v="4"/>
    <x v="21"/>
    <n v="42"/>
    <x v="3"/>
    <n v="3"/>
    <x v="0"/>
  </r>
  <r>
    <n v="11809"/>
    <n v="29"/>
    <x v="0"/>
    <x v="4"/>
    <x v="1"/>
    <x v="0"/>
    <s v="Single"/>
    <n v="57533"/>
    <n v="28911"/>
    <x v="20"/>
    <x v="2"/>
    <n v="4"/>
    <s v="No"/>
    <n v="2"/>
    <x v="15"/>
    <n v="47"/>
    <x v="1"/>
    <n v="3"/>
    <x v="0"/>
  </r>
  <r>
    <n v="11810"/>
    <n v="51"/>
    <x v="1"/>
    <x v="4"/>
    <x v="4"/>
    <x v="1"/>
    <s v="Married"/>
    <n v="39171"/>
    <n v="9236"/>
    <x v="12"/>
    <x v="0"/>
    <n v="4"/>
    <s v="No"/>
    <n v="1"/>
    <x v="21"/>
    <n v="31"/>
    <x v="3"/>
    <n v="1"/>
    <x v="0"/>
  </r>
  <r>
    <n v="11811"/>
    <n v="25"/>
    <x v="1"/>
    <x v="2"/>
    <x v="0"/>
    <x v="2"/>
    <s v="Married"/>
    <n v="77022"/>
    <n v="16473"/>
    <x v="7"/>
    <x v="6"/>
    <n v="3"/>
    <s v="Yes"/>
    <n v="3"/>
    <x v="5"/>
    <n v="23"/>
    <x v="0"/>
    <n v="4"/>
    <x v="0"/>
  </r>
  <r>
    <n v="11812"/>
    <n v="20"/>
    <x v="1"/>
    <x v="1"/>
    <x v="3"/>
    <x v="2"/>
    <s v="Single"/>
    <n v="98765"/>
    <n v="48995"/>
    <x v="7"/>
    <x v="4"/>
    <n v="5"/>
    <s v="No"/>
    <n v="1"/>
    <x v="8"/>
    <n v="56"/>
    <x v="1"/>
    <n v="2"/>
    <x v="0"/>
  </r>
  <r>
    <n v="11813"/>
    <n v="21"/>
    <x v="0"/>
    <x v="2"/>
    <x v="4"/>
    <x v="0"/>
    <s v="Married"/>
    <n v="36590"/>
    <n v="48198"/>
    <x v="3"/>
    <x v="12"/>
    <n v="4"/>
    <s v="No"/>
    <n v="4"/>
    <x v="11"/>
    <n v="7"/>
    <x v="0"/>
    <n v="1"/>
    <x v="0"/>
  </r>
  <r>
    <n v="11814"/>
    <n v="48"/>
    <x v="0"/>
    <x v="3"/>
    <x v="0"/>
    <x v="0"/>
    <s v="Married"/>
    <n v="70059"/>
    <n v="18970"/>
    <x v="3"/>
    <x v="8"/>
    <n v="5"/>
    <s v="No"/>
    <n v="1"/>
    <x v="29"/>
    <n v="7"/>
    <x v="2"/>
    <n v="1"/>
    <x v="0"/>
  </r>
  <r>
    <n v="11815"/>
    <n v="54"/>
    <x v="0"/>
    <x v="0"/>
    <x v="1"/>
    <x v="3"/>
    <s v="Married"/>
    <n v="45764"/>
    <n v="21422"/>
    <x v="9"/>
    <x v="4"/>
    <n v="3"/>
    <s v="No"/>
    <n v="4"/>
    <x v="23"/>
    <n v="56"/>
    <x v="1"/>
    <n v="3"/>
    <x v="0"/>
  </r>
  <r>
    <n v="11816"/>
    <n v="43"/>
    <x v="0"/>
    <x v="2"/>
    <x v="3"/>
    <x v="2"/>
    <s v="Single"/>
    <n v="108556"/>
    <n v="23732"/>
    <x v="10"/>
    <x v="13"/>
    <n v="4"/>
    <s v="Yes"/>
    <n v="3"/>
    <x v="30"/>
    <n v="13"/>
    <x v="1"/>
    <n v="2"/>
    <x v="0"/>
  </r>
  <r>
    <n v="11817"/>
    <n v="41"/>
    <x v="0"/>
    <x v="5"/>
    <x v="4"/>
    <x v="2"/>
    <s v="Married"/>
    <n v="31110"/>
    <n v="2877"/>
    <x v="7"/>
    <x v="2"/>
    <n v="3"/>
    <s v="Yes"/>
    <n v="2"/>
    <x v="32"/>
    <n v="20"/>
    <x v="0"/>
    <n v="2"/>
    <x v="0"/>
  </r>
  <r>
    <n v="11818"/>
    <n v="55"/>
    <x v="0"/>
    <x v="5"/>
    <x v="3"/>
    <x v="1"/>
    <s v="Married"/>
    <n v="91095"/>
    <n v="19167"/>
    <x v="0"/>
    <x v="10"/>
    <n v="3"/>
    <s v="No"/>
    <n v="2"/>
    <x v="33"/>
    <n v="57"/>
    <x v="3"/>
    <n v="4"/>
    <x v="0"/>
  </r>
  <r>
    <n v="11819"/>
    <n v="55"/>
    <x v="0"/>
    <x v="3"/>
    <x v="3"/>
    <x v="3"/>
    <s v="Single"/>
    <n v="102028"/>
    <n v="42319"/>
    <x v="2"/>
    <x v="11"/>
    <n v="4"/>
    <s v="No"/>
    <n v="3"/>
    <x v="33"/>
    <n v="51"/>
    <x v="1"/>
    <n v="2"/>
    <x v="1"/>
  </r>
  <r>
    <n v="11820"/>
    <n v="39"/>
    <x v="1"/>
    <x v="2"/>
    <x v="4"/>
    <x v="3"/>
    <s v="Divorced"/>
    <n v="25181"/>
    <n v="10939"/>
    <x v="14"/>
    <x v="10"/>
    <n v="2"/>
    <s v="No"/>
    <n v="3"/>
    <x v="21"/>
    <n v="20"/>
    <x v="2"/>
    <n v="2"/>
    <x v="1"/>
  </r>
  <r>
    <n v="11821"/>
    <n v="48"/>
    <x v="1"/>
    <x v="5"/>
    <x v="0"/>
    <x v="2"/>
    <s v="Married"/>
    <n v="64412"/>
    <n v="30493"/>
    <x v="11"/>
    <x v="1"/>
    <n v="2"/>
    <s v="No"/>
    <n v="3"/>
    <x v="5"/>
    <n v="59"/>
    <x v="1"/>
    <n v="3"/>
    <x v="0"/>
  </r>
  <r>
    <n v="11822"/>
    <n v="28"/>
    <x v="0"/>
    <x v="3"/>
    <x v="0"/>
    <x v="2"/>
    <s v="Single"/>
    <n v="74598"/>
    <n v="37595"/>
    <x v="23"/>
    <x v="2"/>
    <n v="2"/>
    <s v="No"/>
    <n v="3"/>
    <x v="20"/>
    <n v="28"/>
    <x v="0"/>
    <n v="4"/>
    <x v="0"/>
  </r>
  <r>
    <n v="11823"/>
    <n v="58"/>
    <x v="1"/>
    <x v="5"/>
    <x v="2"/>
    <x v="3"/>
    <s v="Married"/>
    <n v="11398"/>
    <n v="7210"/>
    <x v="5"/>
    <x v="12"/>
    <n v="3"/>
    <s v="No"/>
    <n v="3"/>
    <x v="14"/>
    <n v="29"/>
    <x v="1"/>
    <n v="3"/>
    <x v="0"/>
  </r>
  <r>
    <n v="11824"/>
    <n v="48"/>
    <x v="0"/>
    <x v="2"/>
    <x v="1"/>
    <x v="2"/>
    <s v="Married"/>
    <n v="60631"/>
    <n v="7898"/>
    <x v="22"/>
    <x v="6"/>
    <n v="3"/>
    <s v="No"/>
    <n v="3"/>
    <x v="37"/>
    <n v="51"/>
    <x v="1"/>
    <n v="3"/>
    <x v="0"/>
  </r>
  <r>
    <n v="11825"/>
    <n v="53"/>
    <x v="0"/>
    <x v="2"/>
    <x v="4"/>
    <x v="2"/>
    <s v="Single"/>
    <n v="37953"/>
    <n v="2366"/>
    <x v="4"/>
    <x v="7"/>
    <n v="3"/>
    <s v="No"/>
    <n v="4"/>
    <x v="9"/>
    <n v="22"/>
    <x v="0"/>
    <n v="1"/>
    <x v="0"/>
  </r>
  <r>
    <n v="11826"/>
    <n v="54"/>
    <x v="0"/>
    <x v="3"/>
    <x v="4"/>
    <x v="1"/>
    <s v="Single"/>
    <n v="38885"/>
    <n v="27230"/>
    <x v="1"/>
    <x v="8"/>
    <n v="3"/>
    <s v="No"/>
    <n v="2"/>
    <x v="11"/>
    <n v="45"/>
    <x v="0"/>
    <n v="3"/>
    <x v="1"/>
  </r>
  <r>
    <n v="11827"/>
    <n v="38"/>
    <x v="1"/>
    <x v="2"/>
    <x v="0"/>
    <x v="2"/>
    <s v="Single"/>
    <n v="60230"/>
    <n v="49535"/>
    <x v="12"/>
    <x v="14"/>
    <n v="3"/>
    <s v="No"/>
    <n v="4"/>
    <x v="24"/>
    <n v="31"/>
    <x v="1"/>
    <n v="3"/>
    <x v="0"/>
  </r>
  <r>
    <n v="11828"/>
    <n v="47"/>
    <x v="0"/>
    <x v="2"/>
    <x v="4"/>
    <x v="2"/>
    <s v="Married"/>
    <n v="35620"/>
    <n v="7768"/>
    <x v="5"/>
    <x v="0"/>
    <n v="3"/>
    <s v="No"/>
    <n v="3"/>
    <x v="7"/>
    <n v="30"/>
    <x v="0"/>
    <n v="3"/>
    <x v="0"/>
  </r>
  <r>
    <n v="11829"/>
    <n v="20"/>
    <x v="0"/>
    <x v="2"/>
    <x v="5"/>
    <x v="2"/>
    <s v="Married"/>
    <n v="157891"/>
    <n v="18136"/>
    <x v="16"/>
    <x v="6"/>
    <n v="3"/>
    <s v="No"/>
    <n v="3"/>
    <x v="34"/>
    <n v="43"/>
    <x v="1"/>
    <n v="4"/>
    <x v="1"/>
  </r>
  <r>
    <n v="11830"/>
    <n v="39"/>
    <x v="0"/>
    <x v="3"/>
    <x v="2"/>
    <x v="2"/>
    <s v="Single"/>
    <n v="10982"/>
    <n v="31900"/>
    <x v="9"/>
    <x v="13"/>
    <n v="3"/>
    <s v="No"/>
    <n v="2"/>
    <x v="1"/>
    <n v="31"/>
    <x v="3"/>
    <n v="1"/>
    <x v="0"/>
  </r>
  <r>
    <n v="11831"/>
    <n v="59"/>
    <x v="0"/>
    <x v="2"/>
    <x v="4"/>
    <x v="3"/>
    <s v="Married"/>
    <n v="35444"/>
    <n v="6663"/>
    <x v="2"/>
    <x v="5"/>
    <n v="4"/>
    <s v="No"/>
    <n v="1"/>
    <x v="31"/>
    <n v="55"/>
    <x v="0"/>
    <n v="2"/>
    <x v="0"/>
  </r>
  <r>
    <n v="11832"/>
    <n v="42"/>
    <x v="0"/>
    <x v="5"/>
    <x v="1"/>
    <x v="2"/>
    <s v="Married"/>
    <n v="48630"/>
    <n v="1867"/>
    <x v="14"/>
    <x v="6"/>
    <n v="3"/>
    <s v="No"/>
    <n v="4"/>
    <x v="33"/>
    <n v="46"/>
    <x v="0"/>
    <n v="1"/>
    <x v="0"/>
  </r>
  <r>
    <n v="11833"/>
    <n v="20"/>
    <x v="1"/>
    <x v="3"/>
    <x v="2"/>
    <x v="3"/>
    <s v="Single"/>
    <n v="10108"/>
    <n v="38577"/>
    <x v="18"/>
    <x v="13"/>
    <n v="5"/>
    <s v="No"/>
    <n v="3"/>
    <x v="37"/>
    <n v="33"/>
    <x v="1"/>
    <n v="1"/>
    <x v="0"/>
  </r>
  <r>
    <n v="11834"/>
    <n v="32"/>
    <x v="0"/>
    <x v="3"/>
    <x v="0"/>
    <x v="2"/>
    <s v="Married"/>
    <n v="67827"/>
    <n v="37769"/>
    <x v="20"/>
    <x v="7"/>
    <n v="3"/>
    <s v="Yes"/>
    <n v="3"/>
    <x v="1"/>
    <n v="12"/>
    <x v="0"/>
    <n v="3"/>
    <x v="0"/>
  </r>
  <r>
    <n v="11835"/>
    <n v="49"/>
    <x v="0"/>
    <x v="2"/>
    <x v="3"/>
    <x v="2"/>
    <s v="Single"/>
    <n v="105468"/>
    <n v="13875"/>
    <x v="7"/>
    <x v="3"/>
    <n v="3"/>
    <s v="No"/>
    <n v="1"/>
    <x v="8"/>
    <n v="57"/>
    <x v="0"/>
    <n v="3"/>
    <x v="0"/>
  </r>
  <r>
    <n v="11836"/>
    <n v="46"/>
    <x v="0"/>
    <x v="5"/>
    <x v="4"/>
    <x v="2"/>
    <s v="Single"/>
    <n v="33810"/>
    <n v="12924"/>
    <x v="11"/>
    <x v="3"/>
    <n v="3"/>
    <s v="No"/>
    <n v="2"/>
    <x v="36"/>
    <n v="47"/>
    <x v="3"/>
    <n v="1"/>
    <x v="0"/>
  </r>
  <r>
    <n v="11837"/>
    <n v="25"/>
    <x v="0"/>
    <x v="3"/>
    <x v="0"/>
    <x v="3"/>
    <s v="Married"/>
    <n v="65183"/>
    <n v="45905"/>
    <x v="4"/>
    <x v="11"/>
    <n v="4"/>
    <s v="Yes"/>
    <n v="4"/>
    <x v="31"/>
    <n v="22"/>
    <x v="0"/>
    <n v="3"/>
    <x v="0"/>
  </r>
  <r>
    <n v="11838"/>
    <n v="35"/>
    <x v="0"/>
    <x v="3"/>
    <x v="1"/>
    <x v="2"/>
    <s v="Married"/>
    <n v="63997"/>
    <n v="2272"/>
    <x v="22"/>
    <x v="3"/>
    <n v="3"/>
    <s v="No"/>
    <n v="4"/>
    <x v="10"/>
    <n v="55"/>
    <x v="3"/>
    <n v="3"/>
    <x v="0"/>
  </r>
  <r>
    <n v="11839"/>
    <n v="58"/>
    <x v="0"/>
    <x v="3"/>
    <x v="0"/>
    <x v="2"/>
    <s v="Married"/>
    <n v="86884"/>
    <n v="6140"/>
    <x v="23"/>
    <x v="10"/>
    <n v="4"/>
    <s v="No"/>
    <n v="4"/>
    <x v="31"/>
    <n v="48"/>
    <x v="0"/>
    <n v="4"/>
    <x v="0"/>
  </r>
  <r>
    <n v="11840"/>
    <n v="38"/>
    <x v="0"/>
    <x v="3"/>
    <x v="0"/>
    <x v="3"/>
    <s v="Single"/>
    <n v="72850"/>
    <n v="25957"/>
    <x v="16"/>
    <x v="6"/>
    <n v="2"/>
    <s v="No"/>
    <n v="2"/>
    <x v="11"/>
    <n v="29"/>
    <x v="3"/>
    <n v="1"/>
    <x v="0"/>
  </r>
  <r>
    <n v="11841"/>
    <n v="29"/>
    <x v="0"/>
    <x v="2"/>
    <x v="0"/>
    <x v="0"/>
    <s v="Single"/>
    <n v="61514"/>
    <n v="14068"/>
    <x v="3"/>
    <x v="11"/>
    <n v="2"/>
    <s v="Yes"/>
    <n v="4"/>
    <x v="7"/>
    <n v="59"/>
    <x v="0"/>
    <n v="4"/>
    <x v="0"/>
  </r>
  <r>
    <n v="11842"/>
    <n v="25"/>
    <x v="0"/>
    <x v="0"/>
    <x v="4"/>
    <x v="0"/>
    <s v="Married"/>
    <n v="36408"/>
    <n v="15360"/>
    <x v="23"/>
    <x v="0"/>
    <n v="3"/>
    <s v="Yes"/>
    <n v="4"/>
    <x v="1"/>
    <n v="30"/>
    <x v="1"/>
    <n v="1"/>
    <x v="0"/>
  </r>
  <r>
    <n v="11843"/>
    <n v="20"/>
    <x v="0"/>
    <x v="0"/>
    <x v="4"/>
    <x v="3"/>
    <s v="Single"/>
    <n v="37855"/>
    <n v="43915"/>
    <x v="11"/>
    <x v="10"/>
    <n v="2"/>
    <s v="No"/>
    <n v="3"/>
    <x v="32"/>
    <n v="41"/>
    <x v="2"/>
    <n v="3"/>
    <x v="0"/>
  </r>
  <r>
    <n v="11844"/>
    <n v="42"/>
    <x v="1"/>
    <x v="3"/>
    <x v="1"/>
    <x v="2"/>
    <s v="Married"/>
    <n v="64558"/>
    <n v="48055"/>
    <x v="15"/>
    <x v="10"/>
    <n v="3"/>
    <s v="No"/>
    <n v="3"/>
    <x v="13"/>
    <n v="52"/>
    <x v="0"/>
    <n v="3"/>
    <x v="0"/>
  </r>
  <r>
    <n v="11845"/>
    <n v="45"/>
    <x v="0"/>
    <x v="2"/>
    <x v="4"/>
    <x v="0"/>
    <s v="Married"/>
    <n v="37748"/>
    <n v="32369"/>
    <x v="12"/>
    <x v="1"/>
    <n v="4"/>
    <s v="Yes"/>
    <n v="3"/>
    <x v="27"/>
    <n v="29"/>
    <x v="2"/>
    <n v="3"/>
    <x v="0"/>
  </r>
  <r>
    <n v="11846"/>
    <n v="31"/>
    <x v="0"/>
    <x v="3"/>
    <x v="0"/>
    <x v="2"/>
    <s v="Married"/>
    <n v="75993"/>
    <n v="18462"/>
    <x v="3"/>
    <x v="11"/>
    <n v="4"/>
    <s v="No"/>
    <n v="3"/>
    <x v="23"/>
    <n v="34"/>
    <x v="0"/>
    <n v="3"/>
    <x v="0"/>
  </r>
  <r>
    <n v="11847"/>
    <n v="45"/>
    <x v="1"/>
    <x v="0"/>
    <x v="1"/>
    <x v="2"/>
    <s v="Married"/>
    <n v="46024"/>
    <n v="21202"/>
    <x v="10"/>
    <x v="3"/>
    <n v="4"/>
    <s v="Yes"/>
    <n v="3"/>
    <x v="15"/>
    <n v="51"/>
    <x v="0"/>
    <n v="4"/>
    <x v="0"/>
  </r>
  <r>
    <n v="11848"/>
    <n v="25"/>
    <x v="0"/>
    <x v="1"/>
    <x v="3"/>
    <x v="2"/>
    <s v="Single"/>
    <n v="120938"/>
    <n v="25943"/>
    <x v="11"/>
    <x v="13"/>
    <n v="4"/>
    <s v="No"/>
    <n v="3"/>
    <x v="28"/>
    <n v="16"/>
    <x v="1"/>
    <n v="3"/>
    <x v="0"/>
  </r>
  <r>
    <n v="11849"/>
    <n v="25"/>
    <x v="1"/>
    <x v="3"/>
    <x v="1"/>
    <x v="0"/>
    <s v="Single"/>
    <n v="45146"/>
    <n v="29924"/>
    <x v="12"/>
    <x v="2"/>
    <n v="3"/>
    <s v="Yes"/>
    <n v="2"/>
    <x v="31"/>
    <n v="24"/>
    <x v="0"/>
    <n v="1"/>
    <x v="1"/>
  </r>
  <r>
    <n v="11850"/>
    <n v="43"/>
    <x v="1"/>
    <x v="2"/>
    <x v="4"/>
    <x v="2"/>
    <s v="Single"/>
    <n v="44198"/>
    <n v="38433"/>
    <x v="4"/>
    <x v="14"/>
    <n v="5"/>
    <s v="No"/>
    <n v="4"/>
    <x v="21"/>
    <n v="42"/>
    <x v="3"/>
    <n v="2"/>
    <x v="0"/>
  </r>
  <r>
    <n v="11851"/>
    <n v="59"/>
    <x v="0"/>
    <x v="5"/>
    <x v="4"/>
    <x v="2"/>
    <s v="Divorced"/>
    <n v="26831"/>
    <n v="43879"/>
    <x v="11"/>
    <x v="14"/>
    <n v="5"/>
    <s v="No"/>
    <n v="3"/>
    <x v="30"/>
    <n v="15"/>
    <x v="3"/>
    <n v="2"/>
    <x v="0"/>
  </r>
  <r>
    <n v="11852"/>
    <n v="44"/>
    <x v="0"/>
    <x v="2"/>
    <x v="4"/>
    <x v="3"/>
    <s v="Single"/>
    <n v="30144"/>
    <n v="37451"/>
    <x v="5"/>
    <x v="2"/>
    <n v="3"/>
    <s v="No"/>
    <n v="4"/>
    <x v="0"/>
    <n v="5"/>
    <x v="2"/>
    <n v="3"/>
    <x v="0"/>
  </r>
  <r>
    <n v="11853"/>
    <n v="36"/>
    <x v="0"/>
    <x v="2"/>
    <x v="3"/>
    <x v="2"/>
    <s v="Single"/>
    <n v="107560"/>
    <n v="27875"/>
    <x v="22"/>
    <x v="5"/>
    <n v="2"/>
    <s v="No"/>
    <n v="3"/>
    <x v="30"/>
    <n v="22"/>
    <x v="1"/>
    <n v="1"/>
    <x v="0"/>
  </r>
  <r>
    <n v="11854"/>
    <n v="49"/>
    <x v="0"/>
    <x v="2"/>
    <x v="1"/>
    <x v="2"/>
    <s v="Married"/>
    <n v="66735"/>
    <n v="44507"/>
    <x v="11"/>
    <x v="10"/>
    <n v="2"/>
    <s v="Yes"/>
    <n v="4"/>
    <x v="31"/>
    <n v="15"/>
    <x v="3"/>
    <n v="2"/>
    <x v="0"/>
  </r>
  <r>
    <n v="11855"/>
    <n v="29"/>
    <x v="0"/>
    <x v="4"/>
    <x v="3"/>
    <x v="2"/>
    <s v="Married"/>
    <n v="97238"/>
    <n v="25217"/>
    <x v="15"/>
    <x v="6"/>
    <n v="5"/>
    <s v="No"/>
    <n v="4"/>
    <x v="27"/>
    <n v="16"/>
    <x v="0"/>
    <n v="2"/>
    <x v="0"/>
  </r>
  <r>
    <n v="11856"/>
    <n v="28"/>
    <x v="0"/>
    <x v="3"/>
    <x v="4"/>
    <x v="3"/>
    <s v="Married"/>
    <n v="34097"/>
    <n v="45058"/>
    <x v="18"/>
    <x v="14"/>
    <n v="4"/>
    <s v="Yes"/>
    <n v="3"/>
    <x v="30"/>
    <n v="11"/>
    <x v="2"/>
    <n v="3"/>
    <x v="1"/>
  </r>
  <r>
    <n v="11857"/>
    <n v="32"/>
    <x v="1"/>
    <x v="1"/>
    <x v="4"/>
    <x v="0"/>
    <s v="Married"/>
    <n v="31349"/>
    <n v="387"/>
    <x v="23"/>
    <x v="5"/>
    <n v="4"/>
    <s v="No"/>
    <n v="3"/>
    <x v="26"/>
    <n v="32"/>
    <x v="1"/>
    <n v="1"/>
    <x v="0"/>
  </r>
  <r>
    <n v="11858"/>
    <n v="50"/>
    <x v="0"/>
    <x v="3"/>
    <x v="0"/>
    <x v="0"/>
    <s v="Married"/>
    <n v="80545"/>
    <n v="7496"/>
    <x v="19"/>
    <x v="4"/>
    <n v="5"/>
    <s v="No"/>
    <n v="3"/>
    <x v="28"/>
    <n v="29"/>
    <x v="2"/>
    <n v="2"/>
    <x v="0"/>
  </r>
  <r>
    <n v="11859"/>
    <n v="51"/>
    <x v="0"/>
    <x v="2"/>
    <x v="2"/>
    <x v="2"/>
    <s v="Single"/>
    <n v="16856"/>
    <n v="2415"/>
    <x v="2"/>
    <x v="2"/>
    <n v="4"/>
    <s v="Yes"/>
    <n v="3"/>
    <x v="9"/>
    <n v="26"/>
    <x v="3"/>
    <n v="2"/>
    <x v="0"/>
  </r>
  <r>
    <n v="11860"/>
    <n v="20"/>
    <x v="0"/>
    <x v="1"/>
    <x v="1"/>
    <x v="2"/>
    <s v="Married"/>
    <n v="56830"/>
    <n v="45910"/>
    <x v="15"/>
    <x v="6"/>
    <n v="4"/>
    <s v="No"/>
    <n v="3"/>
    <x v="37"/>
    <n v="5"/>
    <x v="1"/>
    <n v="2"/>
    <x v="1"/>
  </r>
  <r>
    <n v="11861"/>
    <n v="46"/>
    <x v="0"/>
    <x v="2"/>
    <x v="2"/>
    <x v="2"/>
    <s v="Single"/>
    <n v="11884"/>
    <n v="4482"/>
    <x v="15"/>
    <x v="6"/>
    <n v="5"/>
    <s v="Yes"/>
    <n v="1"/>
    <x v="19"/>
    <n v="48"/>
    <x v="0"/>
    <n v="3"/>
    <x v="0"/>
  </r>
  <r>
    <n v="11862"/>
    <n v="45"/>
    <x v="0"/>
    <x v="2"/>
    <x v="1"/>
    <x v="3"/>
    <s v="Single"/>
    <n v="62926"/>
    <n v="43223"/>
    <x v="14"/>
    <x v="11"/>
    <n v="3"/>
    <s v="No"/>
    <n v="4"/>
    <x v="37"/>
    <n v="10"/>
    <x v="1"/>
    <n v="1"/>
    <x v="1"/>
  </r>
  <r>
    <n v="11863"/>
    <n v="55"/>
    <x v="0"/>
    <x v="3"/>
    <x v="1"/>
    <x v="2"/>
    <s v="Single"/>
    <n v="63101"/>
    <n v="27508"/>
    <x v="3"/>
    <x v="8"/>
    <n v="5"/>
    <s v="No"/>
    <n v="4"/>
    <x v="9"/>
    <n v="33"/>
    <x v="3"/>
    <n v="4"/>
    <x v="0"/>
  </r>
  <r>
    <n v="11864"/>
    <n v="35"/>
    <x v="0"/>
    <x v="0"/>
    <x v="4"/>
    <x v="3"/>
    <s v="Married"/>
    <n v="42673"/>
    <n v="9657"/>
    <x v="20"/>
    <x v="9"/>
    <n v="5"/>
    <s v="No"/>
    <n v="1"/>
    <x v="38"/>
    <n v="11"/>
    <x v="0"/>
    <n v="4"/>
    <x v="0"/>
  </r>
  <r>
    <n v="11865"/>
    <n v="22"/>
    <x v="0"/>
    <x v="4"/>
    <x v="1"/>
    <x v="2"/>
    <s v="Single"/>
    <n v="59335"/>
    <n v="40428"/>
    <x v="24"/>
    <x v="7"/>
    <n v="4"/>
    <s v="No"/>
    <n v="2"/>
    <x v="10"/>
    <n v="16"/>
    <x v="2"/>
    <n v="4"/>
    <x v="0"/>
  </r>
  <r>
    <n v="11866"/>
    <n v="47"/>
    <x v="1"/>
    <x v="3"/>
    <x v="2"/>
    <x v="0"/>
    <s v="Married"/>
    <n v="17164"/>
    <n v="13637"/>
    <x v="4"/>
    <x v="7"/>
    <n v="3"/>
    <s v="No"/>
    <n v="3"/>
    <x v="10"/>
    <n v="21"/>
    <x v="3"/>
    <n v="3"/>
    <x v="0"/>
  </r>
  <r>
    <n v="11867"/>
    <n v="40"/>
    <x v="1"/>
    <x v="3"/>
    <x v="1"/>
    <x v="2"/>
    <s v="Married"/>
    <n v="69487"/>
    <n v="45938"/>
    <x v="2"/>
    <x v="13"/>
    <n v="3"/>
    <s v="Yes"/>
    <n v="3"/>
    <x v="18"/>
    <n v="46"/>
    <x v="0"/>
    <n v="4"/>
    <x v="0"/>
  </r>
  <r>
    <n v="11868"/>
    <n v="25"/>
    <x v="1"/>
    <x v="0"/>
    <x v="4"/>
    <x v="3"/>
    <s v="Single"/>
    <n v="43831"/>
    <n v="39830"/>
    <x v="9"/>
    <x v="1"/>
    <n v="4"/>
    <s v="Yes"/>
    <n v="3"/>
    <x v="10"/>
    <n v="33"/>
    <x v="0"/>
    <n v="4"/>
    <x v="0"/>
  </r>
  <r>
    <n v="11869"/>
    <n v="45"/>
    <x v="0"/>
    <x v="2"/>
    <x v="1"/>
    <x v="0"/>
    <s v="Single"/>
    <n v="56486"/>
    <n v="20428"/>
    <x v="4"/>
    <x v="10"/>
    <n v="3"/>
    <s v="No"/>
    <n v="3"/>
    <x v="9"/>
    <n v="27"/>
    <x v="1"/>
    <n v="3"/>
    <x v="0"/>
  </r>
  <r>
    <n v="11870"/>
    <n v="40"/>
    <x v="0"/>
    <x v="2"/>
    <x v="1"/>
    <x v="2"/>
    <s v="Divorced"/>
    <n v="47649"/>
    <n v="21521"/>
    <x v="4"/>
    <x v="8"/>
    <n v="1"/>
    <s v="No"/>
    <n v="1"/>
    <x v="33"/>
    <n v="11"/>
    <x v="0"/>
    <n v="3"/>
    <x v="0"/>
  </r>
  <r>
    <n v="11871"/>
    <n v="33"/>
    <x v="0"/>
    <x v="3"/>
    <x v="3"/>
    <x v="2"/>
    <s v="Single"/>
    <n v="91800"/>
    <n v="15601"/>
    <x v="21"/>
    <x v="0"/>
    <n v="3"/>
    <s v="Yes"/>
    <n v="4"/>
    <x v="2"/>
    <n v="59"/>
    <x v="0"/>
    <n v="3"/>
    <x v="0"/>
  </r>
  <r>
    <n v="11872"/>
    <n v="46"/>
    <x v="0"/>
    <x v="3"/>
    <x v="0"/>
    <x v="3"/>
    <s v="Single"/>
    <n v="68947"/>
    <n v="11207"/>
    <x v="6"/>
    <x v="0"/>
    <n v="1"/>
    <s v="No"/>
    <n v="4"/>
    <x v="19"/>
    <n v="59"/>
    <x v="3"/>
    <n v="3"/>
    <x v="0"/>
  </r>
  <r>
    <n v="11873"/>
    <n v="24"/>
    <x v="1"/>
    <x v="2"/>
    <x v="4"/>
    <x v="2"/>
    <s v="Married"/>
    <n v="30557"/>
    <n v="10773"/>
    <x v="11"/>
    <x v="2"/>
    <n v="3"/>
    <s v="Yes"/>
    <n v="3"/>
    <x v="32"/>
    <n v="50"/>
    <x v="3"/>
    <n v="4"/>
    <x v="0"/>
  </r>
  <r>
    <n v="11874"/>
    <n v="55"/>
    <x v="0"/>
    <x v="2"/>
    <x v="0"/>
    <x v="0"/>
    <s v="Single"/>
    <n v="88976"/>
    <n v="13755"/>
    <x v="22"/>
    <x v="6"/>
    <n v="1"/>
    <s v="No"/>
    <n v="4"/>
    <x v="15"/>
    <n v="34"/>
    <x v="1"/>
    <n v="3"/>
    <x v="0"/>
  </r>
  <r>
    <n v="11875"/>
    <n v="36"/>
    <x v="0"/>
    <x v="4"/>
    <x v="3"/>
    <x v="0"/>
    <s v="Single"/>
    <n v="119502"/>
    <n v="26455"/>
    <x v="5"/>
    <x v="8"/>
    <n v="5"/>
    <s v="No"/>
    <n v="4"/>
    <x v="19"/>
    <n v="30"/>
    <x v="1"/>
    <n v="3"/>
    <x v="0"/>
  </r>
  <r>
    <n v="11876"/>
    <n v="30"/>
    <x v="0"/>
    <x v="2"/>
    <x v="1"/>
    <x v="3"/>
    <s v="Married"/>
    <n v="52695"/>
    <n v="31506"/>
    <x v="0"/>
    <x v="8"/>
    <n v="3"/>
    <s v="No"/>
    <n v="3"/>
    <x v="13"/>
    <n v="48"/>
    <x v="0"/>
    <n v="2"/>
    <x v="0"/>
  </r>
  <r>
    <n v="11877"/>
    <n v="53"/>
    <x v="0"/>
    <x v="2"/>
    <x v="4"/>
    <x v="0"/>
    <s v="Divorced"/>
    <n v="33326"/>
    <n v="3774"/>
    <x v="22"/>
    <x v="10"/>
    <n v="4"/>
    <s v="No"/>
    <n v="4"/>
    <x v="25"/>
    <n v="43"/>
    <x v="1"/>
    <n v="2"/>
    <x v="0"/>
  </r>
  <r>
    <n v="11878"/>
    <n v="22"/>
    <x v="0"/>
    <x v="5"/>
    <x v="3"/>
    <x v="1"/>
    <s v="Married"/>
    <n v="108134"/>
    <n v="5286"/>
    <x v="2"/>
    <x v="7"/>
    <n v="5"/>
    <s v="No"/>
    <n v="4"/>
    <x v="17"/>
    <n v="11"/>
    <x v="2"/>
    <n v="2"/>
    <x v="1"/>
  </r>
  <r>
    <n v="11879"/>
    <n v="44"/>
    <x v="0"/>
    <x v="2"/>
    <x v="5"/>
    <x v="2"/>
    <s v="Divorced"/>
    <n v="124113"/>
    <n v="40334"/>
    <x v="24"/>
    <x v="4"/>
    <n v="3"/>
    <s v="Yes"/>
    <n v="3"/>
    <x v="13"/>
    <n v="33"/>
    <x v="1"/>
    <n v="3"/>
    <x v="0"/>
  </r>
  <r>
    <n v="11880"/>
    <n v="38"/>
    <x v="0"/>
    <x v="2"/>
    <x v="4"/>
    <x v="3"/>
    <s v="Single"/>
    <n v="37297"/>
    <n v="42501"/>
    <x v="1"/>
    <x v="5"/>
    <n v="4"/>
    <s v="No"/>
    <n v="3"/>
    <x v="34"/>
    <n v="34"/>
    <x v="3"/>
    <n v="2"/>
    <x v="0"/>
  </r>
  <r>
    <n v="11881"/>
    <n v="24"/>
    <x v="0"/>
    <x v="3"/>
    <x v="1"/>
    <x v="3"/>
    <s v="Divorced"/>
    <n v="47631"/>
    <n v="29220"/>
    <x v="13"/>
    <x v="12"/>
    <n v="3"/>
    <s v="No"/>
    <n v="3"/>
    <x v="2"/>
    <n v="26"/>
    <x v="0"/>
    <n v="4"/>
    <x v="0"/>
  </r>
  <r>
    <n v="11882"/>
    <n v="24"/>
    <x v="0"/>
    <x v="5"/>
    <x v="0"/>
    <x v="2"/>
    <s v="Single"/>
    <n v="84990"/>
    <n v="42001"/>
    <x v="5"/>
    <x v="3"/>
    <n v="2"/>
    <s v="No"/>
    <n v="3"/>
    <x v="18"/>
    <n v="57"/>
    <x v="3"/>
    <n v="2"/>
    <x v="0"/>
  </r>
  <r>
    <n v="11883"/>
    <n v="34"/>
    <x v="0"/>
    <x v="2"/>
    <x v="4"/>
    <x v="2"/>
    <s v="Single"/>
    <n v="26905"/>
    <n v="36077"/>
    <x v="3"/>
    <x v="2"/>
    <n v="2"/>
    <s v="No"/>
    <n v="4"/>
    <x v="6"/>
    <n v="32"/>
    <x v="0"/>
    <n v="3"/>
    <x v="0"/>
  </r>
  <r>
    <n v="11884"/>
    <n v="45"/>
    <x v="1"/>
    <x v="2"/>
    <x v="0"/>
    <x v="2"/>
    <s v="Divorced"/>
    <n v="87080"/>
    <n v="25823"/>
    <x v="0"/>
    <x v="11"/>
    <n v="5"/>
    <s v="No"/>
    <n v="1"/>
    <x v="38"/>
    <n v="54"/>
    <x v="0"/>
    <n v="3"/>
    <x v="0"/>
  </r>
  <r>
    <n v="11885"/>
    <n v="59"/>
    <x v="0"/>
    <x v="0"/>
    <x v="1"/>
    <x v="2"/>
    <s v="Married"/>
    <n v="64144"/>
    <n v="29006"/>
    <x v="18"/>
    <x v="9"/>
    <n v="2"/>
    <s v="No"/>
    <n v="4"/>
    <x v="15"/>
    <n v="46"/>
    <x v="0"/>
    <n v="3"/>
    <x v="0"/>
  </r>
  <r>
    <n v="11886"/>
    <n v="44"/>
    <x v="0"/>
    <x v="3"/>
    <x v="0"/>
    <x v="2"/>
    <s v="Married"/>
    <n v="71882"/>
    <n v="23013"/>
    <x v="14"/>
    <x v="7"/>
    <n v="3"/>
    <s v="No"/>
    <n v="3"/>
    <x v="27"/>
    <n v="31"/>
    <x v="0"/>
    <n v="3"/>
    <x v="0"/>
  </r>
  <r>
    <n v="11887"/>
    <n v="44"/>
    <x v="1"/>
    <x v="3"/>
    <x v="4"/>
    <x v="3"/>
    <s v="Married"/>
    <n v="33526"/>
    <n v="932"/>
    <x v="2"/>
    <x v="5"/>
    <n v="3"/>
    <s v="Yes"/>
    <n v="2"/>
    <x v="33"/>
    <n v="50"/>
    <x v="3"/>
    <n v="2"/>
    <x v="0"/>
  </r>
  <r>
    <n v="11888"/>
    <n v="30"/>
    <x v="1"/>
    <x v="5"/>
    <x v="0"/>
    <x v="3"/>
    <s v="Single"/>
    <n v="86486"/>
    <n v="17785"/>
    <x v="7"/>
    <x v="9"/>
    <n v="5"/>
    <s v="No"/>
    <n v="2"/>
    <x v="10"/>
    <n v="24"/>
    <x v="3"/>
    <n v="3"/>
    <x v="0"/>
  </r>
  <r>
    <n v="11889"/>
    <n v="25"/>
    <x v="1"/>
    <x v="5"/>
    <x v="4"/>
    <x v="0"/>
    <s v="Single"/>
    <n v="37512"/>
    <n v="28203"/>
    <x v="0"/>
    <x v="0"/>
    <n v="5"/>
    <s v="Yes"/>
    <n v="4"/>
    <x v="11"/>
    <n v="23"/>
    <x v="3"/>
    <n v="3"/>
    <x v="0"/>
  </r>
  <r>
    <n v="11890"/>
    <n v="59"/>
    <x v="0"/>
    <x v="0"/>
    <x v="4"/>
    <x v="0"/>
    <s v="Married"/>
    <n v="36556"/>
    <n v="31768"/>
    <x v="22"/>
    <x v="5"/>
    <n v="3"/>
    <s v="No"/>
    <n v="4"/>
    <x v="2"/>
    <n v="43"/>
    <x v="3"/>
    <n v="2"/>
    <x v="0"/>
  </r>
  <r>
    <n v="11891"/>
    <n v="20"/>
    <x v="0"/>
    <x v="2"/>
    <x v="4"/>
    <x v="2"/>
    <s v="Married"/>
    <n v="40173"/>
    <n v="3469"/>
    <x v="17"/>
    <x v="0"/>
    <n v="3"/>
    <s v="No"/>
    <n v="2"/>
    <x v="3"/>
    <n v="9"/>
    <x v="0"/>
    <n v="2"/>
    <x v="0"/>
  </r>
  <r>
    <n v="11892"/>
    <n v="59"/>
    <x v="1"/>
    <x v="3"/>
    <x v="0"/>
    <x v="3"/>
    <s v="Married"/>
    <n v="81151"/>
    <n v="36540"/>
    <x v="16"/>
    <x v="9"/>
    <n v="4"/>
    <s v="No"/>
    <n v="4"/>
    <x v="30"/>
    <n v="46"/>
    <x v="3"/>
    <n v="4"/>
    <x v="0"/>
  </r>
  <r>
    <n v="11893"/>
    <n v="59"/>
    <x v="0"/>
    <x v="0"/>
    <x v="0"/>
    <x v="3"/>
    <s v="Single"/>
    <n v="80386"/>
    <n v="30221"/>
    <x v="10"/>
    <x v="10"/>
    <n v="2"/>
    <s v="No"/>
    <n v="1"/>
    <x v="25"/>
    <n v="5"/>
    <x v="3"/>
    <n v="2"/>
    <x v="0"/>
  </r>
  <r>
    <n v="11894"/>
    <n v="42"/>
    <x v="1"/>
    <x v="0"/>
    <x v="3"/>
    <x v="0"/>
    <s v="Single"/>
    <n v="96744"/>
    <n v="31643"/>
    <x v="3"/>
    <x v="9"/>
    <n v="3"/>
    <s v="No"/>
    <n v="2"/>
    <x v="8"/>
    <n v="42"/>
    <x v="1"/>
    <n v="3"/>
    <x v="0"/>
  </r>
  <r>
    <n v="11895"/>
    <n v="41"/>
    <x v="1"/>
    <x v="3"/>
    <x v="2"/>
    <x v="2"/>
    <s v="Married"/>
    <n v="11768"/>
    <n v="2091"/>
    <x v="3"/>
    <x v="12"/>
    <n v="5"/>
    <s v="Yes"/>
    <n v="3"/>
    <x v="21"/>
    <n v="43"/>
    <x v="1"/>
    <n v="1"/>
    <x v="0"/>
  </r>
  <r>
    <n v="11896"/>
    <n v="35"/>
    <x v="0"/>
    <x v="2"/>
    <x v="4"/>
    <x v="2"/>
    <s v="Single"/>
    <n v="25977"/>
    <n v="30083"/>
    <x v="10"/>
    <x v="7"/>
    <n v="3"/>
    <s v="Yes"/>
    <n v="1"/>
    <x v="12"/>
    <n v="17"/>
    <x v="2"/>
    <n v="4"/>
    <x v="1"/>
  </r>
  <r>
    <n v="11897"/>
    <n v="25"/>
    <x v="1"/>
    <x v="5"/>
    <x v="1"/>
    <x v="2"/>
    <s v="Married"/>
    <n v="57219"/>
    <n v="24132"/>
    <x v="20"/>
    <x v="0"/>
    <n v="3"/>
    <s v="No"/>
    <n v="4"/>
    <x v="2"/>
    <n v="59"/>
    <x v="2"/>
    <n v="4"/>
    <x v="0"/>
  </r>
  <r>
    <n v="11898"/>
    <n v="32"/>
    <x v="0"/>
    <x v="0"/>
    <x v="4"/>
    <x v="1"/>
    <s v="Single"/>
    <n v="42045"/>
    <n v="36029"/>
    <x v="16"/>
    <x v="8"/>
    <n v="3"/>
    <s v="No"/>
    <n v="2"/>
    <x v="0"/>
    <n v="10"/>
    <x v="3"/>
    <n v="2"/>
    <x v="0"/>
  </r>
  <r>
    <n v="11899"/>
    <n v="22"/>
    <x v="0"/>
    <x v="2"/>
    <x v="3"/>
    <x v="0"/>
    <s v="Married"/>
    <n v="125689"/>
    <n v="47341"/>
    <x v="22"/>
    <x v="10"/>
    <n v="3"/>
    <s v="Yes"/>
    <n v="2"/>
    <x v="5"/>
    <n v="58"/>
    <x v="1"/>
    <n v="3"/>
    <x v="0"/>
  </r>
  <r>
    <n v="11900"/>
    <n v="35"/>
    <x v="0"/>
    <x v="3"/>
    <x v="1"/>
    <x v="0"/>
    <s v="Single"/>
    <n v="47519"/>
    <n v="25633"/>
    <x v="4"/>
    <x v="9"/>
    <n v="3"/>
    <s v="Yes"/>
    <n v="3"/>
    <x v="21"/>
    <n v="51"/>
    <x v="3"/>
    <n v="4"/>
    <x v="0"/>
  </r>
  <r>
    <n v="11901"/>
    <n v="32"/>
    <x v="0"/>
    <x v="0"/>
    <x v="3"/>
    <x v="3"/>
    <s v="Single"/>
    <n v="122085"/>
    <n v="21833"/>
    <x v="22"/>
    <x v="14"/>
    <n v="4"/>
    <s v="No"/>
    <n v="4"/>
    <x v="35"/>
    <n v="21"/>
    <x v="0"/>
    <n v="4"/>
    <x v="0"/>
  </r>
  <r>
    <n v="11902"/>
    <n v="38"/>
    <x v="0"/>
    <x v="2"/>
    <x v="4"/>
    <x v="1"/>
    <s v="Single"/>
    <n v="40868"/>
    <n v="13989"/>
    <x v="18"/>
    <x v="2"/>
    <n v="3"/>
    <s v="No"/>
    <n v="3"/>
    <x v="6"/>
    <n v="59"/>
    <x v="0"/>
    <n v="1"/>
    <x v="0"/>
  </r>
  <r>
    <n v="11903"/>
    <n v="56"/>
    <x v="0"/>
    <x v="2"/>
    <x v="1"/>
    <x v="3"/>
    <s v="Single"/>
    <n v="51377"/>
    <n v="41631"/>
    <x v="2"/>
    <x v="1"/>
    <n v="4"/>
    <s v="No"/>
    <n v="1"/>
    <x v="3"/>
    <n v="50"/>
    <x v="0"/>
    <n v="2"/>
    <x v="0"/>
  </r>
  <r>
    <n v="11904"/>
    <n v="25"/>
    <x v="0"/>
    <x v="2"/>
    <x v="4"/>
    <x v="2"/>
    <s v="Single"/>
    <n v="42734"/>
    <n v="9535"/>
    <x v="0"/>
    <x v="0"/>
    <n v="2"/>
    <s v="No"/>
    <n v="2"/>
    <x v="33"/>
    <n v="57"/>
    <x v="0"/>
    <n v="3"/>
    <x v="0"/>
  </r>
  <r>
    <n v="11905"/>
    <n v="32"/>
    <x v="0"/>
    <x v="2"/>
    <x v="4"/>
    <x v="3"/>
    <s v="Divorced"/>
    <n v="43674"/>
    <n v="27226"/>
    <x v="18"/>
    <x v="6"/>
    <n v="5"/>
    <s v="Yes"/>
    <n v="3"/>
    <x v="16"/>
    <n v="49"/>
    <x v="2"/>
    <n v="4"/>
    <x v="0"/>
  </r>
  <r>
    <n v="11906"/>
    <n v="37"/>
    <x v="0"/>
    <x v="0"/>
    <x v="4"/>
    <x v="2"/>
    <s v="Married"/>
    <n v="34512"/>
    <n v="14750"/>
    <x v="18"/>
    <x v="3"/>
    <n v="3"/>
    <s v="No"/>
    <n v="1"/>
    <x v="1"/>
    <n v="36"/>
    <x v="1"/>
    <n v="3"/>
    <x v="0"/>
  </r>
  <r>
    <n v="11907"/>
    <n v="54"/>
    <x v="1"/>
    <x v="3"/>
    <x v="0"/>
    <x v="0"/>
    <s v="Married"/>
    <n v="63616"/>
    <n v="37301"/>
    <x v="9"/>
    <x v="5"/>
    <n v="5"/>
    <s v="No"/>
    <n v="4"/>
    <x v="26"/>
    <n v="59"/>
    <x v="2"/>
    <n v="1"/>
    <x v="1"/>
  </r>
  <r>
    <n v="11908"/>
    <n v="24"/>
    <x v="0"/>
    <x v="2"/>
    <x v="4"/>
    <x v="2"/>
    <s v="Single"/>
    <n v="29778"/>
    <n v="21836"/>
    <x v="10"/>
    <x v="8"/>
    <n v="3"/>
    <s v="No"/>
    <n v="3"/>
    <x v="9"/>
    <n v="7"/>
    <x v="0"/>
    <n v="4"/>
    <x v="0"/>
  </r>
  <r>
    <n v="11909"/>
    <n v="26"/>
    <x v="0"/>
    <x v="4"/>
    <x v="0"/>
    <x v="0"/>
    <s v="Married"/>
    <n v="86866"/>
    <n v="18335"/>
    <x v="18"/>
    <x v="10"/>
    <n v="4"/>
    <s v="No"/>
    <n v="3"/>
    <x v="4"/>
    <n v="52"/>
    <x v="3"/>
    <n v="4"/>
    <x v="0"/>
  </r>
  <r>
    <n v="11910"/>
    <n v="23"/>
    <x v="0"/>
    <x v="2"/>
    <x v="4"/>
    <x v="2"/>
    <s v="Single"/>
    <n v="27153"/>
    <n v="40037"/>
    <x v="14"/>
    <x v="2"/>
    <n v="1"/>
    <s v="No"/>
    <n v="4"/>
    <x v="0"/>
    <n v="27"/>
    <x v="0"/>
    <n v="4"/>
    <x v="0"/>
  </r>
  <r>
    <n v="11911"/>
    <n v="29"/>
    <x v="0"/>
    <x v="2"/>
    <x v="1"/>
    <x v="3"/>
    <s v="Married"/>
    <n v="49754"/>
    <n v="47187"/>
    <x v="14"/>
    <x v="14"/>
    <n v="5"/>
    <s v="No"/>
    <n v="1"/>
    <x v="1"/>
    <n v="8"/>
    <x v="3"/>
    <n v="2"/>
    <x v="0"/>
  </r>
  <r>
    <n v="11912"/>
    <n v="35"/>
    <x v="0"/>
    <x v="2"/>
    <x v="1"/>
    <x v="2"/>
    <s v="Married"/>
    <n v="47497"/>
    <n v="16733"/>
    <x v="19"/>
    <x v="9"/>
    <n v="2"/>
    <s v="No"/>
    <n v="1"/>
    <x v="20"/>
    <n v="22"/>
    <x v="1"/>
    <n v="2"/>
    <x v="0"/>
  </r>
  <r>
    <n v="11913"/>
    <n v="43"/>
    <x v="0"/>
    <x v="2"/>
    <x v="1"/>
    <x v="3"/>
    <s v="Married"/>
    <n v="57292"/>
    <n v="1839"/>
    <x v="19"/>
    <x v="1"/>
    <n v="3"/>
    <s v="No"/>
    <n v="4"/>
    <x v="38"/>
    <n v="9"/>
    <x v="3"/>
    <n v="4"/>
    <x v="0"/>
  </r>
  <r>
    <n v="11914"/>
    <n v="24"/>
    <x v="0"/>
    <x v="5"/>
    <x v="2"/>
    <x v="2"/>
    <s v="Married"/>
    <n v="19455"/>
    <n v="25800"/>
    <x v="4"/>
    <x v="7"/>
    <n v="3"/>
    <s v="Yes"/>
    <n v="4"/>
    <x v="9"/>
    <n v="5"/>
    <x v="3"/>
    <n v="3"/>
    <x v="0"/>
  </r>
  <r>
    <n v="11915"/>
    <n v="37"/>
    <x v="0"/>
    <x v="5"/>
    <x v="3"/>
    <x v="2"/>
    <s v="Single"/>
    <n v="94047"/>
    <n v="34289"/>
    <x v="18"/>
    <x v="14"/>
    <n v="3"/>
    <s v="No"/>
    <n v="3"/>
    <x v="32"/>
    <n v="27"/>
    <x v="3"/>
    <n v="3"/>
    <x v="0"/>
  </r>
  <r>
    <n v="11916"/>
    <n v="24"/>
    <x v="0"/>
    <x v="1"/>
    <x v="1"/>
    <x v="2"/>
    <s v="Single"/>
    <n v="56717"/>
    <n v="498"/>
    <x v="0"/>
    <x v="2"/>
    <n v="3"/>
    <s v="No"/>
    <n v="3"/>
    <x v="20"/>
    <n v="24"/>
    <x v="0"/>
    <n v="3"/>
    <x v="0"/>
  </r>
  <r>
    <n v="11917"/>
    <n v="26"/>
    <x v="0"/>
    <x v="3"/>
    <x v="2"/>
    <x v="2"/>
    <s v="Married"/>
    <n v="17811"/>
    <n v="26030"/>
    <x v="5"/>
    <x v="12"/>
    <n v="3"/>
    <s v="No"/>
    <n v="3"/>
    <x v="38"/>
    <n v="31"/>
    <x v="0"/>
    <n v="4"/>
    <x v="0"/>
  </r>
  <r>
    <n v="11918"/>
    <n v="29"/>
    <x v="1"/>
    <x v="4"/>
    <x v="3"/>
    <x v="2"/>
    <s v="Single"/>
    <n v="102365"/>
    <n v="38022"/>
    <x v="8"/>
    <x v="5"/>
    <n v="4"/>
    <s v="Yes"/>
    <n v="3"/>
    <x v="30"/>
    <n v="18"/>
    <x v="0"/>
    <n v="2"/>
    <x v="0"/>
  </r>
  <r>
    <n v="11919"/>
    <n v="39"/>
    <x v="1"/>
    <x v="0"/>
    <x v="0"/>
    <x v="2"/>
    <s v="Married"/>
    <n v="75009"/>
    <n v="43017"/>
    <x v="4"/>
    <x v="6"/>
    <n v="4"/>
    <s v="Yes"/>
    <n v="3"/>
    <x v="11"/>
    <n v="57"/>
    <x v="1"/>
    <n v="4"/>
    <x v="0"/>
  </r>
  <r>
    <n v="11920"/>
    <n v="58"/>
    <x v="1"/>
    <x v="3"/>
    <x v="2"/>
    <x v="0"/>
    <s v="Married"/>
    <n v="11750"/>
    <n v="32421"/>
    <x v="5"/>
    <x v="13"/>
    <n v="3"/>
    <s v="Yes"/>
    <n v="3"/>
    <x v="8"/>
    <n v="11"/>
    <x v="1"/>
    <n v="3"/>
    <x v="0"/>
  </r>
  <r>
    <n v="11921"/>
    <n v="54"/>
    <x v="1"/>
    <x v="1"/>
    <x v="1"/>
    <x v="2"/>
    <s v="Single"/>
    <n v="60130"/>
    <n v="22789"/>
    <x v="18"/>
    <x v="0"/>
    <n v="3"/>
    <s v="No"/>
    <n v="4"/>
    <x v="18"/>
    <n v="20"/>
    <x v="0"/>
    <n v="4"/>
    <x v="0"/>
  </r>
  <r>
    <n v="11922"/>
    <n v="29"/>
    <x v="1"/>
    <x v="2"/>
    <x v="0"/>
    <x v="2"/>
    <s v="Single"/>
    <n v="84689"/>
    <n v="2634"/>
    <x v="12"/>
    <x v="5"/>
    <n v="5"/>
    <s v="Yes"/>
    <n v="1"/>
    <x v="37"/>
    <n v="35"/>
    <x v="1"/>
    <n v="4"/>
    <x v="1"/>
  </r>
  <r>
    <n v="11923"/>
    <n v="35"/>
    <x v="0"/>
    <x v="0"/>
    <x v="4"/>
    <x v="2"/>
    <s v="Single"/>
    <n v="29211"/>
    <n v="34006"/>
    <x v="14"/>
    <x v="7"/>
    <n v="3"/>
    <s v="No"/>
    <n v="4"/>
    <x v="14"/>
    <n v="8"/>
    <x v="2"/>
    <n v="2"/>
    <x v="0"/>
  </r>
  <r>
    <n v="11924"/>
    <n v="57"/>
    <x v="0"/>
    <x v="0"/>
    <x v="4"/>
    <x v="2"/>
    <s v="Single"/>
    <n v="40038"/>
    <n v="20554"/>
    <x v="16"/>
    <x v="4"/>
    <n v="2"/>
    <s v="No"/>
    <n v="3"/>
    <x v="12"/>
    <n v="16"/>
    <x v="3"/>
    <n v="2"/>
    <x v="0"/>
  </r>
  <r>
    <n v="11925"/>
    <n v="54"/>
    <x v="0"/>
    <x v="0"/>
    <x v="4"/>
    <x v="2"/>
    <s v="Single"/>
    <n v="25299"/>
    <n v="46997"/>
    <x v="21"/>
    <x v="7"/>
    <n v="4"/>
    <s v="No"/>
    <n v="1"/>
    <x v="24"/>
    <n v="37"/>
    <x v="1"/>
    <n v="2"/>
    <x v="0"/>
  </r>
  <r>
    <n v="11926"/>
    <n v="53"/>
    <x v="0"/>
    <x v="0"/>
    <x v="0"/>
    <x v="3"/>
    <s v="Single"/>
    <n v="62300"/>
    <n v="39320"/>
    <x v="14"/>
    <x v="5"/>
    <n v="3"/>
    <s v="No"/>
    <n v="3"/>
    <x v="27"/>
    <n v="58"/>
    <x v="0"/>
    <n v="2"/>
    <x v="0"/>
  </r>
  <r>
    <n v="11927"/>
    <n v="40"/>
    <x v="1"/>
    <x v="2"/>
    <x v="1"/>
    <x v="2"/>
    <s v="Divorced"/>
    <n v="54018"/>
    <n v="4306"/>
    <x v="18"/>
    <x v="9"/>
    <n v="3"/>
    <s v="No"/>
    <n v="3"/>
    <x v="9"/>
    <n v="18"/>
    <x v="0"/>
    <n v="2"/>
    <x v="0"/>
  </r>
  <r>
    <n v="11928"/>
    <n v="23"/>
    <x v="1"/>
    <x v="3"/>
    <x v="0"/>
    <x v="0"/>
    <s v="Married"/>
    <n v="78559"/>
    <n v="5221"/>
    <x v="17"/>
    <x v="7"/>
    <n v="2"/>
    <s v="Yes"/>
    <n v="2"/>
    <x v="25"/>
    <n v="26"/>
    <x v="3"/>
    <n v="1"/>
    <x v="0"/>
  </r>
  <r>
    <n v="11929"/>
    <n v="53"/>
    <x v="1"/>
    <x v="2"/>
    <x v="0"/>
    <x v="3"/>
    <s v="Married"/>
    <n v="89462"/>
    <n v="3440"/>
    <x v="12"/>
    <x v="12"/>
    <n v="3"/>
    <s v="No"/>
    <n v="2"/>
    <x v="26"/>
    <n v="53"/>
    <x v="3"/>
    <n v="2"/>
    <x v="0"/>
  </r>
  <r>
    <n v="11930"/>
    <n v="41"/>
    <x v="0"/>
    <x v="1"/>
    <x v="2"/>
    <x v="2"/>
    <s v="Divorced"/>
    <n v="18141"/>
    <n v="31090"/>
    <x v="24"/>
    <x v="12"/>
    <n v="5"/>
    <s v="No"/>
    <n v="3"/>
    <x v="4"/>
    <n v="30"/>
    <x v="0"/>
    <n v="4"/>
    <x v="1"/>
  </r>
  <r>
    <n v="11931"/>
    <n v="37"/>
    <x v="0"/>
    <x v="3"/>
    <x v="3"/>
    <x v="0"/>
    <s v="Single"/>
    <n v="107928"/>
    <n v="47428"/>
    <x v="15"/>
    <x v="13"/>
    <n v="3"/>
    <s v="No"/>
    <n v="3"/>
    <x v="15"/>
    <n v="30"/>
    <x v="3"/>
    <n v="2"/>
    <x v="0"/>
  </r>
  <r>
    <n v="11932"/>
    <n v="24"/>
    <x v="0"/>
    <x v="5"/>
    <x v="2"/>
    <x v="3"/>
    <s v="Married"/>
    <n v="17140"/>
    <n v="31339"/>
    <x v="17"/>
    <x v="10"/>
    <n v="4"/>
    <s v="Yes"/>
    <n v="3"/>
    <x v="3"/>
    <n v="25"/>
    <x v="1"/>
    <n v="4"/>
    <x v="1"/>
  </r>
  <r>
    <n v="11933"/>
    <n v="30"/>
    <x v="0"/>
    <x v="5"/>
    <x v="2"/>
    <x v="0"/>
    <s v="Divorced"/>
    <n v="17778"/>
    <n v="36418"/>
    <x v="12"/>
    <x v="7"/>
    <n v="3"/>
    <s v="No"/>
    <n v="3"/>
    <x v="15"/>
    <n v="11"/>
    <x v="0"/>
    <n v="1"/>
    <x v="1"/>
  </r>
  <r>
    <n v="11934"/>
    <n v="49"/>
    <x v="0"/>
    <x v="5"/>
    <x v="0"/>
    <x v="2"/>
    <s v="Divorced"/>
    <n v="63128"/>
    <n v="26783"/>
    <x v="20"/>
    <x v="13"/>
    <n v="3"/>
    <s v="No"/>
    <n v="4"/>
    <x v="13"/>
    <n v="58"/>
    <x v="0"/>
    <n v="2"/>
    <x v="0"/>
  </r>
  <r>
    <n v="11935"/>
    <n v="39"/>
    <x v="0"/>
    <x v="2"/>
    <x v="0"/>
    <x v="2"/>
    <s v="Divorced"/>
    <n v="61653"/>
    <n v="12338"/>
    <x v="18"/>
    <x v="3"/>
    <n v="3"/>
    <s v="No"/>
    <n v="2"/>
    <x v="9"/>
    <n v="58"/>
    <x v="0"/>
    <n v="4"/>
    <x v="0"/>
  </r>
  <r>
    <n v="11936"/>
    <n v="35"/>
    <x v="0"/>
    <x v="4"/>
    <x v="0"/>
    <x v="3"/>
    <s v="Married"/>
    <n v="87181"/>
    <n v="17859"/>
    <x v="0"/>
    <x v="0"/>
    <n v="4"/>
    <s v="No"/>
    <n v="3"/>
    <x v="5"/>
    <n v="18"/>
    <x v="0"/>
    <n v="3"/>
    <x v="0"/>
  </r>
  <r>
    <n v="11937"/>
    <n v="47"/>
    <x v="1"/>
    <x v="4"/>
    <x v="1"/>
    <x v="3"/>
    <s v="Married"/>
    <n v="46647"/>
    <n v="23571"/>
    <x v="8"/>
    <x v="7"/>
    <n v="3"/>
    <s v="No"/>
    <n v="2"/>
    <x v="16"/>
    <n v="47"/>
    <x v="3"/>
    <n v="3"/>
    <x v="0"/>
  </r>
  <r>
    <n v="11938"/>
    <n v="54"/>
    <x v="0"/>
    <x v="3"/>
    <x v="1"/>
    <x v="2"/>
    <s v="Married"/>
    <n v="59720"/>
    <n v="7688"/>
    <x v="10"/>
    <x v="1"/>
    <n v="1"/>
    <s v="Yes"/>
    <n v="2"/>
    <x v="1"/>
    <n v="11"/>
    <x v="2"/>
    <n v="3"/>
    <x v="1"/>
  </r>
  <r>
    <n v="11939"/>
    <n v="42"/>
    <x v="0"/>
    <x v="4"/>
    <x v="1"/>
    <x v="3"/>
    <s v="Married"/>
    <n v="52087"/>
    <n v="28330"/>
    <x v="15"/>
    <x v="4"/>
    <n v="1"/>
    <s v="Yes"/>
    <n v="3"/>
    <x v="5"/>
    <n v="56"/>
    <x v="3"/>
    <n v="1"/>
    <x v="0"/>
  </r>
  <r>
    <n v="11940"/>
    <n v="51"/>
    <x v="1"/>
    <x v="1"/>
    <x v="0"/>
    <x v="2"/>
    <s v="Single"/>
    <n v="61601"/>
    <n v="28237"/>
    <x v="0"/>
    <x v="12"/>
    <n v="2"/>
    <s v="No"/>
    <n v="3"/>
    <x v="35"/>
    <n v="54"/>
    <x v="0"/>
    <n v="3"/>
    <x v="0"/>
  </r>
  <r>
    <n v="11941"/>
    <n v="40"/>
    <x v="0"/>
    <x v="2"/>
    <x v="2"/>
    <x v="3"/>
    <s v="Single"/>
    <n v="14183"/>
    <n v="13357"/>
    <x v="12"/>
    <x v="2"/>
    <n v="3"/>
    <s v="No"/>
    <n v="4"/>
    <x v="2"/>
    <n v="23"/>
    <x v="0"/>
    <n v="3"/>
    <x v="0"/>
  </r>
  <r>
    <n v="11942"/>
    <n v="22"/>
    <x v="0"/>
    <x v="3"/>
    <x v="0"/>
    <x v="3"/>
    <s v="Married"/>
    <n v="69656"/>
    <n v="23577"/>
    <x v="7"/>
    <x v="5"/>
    <n v="3"/>
    <s v="No"/>
    <n v="3"/>
    <x v="14"/>
    <n v="59"/>
    <x v="1"/>
    <n v="4"/>
    <x v="0"/>
  </r>
  <r>
    <n v="11943"/>
    <n v="43"/>
    <x v="0"/>
    <x v="0"/>
    <x v="1"/>
    <x v="1"/>
    <s v="Married"/>
    <n v="51035"/>
    <n v="412"/>
    <x v="4"/>
    <x v="10"/>
    <n v="4"/>
    <s v="No"/>
    <n v="1"/>
    <x v="2"/>
    <n v="51"/>
    <x v="2"/>
    <n v="1"/>
    <x v="0"/>
  </r>
  <r>
    <n v="11944"/>
    <n v="21"/>
    <x v="0"/>
    <x v="2"/>
    <x v="0"/>
    <x v="0"/>
    <s v="Divorced"/>
    <n v="64527"/>
    <n v="13414"/>
    <x v="11"/>
    <x v="7"/>
    <n v="3"/>
    <s v="Yes"/>
    <n v="4"/>
    <x v="29"/>
    <n v="5"/>
    <x v="3"/>
    <n v="2"/>
    <x v="0"/>
  </r>
  <r>
    <n v="11945"/>
    <n v="28"/>
    <x v="0"/>
    <x v="2"/>
    <x v="1"/>
    <x v="2"/>
    <s v="Married"/>
    <n v="49136"/>
    <n v="11853"/>
    <x v="24"/>
    <x v="13"/>
    <n v="5"/>
    <s v="No"/>
    <n v="4"/>
    <x v="9"/>
    <n v="32"/>
    <x v="3"/>
    <n v="4"/>
    <x v="0"/>
  </r>
  <r>
    <n v="11946"/>
    <n v="41"/>
    <x v="0"/>
    <x v="2"/>
    <x v="4"/>
    <x v="2"/>
    <s v="Married"/>
    <n v="35512"/>
    <n v="10111"/>
    <x v="18"/>
    <x v="5"/>
    <n v="2"/>
    <s v="Yes"/>
    <n v="4"/>
    <x v="34"/>
    <n v="45"/>
    <x v="2"/>
    <n v="3"/>
    <x v="0"/>
  </r>
  <r>
    <n v="11947"/>
    <n v="32"/>
    <x v="1"/>
    <x v="0"/>
    <x v="4"/>
    <x v="0"/>
    <s v="Divorced"/>
    <n v="33845"/>
    <n v="24538"/>
    <x v="17"/>
    <x v="3"/>
    <n v="3"/>
    <s v="No"/>
    <n v="2"/>
    <x v="9"/>
    <n v="29"/>
    <x v="1"/>
    <n v="2"/>
    <x v="0"/>
  </r>
  <r>
    <n v="11948"/>
    <n v="51"/>
    <x v="0"/>
    <x v="2"/>
    <x v="4"/>
    <x v="0"/>
    <s v="Divorced"/>
    <n v="38713"/>
    <n v="48197"/>
    <x v="23"/>
    <x v="9"/>
    <n v="3"/>
    <s v="No"/>
    <n v="4"/>
    <x v="1"/>
    <n v="57"/>
    <x v="0"/>
    <n v="3"/>
    <x v="0"/>
  </r>
  <r>
    <n v="11949"/>
    <n v="33"/>
    <x v="1"/>
    <x v="2"/>
    <x v="3"/>
    <x v="2"/>
    <s v="Single"/>
    <n v="90200"/>
    <n v="22874"/>
    <x v="5"/>
    <x v="6"/>
    <n v="5"/>
    <s v="Yes"/>
    <n v="3"/>
    <x v="25"/>
    <n v="37"/>
    <x v="3"/>
    <n v="1"/>
    <x v="0"/>
  </r>
  <r>
    <n v="11950"/>
    <n v="59"/>
    <x v="1"/>
    <x v="4"/>
    <x v="2"/>
    <x v="2"/>
    <s v="Married"/>
    <n v="19800"/>
    <n v="303"/>
    <x v="13"/>
    <x v="14"/>
    <n v="2"/>
    <s v="No"/>
    <n v="2"/>
    <x v="35"/>
    <n v="12"/>
    <x v="0"/>
    <n v="4"/>
    <x v="0"/>
  </r>
  <r>
    <n v="11951"/>
    <n v="53"/>
    <x v="1"/>
    <x v="1"/>
    <x v="0"/>
    <x v="2"/>
    <s v="Married"/>
    <n v="79795"/>
    <n v="15485"/>
    <x v="10"/>
    <x v="13"/>
    <n v="3"/>
    <s v="Yes"/>
    <n v="1"/>
    <x v="26"/>
    <n v="32"/>
    <x v="1"/>
    <n v="2"/>
    <x v="0"/>
  </r>
  <r>
    <n v="11952"/>
    <n v="42"/>
    <x v="1"/>
    <x v="4"/>
    <x v="3"/>
    <x v="3"/>
    <s v="Single"/>
    <n v="112502"/>
    <n v="7398"/>
    <x v="1"/>
    <x v="7"/>
    <n v="4"/>
    <s v="No"/>
    <n v="2"/>
    <x v="24"/>
    <n v="12"/>
    <x v="3"/>
    <n v="4"/>
    <x v="0"/>
  </r>
  <r>
    <n v="11953"/>
    <n v="46"/>
    <x v="0"/>
    <x v="2"/>
    <x v="0"/>
    <x v="2"/>
    <s v="Married"/>
    <n v="60284"/>
    <n v="28048"/>
    <x v="16"/>
    <x v="7"/>
    <n v="3"/>
    <s v="Yes"/>
    <n v="1"/>
    <x v="7"/>
    <n v="30"/>
    <x v="1"/>
    <n v="3"/>
    <x v="1"/>
  </r>
  <r>
    <n v="11954"/>
    <n v="22"/>
    <x v="0"/>
    <x v="1"/>
    <x v="0"/>
    <x v="3"/>
    <s v="Married"/>
    <n v="65722"/>
    <n v="29830"/>
    <x v="19"/>
    <x v="4"/>
    <n v="2"/>
    <s v="No"/>
    <n v="1"/>
    <x v="18"/>
    <n v="35"/>
    <x v="3"/>
    <n v="1"/>
    <x v="1"/>
  </r>
  <r>
    <n v="11955"/>
    <n v="46"/>
    <x v="1"/>
    <x v="5"/>
    <x v="0"/>
    <x v="0"/>
    <s v="Single"/>
    <n v="81996"/>
    <n v="44275"/>
    <x v="21"/>
    <x v="10"/>
    <n v="3"/>
    <s v="Yes"/>
    <n v="4"/>
    <x v="32"/>
    <n v="47"/>
    <x v="1"/>
    <n v="4"/>
    <x v="0"/>
  </r>
  <r>
    <n v="11956"/>
    <n v="37"/>
    <x v="1"/>
    <x v="2"/>
    <x v="1"/>
    <x v="0"/>
    <s v="Married"/>
    <n v="48699"/>
    <n v="12968"/>
    <x v="10"/>
    <x v="6"/>
    <n v="4"/>
    <s v="Yes"/>
    <n v="1"/>
    <x v="32"/>
    <n v="41"/>
    <x v="0"/>
    <n v="4"/>
    <x v="1"/>
  </r>
  <r>
    <n v="11957"/>
    <n v="36"/>
    <x v="0"/>
    <x v="2"/>
    <x v="2"/>
    <x v="0"/>
    <s v="Divorced"/>
    <n v="12988"/>
    <n v="32515"/>
    <x v="22"/>
    <x v="3"/>
    <n v="4"/>
    <s v="No"/>
    <n v="3"/>
    <x v="37"/>
    <n v="41"/>
    <x v="3"/>
    <n v="2"/>
    <x v="0"/>
  </r>
  <r>
    <n v="11958"/>
    <n v="37"/>
    <x v="0"/>
    <x v="3"/>
    <x v="0"/>
    <x v="3"/>
    <s v="Married"/>
    <n v="67184"/>
    <n v="13686"/>
    <x v="7"/>
    <x v="11"/>
    <n v="5"/>
    <s v="Yes"/>
    <n v="4"/>
    <x v="7"/>
    <n v="52"/>
    <x v="1"/>
    <n v="4"/>
    <x v="0"/>
  </r>
  <r>
    <n v="11959"/>
    <n v="27"/>
    <x v="0"/>
    <x v="2"/>
    <x v="1"/>
    <x v="3"/>
    <s v="Single"/>
    <n v="64617"/>
    <n v="11354"/>
    <x v="9"/>
    <x v="11"/>
    <n v="3"/>
    <s v="No"/>
    <n v="4"/>
    <x v="27"/>
    <n v="55"/>
    <x v="3"/>
    <n v="2"/>
    <x v="0"/>
  </r>
  <r>
    <n v="11960"/>
    <n v="34"/>
    <x v="0"/>
    <x v="0"/>
    <x v="4"/>
    <x v="0"/>
    <s v="Single"/>
    <n v="34863"/>
    <n v="19453"/>
    <x v="1"/>
    <x v="10"/>
    <n v="2"/>
    <s v="Yes"/>
    <n v="1"/>
    <x v="13"/>
    <n v="52"/>
    <x v="1"/>
    <n v="3"/>
    <x v="0"/>
  </r>
  <r>
    <n v="11961"/>
    <n v="50"/>
    <x v="0"/>
    <x v="2"/>
    <x v="4"/>
    <x v="3"/>
    <s v="Married"/>
    <n v="39812"/>
    <n v="32323"/>
    <x v="14"/>
    <x v="0"/>
    <n v="3"/>
    <s v="Yes"/>
    <n v="3"/>
    <x v="1"/>
    <n v="36"/>
    <x v="1"/>
    <n v="3"/>
    <x v="0"/>
  </r>
  <r>
    <n v="11962"/>
    <n v="44"/>
    <x v="1"/>
    <x v="2"/>
    <x v="4"/>
    <x v="2"/>
    <s v="Single"/>
    <n v="41862"/>
    <n v="25981"/>
    <x v="13"/>
    <x v="14"/>
    <n v="4"/>
    <s v="No"/>
    <n v="3"/>
    <x v="23"/>
    <n v="41"/>
    <x v="3"/>
    <n v="4"/>
    <x v="0"/>
  </r>
  <r>
    <n v="11963"/>
    <n v="43"/>
    <x v="1"/>
    <x v="5"/>
    <x v="2"/>
    <x v="3"/>
    <s v="Divorced"/>
    <n v="16003"/>
    <n v="24704"/>
    <x v="6"/>
    <x v="12"/>
    <n v="4"/>
    <s v="Yes"/>
    <n v="4"/>
    <x v="35"/>
    <n v="40"/>
    <x v="2"/>
    <n v="3"/>
    <x v="0"/>
  </r>
  <r>
    <n v="11964"/>
    <n v="39"/>
    <x v="0"/>
    <x v="3"/>
    <x v="1"/>
    <x v="3"/>
    <s v="Single"/>
    <n v="50584"/>
    <n v="13499"/>
    <x v="11"/>
    <x v="10"/>
    <n v="4"/>
    <s v="No"/>
    <n v="3"/>
    <x v="26"/>
    <n v="37"/>
    <x v="0"/>
    <n v="3"/>
    <x v="0"/>
  </r>
  <r>
    <n v="11965"/>
    <n v="52"/>
    <x v="1"/>
    <x v="3"/>
    <x v="1"/>
    <x v="2"/>
    <s v="Married"/>
    <n v="67676"/>
    <n v="645"/>
    <x v="10"/>
    <x v="8"/>
    <n v="3"/>
    <s v="Yes"/>
    <n v="1"/>
    <x v="29"/>
    <n v="18"/>
    <x v="0"/>
    <n v="3"/>
    <x v="0"/>
  </r>
  <r>
    <n v="11966"/>
    <n v="33"/>
    <x v="1"/>
    <x v="4"/>
    <x v="1"/>
    <x v="3"/>
    <s v="Single"/>
    <n v="60848"/>
    <n v="21203"/>
    <x v="0"/>
    <x v="0"/>
    <n v="3"/>
    <s v="No"/>
    <n v="3"/>
    <x v="21"/>
    <n v="10"/>
    <x v="0"/>
    <n v="3"/>
    <x v="0"/>
  </r>
  <r>
    <n v="11967"/>
    <n v="20"/>
    <x v="1"/>
    <x v="3"/>
    <x v="3"/>
    <x v="2"/>
    <s v="Married"/>
    <n v="112070"/>
    <n v="11561"/>
    <x v="7"/>
    <x v="13"/>
    <n v="2"/>
    <s v="Yes"/>
    <n v="4"/>
    <x v="24"/>
    <n v="20"/>
    <x v="2"/>
    <n v="3"/>
    <x v="0"/>
  </r>
  <r>
    <n v="11968"/>
    <n v="50"/>
    <x v="0"/>
    <x v="2"/>
    <x v="0"/>
    <x v="2"/>
    <s v="Married"/>
    <n v="70219"/>
    <n v="10086"/>
    <x v="18"/>
    <x v="6"/>
    <n v="2"/>
    <s v="Yes"/>
    <n v="2"/>
    <x v="33"/>
    <n v="9"/>
    <x v="3"/>
    <n v="2"/>
    <x v="0"/>
  </r>
  <r>
    <n v="11969"/>
    <n v="41"/>
    <x v="0"/>
    <x v="0"/>
    <x v="4"/>
    <x v="3"/>
    <s v="Married"/>
    <n v="38167"/>
    <n v="31117"/>
    <x v="14"/>
    <x v="12"/>
    <n v="1"/>
    <s v="No"/>
    <n v="3"/>
    <x v="30"/>
    <n v="18"/>
    <x v="1"/>
    <n v="3"/>
    <x v="0"/>
  </r>
  <r>
    <n v="11970"/>
    <n v="34"/>
    <x v="1"/>
    <x v="3"/>
    <x v="2"/>
    <x v="2"/>
    <s v="Single"/>
    <n v="16084"/>
    <n v="1273"/>
    <x v="1"/>
    <x v="14"/>
    <n v="3"/>
    <s v="No"/>
    <n v="2"/>
    <x v="2"/>
    <n v="26"/>
    <x v="3"/>
    <n v="3"/>
    <x v="0"/>
  </r>
  <r>
    <n v="11971"/>
    <n v="41"/>
    <x v="1"/>
    <x v="4"/>
    <x v="1"/>
    <x v="2"/>
    <s v="Married"/>
    <n v="58869"/>
    <n v="11492"/>
    <x v="16"/>
    <x v="14"/>
    <n v="3"/>
    <s v="No"/>
    <n v="3"/>
    <x v="14"/>
    <n v="15"/>
    <x v="3"/>
    <n v="3"/>
    <x v="0"/>
  </r>
  <r>
    <n v="11972"/>
    <n v="46"/>
    <x v="1"/>
    <x v="3"/>
    <x v="4"/>
    <x v="1"/>
    <s v="Married"/>
    <n v="37094"/>
    <n v="28038"/>
    <x v="19"/>
    <x v="2"/>
    <n v="2"/>
    <s v="Yes"/>
    <n v="3"/>
    <x v="30"/>
    <n v="24"/>
    <x v="0"/>
    <n v="1"/>
    <x v="0"/>
  </r>
  <r>
    <n v="11973"/>
    <n v="57"/>
    <x v="1"/>
    <x v="0"/>
    <x v="4"/>
    <x v="2"/>
    <s v="Single"/>
    <n v="29630"/>
    <n v="31739"/>
    <x v="10"/>
    <x v="3"/>
    <n v="3"/>
    <s v="No"/>
    <n v="4"/>
    <x v="5"/>
    <n v="56"/>
    <x v="0"/>
    <n v="1"/>
    <x v="0"/>
  </r>
  <r>
    <n v="11974"/>
    <n v="34"/>
    <x v="1"/>
    <x v="5"/>
    <x v="1"/>
    <x v="3"/>
    <s v="Single"/>
    <n v="48362"/>
    <n v="20487"/>
    <x v="16"/>
    <x v="7"/>
    <n v="4"/>
    <s v="No"/>
    <n v="3"/>
    <x v="36"/>
    <n v="46"/>
    <x v="3"/>
    <n v="4"/>
    <x v="0"/>
  </r>
  <r>
    <n v="11975"/>
    <n v="42"/>
    <x v="1"/>
    <x v="3"/>
    <x v="1"/>
    <x v="2"/>
    <s v="Single"/>
    <n v="57356"/>
    <n v="24790"/>
    <x v="22"/>
    <x v="14"/>
    <n v="2"/>
    <s v="No"/>
    <n v="2"/>
    <x v="9"/>
    <n v="22"/>
    <x v="0"/>
    <n v="2"/>
    <x v="0"/>
  </r>
  <r>
    <n v="11976"/>
    <n v="33"/>
    <x v="0"/>
    <x v="3"/>
    <x v="1"/>
    <x v="2"/>
    <s v="Divorced"/>
    <n v="67013"/>
    <n v="21153"/>
    <x v="16"/>
    <x v="5"/>
    <n v="3"/>
    <s v="Yes"/>
    <n v="4"/>
    <x v="17"/>
    <n v="44"/>
    <x v="0"/>
    <n v="3"/>
    <x v="0"/>
  </r>
  <r>
    <n v="11977"/>
    <n v="37"/>
    <x v="0"/>
    <x v="0"/>
    <x v="1"/>
    <x v="2"/>
    <s v="Divorced"/>
    <n v="58255"/>
    <n v="8462"/>
    <x v="10"/>
    <x v="7"/>
    <n v="3"/>
    <s v="No"/>
    <n v="1"/>
    <x v="27"/>
    <n v="22"/>
    <x v="0"/>
    <n v="1"/>
    <x v="1"/>
  </r>
  <r>
    <n v="11978"/>
    <n v="28"/>
    <x v="1"/>
    <x v="2"/>
    <x v="1"/>
    <x v="2"/>
    <s v="Single"/>
    <n v="54413"/>
    <n v="894"/>
    <x v="2"/>
    <x v="6"/>
    <n v="3"/>
    <s v="Yes"/>
    <n v="4"/>
    <x v="17"/>
    <n v="32"/>
    <x v="3"/>
    <n v="3"/>
    <x v="0"/>
  </r>
  <r>
    <n v="11979"/>
    <n v="47"/>
    <x v="0"/>
    <x v="5"/>
    <x v="4"/>
    <x v="3"/>
    <s v="Married"/>
    <n v="40034"/>
    <n v="39766"/>
    <x v="21"/>
    <x v="1"/>
    <n v="3"/>
    <s v="No"/>
    <n v="1"/>
    <x v="28"/>
    <n v="42"/>
    <x v="0"/>
    <n v="3"/>
    <x v="0"/>
  </r>
  <r>
    <n v="11980"/>
    <n v="41"/>
    <x v="1"/>
    <x v="1"/>
    <x v="0"/>
    <x v="2"/>
    <s v="Single"/>
    <n v="64368"/>
    <n v="22763"/>
    <x v="12"/>
    <x v="12"/>
    <n v="4"/>
    <s v="Yes"/>
    <n v="4"/>
    <x v="27"/>
    <n v="9"/>
    <x v="1"/>
    <n v="1"/>
    <x v="0"/>
  </r>
  <r>
    <n v="11981"/>
    <n v="29"/>
    <x v="0"/>
    <x v="2"/>
    <x v="1"/>
    <x v="0"/>
    <s v="Single"/>
    <n v="58849"/>
    <n v="26293"/>
    <x v="7"/>
    <x v="9"/>
    <n v="4"/>
    <s v="No"/>
    <n v="2"/>
    <x v="29"/>
    <n v="59"/>
    <x v="3"/>
    <n v="3"/>
    <x v="0"/>
  </r>
  <r>
    <n v="11982"/>
    <n v="23"/>
    <x v="0"/>
    <x v="2"/>
    <x v="4"/>
    <x v="3"/>
    <s v="Single"/>
    <n v="33895"/>
    <n v="29740"/>
    <x v="11"/>
    <x v="4"/>
    <n v="3"/>
    <s v="No"/>
    <n v="3"/>
    <x v="31"/>
    <n v="15"/>
    <x v="3"/>
    <n v="3"/>
    <x v="0"/>
  </r>
  <r>
    <n v="11983"/>
    <n v="36"/>
    <x v="0"/>
    <x v="2"/>
    <x v="0"/>
    <x v="3"/>
    <s v="Married"/>
    <n v="64228"/>
    <n v="11388"/>
    <x v="19"/>
    <x v="9"/>
    <n v="3"/>
    <s v="Yes"/>
    <n v="1"/>
    <x v="9"/>
    <n v="31"/>
    <x v="2"/>
    <n v="2"/>
    <x v="1"/>
  </r>
  <r>
    <n v="11984"/>
    <n v="49"/>
    <x v="0"/>
    <x v="5"/>
    <x v="2"/>
    <x v="3"/>
    <s v="Single"/>
    <n v="17376"/>
    <n v="24667"/>
    <x v="20"/>
    <x v="1"/>
    <n v="3"/>
    <s v="No"/>
    <n v="4"/>
    <x v="19"/>
    <n v="27"/>
    <x v="0"/>
    <n v="4"/>
    <x v="0"/>
  </r>
  <r>
    <n v="11985"/>
    <n v="22"/>
    <x v="0"/>
    <x v="3"/>
    <x v="4"/>
    <x v="0"/>
    <s v="Married"/>
    <n v="41371"/>
    <n v="41921"/>
    <x v="7"/>
    <x v="12"/>
    <n v="3"/>
    <s v="Yes"/>
    <n v="3"/>
    <x v="22"/>
    <n v="58"/>
    <x v="1"/>
    <n v="3"/>
    <x v="0"/>
  </r>
  <r>
    <n v="11986"/>
    <n v="21"/>
    <x v="1"/>
    <x v="4"/>
    <x v="4"/>
    <x v="3"/>
    <s v="Married"/>
    <n v="36054"/>
    <n v="7851"/>
    <x v="12"/>
    <x v="9"/>
    <n v="3"/>
    <s v="No"/>
    <n v="4"/>
    <x v="17"/>
    <n v="58"/>
    <x v="2"/>
    <n v="3"/>
    <x v="1"/>
  </r>
  <r>
    <n v="11987"/>
    <n v="42"/>
    <x v="0"/>
    <x v="2"/>
    <x v="1"/>
    <x v="3"/>
    <s v="Divorced"/>
    <n v="46800"/>
    <n v="2377"/>
    <x v="11"/>
    <x v="10"/>
    <n v="4"/>
    <s v="No"/>
    <n v="3"/>
    <x v="0"/>
    <n v="30"/>
    <x v="0"/>
    <n v="3"/>
    <x v="0"/>
  </r>
  <r>
    <n v="11988"/>
    <n v="52"/>
    <x v="1"/>
    <x v="5"/>
    <x v="1"/>
    <x v="2"/>
    <s v="Married"/>
    <n v="50486"/>
    <n v="4824"/>
    <x v="7"/>
    <x v="1"/>
    <n v="5"/>
    <s v="Yes"/>
    <n v="1"/>
    <x v="10"/>
    <n v="25"/>
    <x v="0"/>
    <n v="2"/>
    <x v="0"/>
  </r>
  <r>
    <n v="11989"/>
    <n v="31"/>
    <x v="0"/>
    <x v="2"/>
    <x v="3"/>
    <x v="0"/>
    <s v="Single"/>
    <n v="91254"/>
    <n v="44861"/>
    <x v="13"/>
    <x v="2"/>
    <n v="3"/>
    <s v="No"/>
    <n v="1"/>
    <x v="38"/>
    <n v="6"/>
    <x v="3"/>
    <n v="3"/>
    <x v="0"/>
  </r>
  <r>
    <n v="11990"/>
    <n v="54"/>
    <x v="1"/>
    <x v="3"/>
    <x v="2"/>
    <x v="2"/>
    <s v="Single"/>
    <n v="13849"/>
    <n v="13483"/>
    <x v="9"/>
    <x v="5"/>
    <n v="1"/>
    <s v="No"/>
    <n v="4"/>
    <x v="26"/>
    <n v="59"/>
    <x v="2"/>
    <n v="3"/>
    <x v="1"/>
  </r>
  <r>
    <n v="11991"/>
    <n v="30"/>
    <x v="0"/>
    <x v="5"/>
    <x v="3"/>
    <x v="2"/>
    <s v="Married"/>
    <n v="115560"/>
    <n v="14646"/>
    <x v="21"/>
    <x v="6"/>
    <n v="5"/>
    <s v="No"/>
    <n v="4"/>
    <x v="35"/>
    <n v="44"/>
    <x v="1"/>
    <n v="2"/>
    <x v="1"/>
  </r>
  <r>
    <n v="11992"/>
    <n v="52"/>
    <x v="0"/>
    <x v="1"/>
    <x v="2"/>
    <x v="3"/>
    <s v="Single"/>
    <n v="19567"/>
    <n v="19880"/>
    <x v="8"/>
    <x v="4"/>
    <n v="4"/>
    <s v="No"/>
    <n v="2"/>
    <x v="8"/>
    <n v="46"/>
    <x v="0"/>
    <n v="2"/>
    <x v="0"/>
  </r>
  <r>
    <n v="11993"/>
    <n v="45"/>
    <x v="0"/>
    <x v="2"/>
    <x v="1"/>
    <x v="2"/>
    <s v="Married"/>
    <n v="53376"/>
    <n v="45237"/>
    <x v="22"/>
    <x v="1"/>
    <n v="4"/>
    <s v="Yes"/>
    <n v="2"/>
    <x v="20"/>
    <n v="34"/>
    <x v="0"/>
    <n v="4"/>
    <x v="0"/>
  </r>
  <r>
    <n v="11994"/>
    <n v="39"/>
    <x v="0"/>
    <x v="0"/>
    <x v="4"/>
    <x v="2"/>
    <s v="Single"/>
    <n v="37919"/>
    <n v="15297"/>
    <x v="14"/>
    <x v="12"/>
    <n v="3"/>
    <s v="No"/>
    <n v="3"/>
    <x v="18"/>
    <n v="28"/>
    <x v="3"/>
    <n v="4"/>
    <x v="0"/>
  </r>
  <r>
    <n v="11995"/>
    <n v="53"/>
    <x v="0"/>
    <x v="4"/>
    <x v="5"/>
    <x v="0"/>
    <s v="Married"/>
    <n v="164939"/>
    <n v="40910"/>
    <x v="16"/>
    <x v="0"/>
    <n v="4"/>
    <s v="No"/>
    <n v="3"/>
    <x v="38"/>
    <n v="55"/>
    <x v="0"/>
    <n v="3"/>
    <x v="0"/>
  </r>
  <r>
    <n v="11996"/>
    <n v="45"/>
    <x v="0"/>
    <x v="0"/>
    <x v="2"/>
    <x v="3"/>
    <s v="Married"/>
    <n v="19917"/>
    <n v="11001"/>
    <x v="4"/>
    <x v="5"/>
    <n v="3"/>
    <s v="No"/>
    <n v="1"/>
    <x v="15"/>
    <n v="48"/>
    <x v="2"/>
    <n v="3"/>
    <x v="1"/>
  </r>
  <r>
    <n v="11997"/>
    <n v="45"/>
    <x v="0"/>
    <x v="2"/>
    <x v="1"/>
    <x v="2"/>
    <s v="Single"/>
    <n v="50883"/>
    <n v="37326"/>
    <x v="19"/>
    <x v="14"/>
    <n v="3"/>
    <s v="No"/>
    <n v="2"/>
    <x v="36"/>
    <n v="37"/>
    <x v="1"/>
    <n v="4"/>
    <x v="0"/>
  </r>
  <r>
    <n v="11998"/>
    <n v="57"/>
    <x v="1"/>
    <x v="1"/>
    <x v="0"/>
    <x v="2"/>
    <s v="Married"/>
    <n v="78018"/>
    <n v="2603"/>
    <x v="21"/>
    <x v="8"/>
    <n v="5"/>
    <s v="No"/>
    <n v="4"/>
    <x v="26"/>
    <n v="35"/>
    <x v="1"/>
    <n v="1"/>
    <x v="0"/>
  </r>
  <r>
    <n v="11999"/>
    <n v="55"/>
    <x v="0"/>
    <x v="5"/>
    <x v="1"/>
    <x v="2"/>
    <s v="Married"/>
    <n v="55022"/>
    <n v="44135"/>
    <x v="22"/>
    <x v="11"/>
    <n v="3"/>
    <s v="Yes"/>
    <n v="1"/>
    <x v="16"/>
    <n v="11"/>
    <x v="3"/>
    <n v="3"/>
    <x v="0"/>
  </r>
  <r>
    <n v="12000"/>
    <n v="48"/>
    <x v="0"/>
    <x v="2"/>
    <x v="4"/>
    <x v="2"/>
    <s v="Married"/>
    <n v="32740"/>
    <n v="25189"/>
    <x v="22"/>
    <x v="8"/>
    <n v="5"/>
    <s v="No"/>
    <n v="2"/>
    <x v="15"/>
    <n v="6"/>
    <x v="2"/>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1EDAAA-2B53-46DA-8089-47A4F7DF01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B43" firstHeaderRow="1" firstDataRow="1" firstDataCol="1"/>
  <pivotFields count="19">
    <pivotField showAll="0"/>
    <pivotField showAll="0"/>
    <pivotField showAll="0">
      <items count="3">
        <item x="1"/>
        <item x="0"/>
        <item t="default"/>
      </items>
    </pivotField>
    <pivotField axis="axisRow" showAll="0">
      <items count="8">
        <item x="4"/>
        <item x="0"/>
        <item x="2"/>
        <item x="5"/>
        <item x="1"/>
        <item x="3"/>
        <item h="1" m="1" x="6"/>
        <item t="default"/>
      </items>
    </pivotField>
    <pivotField showAll="0">
      <items count="8">
        <item x="4"/>
        <item x="0"/>
        <item x="2"/>
        <item x="5"/>
        <item x="1"/>
        <item x="3"/>
        <item h="1" m="1" x="6"/>
        <item t="default"/>
      </items>
    </pivotField>
    <pivotField showAll="0"/>
    <pivotField showAll="0"/>
    <pivotField showAll="0"/>
    <pivotField showAll="0"/>
    <pivotField showAll="0">
      <items count="26">
        <item x="21"/>
        <item x="6"/>
        <item x="19"/>
        <item x="3"/>
        <item x="10"/>
        <item x="18"/>
        <item x="22"/>
        <item x="0"/>
        <item x="20"/>
        <item x="12"/>
        <item x="9"/>
        <item x="23"/>
        <item x="13"/>
        <item x="2"/>
        <item x="17"/>
        <item x="7"/>
        <item x="8"/>
        <item x="24"/>
        <item x="1"/>
        <item x="5"/>
        <item x="15"/>
        <item x="16"/>
        <item x="4"/>
        <item x="11"/>
        <item x="14"/>
        <item t="default"/>
      </items>
    </pivotField>
    <pivotField showAll="0">
      <items count="16">
        <item x="6"/>
        <item x="13"/>
        <item x="10"/>
        <item x="12"/>
        <item x="7"/>
        <item x="4"/>
        <item x="3"/>
        <item x="0"/>
        <item x="14"/>
        <item x="9"/>
        <item x="11"/>
        <item x="1"/>
        <item x="8"/>
        <item x="5"/>
        <item x="2"/>
        <item t="default"/>
      </items>
    </pivotField>
    <pivotField showAll="0"/>
    <pivotField dataField="1" showAll="0"/>
    <pivotField showAll="0"/>
    <pivotField showAll="0">
      <items count="40">
        <item x="33"/>
        <item x="26"/>
        <item x="23"/>
        <item x="2"/>
        <item x="11"/>
        <item x="35"/>
        <item x="1"/>
        <item x="10"/>
        <item x="15"/>
        <item x="32"/>
        <item x="18"/>
        <item x="25"/>
        <item x="19"/>
        <item x="5"/>
        <item x="31"/>
        <item x="36"/>
        <item x="21"/>
        <item x="3"/>
        <item x="20"/>
        <item x="30"/>
        <item x="12"/>
        <item x="34"/>
        <item x="29"/>
        <item x="27"/>
        <item x="28"/>
        <item x="9"/>
        <item x="7"/>
        <item x="14"/>
        <item x="6"/>
        <item x="0"/>
        <item x="17"/>
        <item x="37"/>
        <item x="13"/>
        <item x="22"/>
        <item x="4"/>
        <item x="24"/>
        <item x="16"/>
        <item x="38"/>
        <item x="8"/>
        <item t="default"/>
      </items>
    </pivotField>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Overtime" fld="12" subtotal="count" baseField="0" baseItem="0"/>
  </dataFields>
  <chartFormats count="28">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3"/>
          </reference>
        </references>
      </pivotArea>
    </chartFormat>
    <chartFormat chart="4" format="6">
      <pivotArea type="data" outline="0" fieldPosition="0">
        <references count="2">
          <reference field="4294967294" count="1" selected="0">
            <x v="0"/>
          </reference>
          <reference field="3" count="1" selected="0">
            <x v="4"/>
          </reference>
        </references>
      </pivotArea>
    </chartFormat>
    <chartFormat chart="4" format="7">
      <pivotArea type="data" outline="0" fieldPosition="0">
        <references count="2">
          <reference field="4294967294" count="1" selected="0">
            <x v="0"/>
          </reference>
          <reference field="3" count="1" selected="0">
            <x v="5"/>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 chart="5" format="12">
      <pivotArea type="data" outline="0" fieldPosition="0">
        <references count="2">
          <reference field="4294967294" count="1" selected="0">
            <x v="0"/>
          </reference>
          <reference field="3" count="1" selected="0">
            <x v="3"/>
          </reference>
        </references>
      </pivotArea>
    </chartFormat>
    <chartFormat chart="5" format="13">
      <pivotArea type="data" outline="0" fieldPosition="0">
        <references count="2">
          <reference field="4294967294" count="1" selected="0">
            <x v="0"/>
          </reference>
          <reference field="3" count="1" selected="0">
            <x v="4"/>
          </reference>
        </references>
      </pivotArea>
    </chartFormat>
    <chartFormat chart="5" format="14">
      <pivotArea type="data" outline="0" fieldPosition="0">
        <references count="2">
          <reference field="4294967294" count="1" selected="0">
            <x v="0"/>
          </reference>
          <reference field="3" count="1" selected="0">
            <x v="5"/>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 chart="6" format="12">
      <pivotArea type="data" outline="0" fieldPosition="0">
        <references count="2">
          <reference field="4294967294" count="1" selected="0">
            <x v="0"/>
          </reference>
          <reference field="3" count="1" selected="0">
            <x v="3"/>
          </reference>
        </references>
      </pivotArea>
    </chartFormat>
    <chartFormat chart="6" format="13">
      <pivotArea type="data" outline="0" fieldPosition="0">
        <references count="2">
          <reference field="4294967294" count="1" selected="0">
            <x v="0"/>
          </reference>
          <reference field="3" count="1" selected="0">
            <x v="4"/>
          </reference>
        </references>
      </pivotArea>
    </chartFormat>
    <chartFormat chart="6" format="14">
      <pivotArea type="data" outline="0" fieldPosition="0">
        <references count="2">
          <reference field="4294967294" count="1" selected="0">
            <x v="0"/>
          </reference>
          <reference field="3" count="1" selected="0">
            <x v="5"/>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F6EAFC-93CD-4766-8639-21B8EB96F3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7" firstHeaderRow="1" firstDataRow="1" firstDataCol="1"/>
  <pivotFields count="19">
    <pivotField showAll="0"/>
    <pivotField showAll="0"/>
    <pivotField showAll="0">
      <items count="3">
        <item x="1"/>
        <item x="0"/>
        <item t="default"/>
      </items>
    </pivotField>
    <pivotField axis="axisRow" showAll="0">
      <items count="8">
        <item x="4"/>
        <item x="0"/>
        <item x="2"/>
        <item x="5"/>
        <item x="1"/>
        <item x="3"/>
        <item h="1" m="1" x="6"/>
        <item t="default"/>
      </items>
    </pivotField>
    <pivotField showAll="0">
      <items count="8">
        <item x="4"/>
        <item x="0"/>
        <item x="2"/>
        <item x="5"/>
        <item x="1"/>
        <item x="3"/>
        <item h="1" m="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Average of YearsAtCompany" fld="9" subtotal="average"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FDA036-9C0E-4D91-8D81-1797B823E9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9">
    <pivotField showAll="0"/>
    <pivotField showAll="0"/>
    <pivotField showAll="0">
      <items count="3">
        <item x="1"/>
        <item x="0"/>
        <item t="default"/>
      </items>
    </pivotField>
    <pivotField showAll="0">
      <items count="8">
        <item x="4"/>
        <item x="0"/>
        <item x="2"/>
        <item x="5"/>
        <item x="1"/>
        <item x="3"/>
        <item h="1" m="1" x="6"/>
        <item t="default"/>
      </items>
    </pivotField>
    <pivotField axis="axisRow" showAll="0">
      <items count="8">
        <item x="4"/>
        <item x="0"/>
        <item x="2"/>
        <item x="5"/>
        <item x="1"/>
        <item x="3"/>
        <item h="1" m="1"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Average of MonthlyIncome" fld="7" subtotal="average"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E3C918-CFAF-4916-8899-0901278B129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36:B41" firstHeaderRow="1" firstDataRow="1" firstDataCol="1"/>
  <pivotFields count="19">
    <pivotField dataField="1" showAll="0"/>
    <pivotField showAll="0"/>
    <pivotField showAll="0">
      <items count="3">
        <item x="1"/>
        <item x="0"/>
        <item t="default"/>
      </items>
    </pivotField>
    <pivotField showAll="0">
      <items count="8">
        <item x="4"/>
        <item x="0"/>
        <item x="2"/>
        <item x="5"/>
        <item x="1"/>
        <item x="3"/>
        <item h="1" m="1" x="6"/>
        <item t="default"/>
      </items>
    </pivotField>
    <pivotField showAll="0">
      <items count="8">
        <item x="4"/>
        <item x="0"/>
        <item x="2"/>
        <item x="5"/>
        <item x="1"/>
        <item x="3"/>
        <item h="1" m="1" x="6"/>
        <item t="default"/>
      </items>
    </pivotField>
    <pivotField axis="axisRow" showAll="0">
      <items count="6">
        <item x="2"/>
        <item x="0"/>
        <item x="3"/>
        <item x="1"/>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s>
  <rowFields count="1">
    <field x="5"/>
  </rowFields>
  <rowItems count="5">
    <i>
      <x/>
    </i>
    <i>
      <x v="1"/>
    </i>
    <i>
      <x v="2"/>
    </i>
    <i>
      <x v="3"/>
    </i>
    <i t="grand">
      <x/>
    </i>
  </rowItems>
  <colItems count="1">
    <i/>
  </colItems>
  <dataFields count="1">
    <dataField name="Count of EmployeeID" fld="0" subtotal="count" baseField="5" baseItem="0"/>
  </dataFields>
  <chartFormats count="4">
    <chartFormat chart="23" format="1"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F3B635-938F-4B16-9B1C-7D24E7F5EAB4}" nam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20:B27" firstHeaderRow="1" firstDataRow="1" firstDataCol="1"/>
  <pivotFields count="19">
    <pivotField dataField="1" showAll="0"/>
    <pivotField showAll="0"/>
    <pivotField showAll="0">
      <items count="3">
        <item x="1"/>
        <item x="0"/>
        <item t="default"/>
      </items>
    </pivotField>
    <pivotField showAll="0">
      <items count="8">
        <item x="4"/>
        <item x="0"/>
        <item x="2"/>
        <item x="5"/>
        <item x="1"/>
        <item x="3"/>
        <item h="1" m="1" x="6"/>
        <item t="default"/>
      </items>
    </pivotField>
    <pivotField axis="axisRow" showAll="0">
      <items count="8">
        <item x="4"/>
        <item x="0"/>
        <item x="2"/>
        <item x="5"/>
        <item x="1"/>
        <item x="3"/>
        <item h="1"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s>
  <rowFields count="1">
    <field x="4"/>
  </rowFields>
  <rowItems count="7">
    <i>
      <x/>
    </i>
    <i>
      <x v="1"/>
    </i>
    <i>
      <x v="2"/>
    </i>
    <i>
      <x v="3"/>
    </i>
    <i>
      <x v="4"/>
    </i>
    <i>
      <x v="5"/>
    </i>
    <i t="grand">
      <x/>
    </i>
  </rowItems>
  <colItems count="1">
    <i/>
  </colItems>
  <dataFields count="1">
    <dataField name="Count of EmployeeID" fld="0" subtotal="count" baseField="4" baseItem="0"/>
  </dataFields>
  <chartFormats count="28">
    <chartFormat chart="8" format="7"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0"/>
          </reference>
        </references>
      </pivotArea>
    </chartFormat>
    <chartFormat chart="26" format="23" series="1">
      <pivotArea type="data" outline="0" fieldPosition="0">
        <references count="1">
          <reference field="4294967294" count="1" selected="0">
            <x v="0"/>
          </reference>
        </references>
      </pivotArea>
    </chartFormat>
    <chartFormat chart="26" format="24">
      <pivotArea type="data" outline="0" fieldPosition="0">
        <references count="2">
          <reference field="4294967294" count="1" selected="0">
            <x v="0"/>
          </reference>
          <reference field="4" count="1" selected="0">
            <x v="0"/>
          </reference>
        </references>
      </pivotArea>
    </chartFormat>
    <chartFormat chart="26" format="25">
      <pivotArea type="data" outline="0" fieldPosition="0">
        <references count="2">
          <reference field="4294967294" count="1" selected="0">
            <x v="0"/>
          </reference>
          <reference field="4" count="1" selected="0">
            <x v="1"/>
          </reference>
        </references>
      </pivotArea>
    </chartFormat>
    <chartFormat chart="26" format="26">
      <pivotArea type="data" outline="0" fieldPosition="0">
        <references count="2">
          <reference field="4294967294" count="1" selected="0">
            <x v="0"/>
          </reference>
          <reference field="4" count="1" selected="0">
            <x v="2"/>
          </reference>
        </references>
      </pivotArea>
    </chartFormat>
    <chartFormat chart="26" format="27">
      <pivotArea type="data" outline="0" fieldPosition="0">
        <references count="2">
          <reference field="4294967294" count="1" selected="0">
            <x v="0"/>
          </reference>
          <reference field="4" count="1" selected="0">
            <x v="3"/>
          </reference>
        </references>
      </pivotArea>
    </chartFormat>
    <chartFormat chart="26" format="28">
      <pivotArea type="data" outline="0" fieldPosition="0">
        <references count="2">
          <reference field="4294967294" count="1" selected="0">
            <x v="0"/>
          </reference>
          <reference field="4" count="1" selected="0">
            <x v="4"/>
          </reference>
        </references>
      </pivotArea>
    </chartFormat>
    <chartFormat chart="26" format="29">
      <pivotArea type="data" outline="0" fieldPosition="0">
        <references count="2">
          <reference field="4294967294" count="1" selected="0">
            <x v="0"/>
          </reference>
          <reference field="4" count="1" selected="0">
            <x v="5"/>
          </reference>
        </references>
      </pivotArea>
    </chartFormat>
    <chartFormat chart="27" format="23" series="1">
      <pivotArea type="data" outline="0" fieldPosition="0">
        <references count="1">
          <reference field="4294967294" count="1" selected="0">
            <x v="0"/>
          </reference>
        </references>
      </pivotArea>
    </chartFormat>
    <chartFormat chart="27" format="24">
      <pivotArea type="data" outline="0" fieldPosition="0">
        <references count="2">
          <reference field="4294967294" count="1" selected="0">
            <x v="0"/>
          </reference>
          <reference field="4" count="1" selected="0">
            <x v="0"/>
          </reference>
        </references>
      </pivotArea>
    </chartFormat>
    <chartFormat chart="27" format="25">
      <pivotArea type="data" outline="0" fieldPosition="0">
        <references count="2">
          <reference field="4294967294" count="1" selected="0">
            <x v="0"/>
          </reference>
          <reference field="4" count="1" selected="0">
            <x v="1"/>
          </reference>
        </references>
      </pivotArea>
    </chartFormat>
    <chartFormat chart="27" format="26">
      <pivotArea type="data" outline="0" fieldPosition="0">
        <references count="2">
          <reference field="4294967294" count="1" selected="0">
            <x v="0"/>
          </reference>
          <reference field="4" count="1" selected="0">
            <x v="2"/>
          </reference>
        </references>
      </pivotArea>
    </chartFormat>
    <chartFormat chart="27" format="27">
      <pivotArea type="data" outline="0" fieldPosition="0">
        <references count="2">
          <reference field="4294967294" count="1" selected="0">
            <x v="0"/>
          </reference>
          <reference field="4" count="1" selected="0">
            <x v="3"/>
          </reference>
        </references>
      </pivotArea>
    </chartFormat>
    <chartFormat chart="27" format="28">
      <pivotArea type="data" outline="0" fieldPosition="0">
        <references count="2">
          <reference field="4294967294" count="1" selected="0">
            <x v="0"/>
          </reference>
          <reference field="4" count="1" selected="0">
            <x v="4"/>
          </reference>
        </references>
      </pivotArea>
    </chartFormat>
    <chartFormat chart="27" format="29">
      <pivotArea type="data" outline="0" fieldPosition="0">
        <references count="2">
          <reference field="4294967294" count="1" selected="0">
            <x v="0"/>
          </reference>
          <reference field="4" count="1" selected="0">
            <x v="5"/>
          </reference>
        </references>
      </pivotArea>
    </chartFormat>
    <chartFormat chart="18" format="16">
      <pivotArea type="data" outline="0" fieldPosition="0">
        <references count="2">
          <reference field="4294967294" count="1" selected="0">
            <x v="0"/>
          </reference>
          <reference field="4" count="1" selected="0">
            <x v="0"/>
          </reference>
        </references>
      </pivotArea>
    </chartFormat>
    <chartFormat chart="18" format="17">
      <pivotArea type="data" outline="0" fieldPosition="0">
        <references count="2">
          <reference field="4294967294" count="1" selected="0">
            <x v="0"/>
          </reference>
          <reference field="4" count="1" selected="0">
            <x v="1"/>
          </reference>
        </references>
      </pivotArea>
    </chartFormat>
    <chartFormat chart="18" format="18">
      <pivotArea type="data" outline="0" fieldPosition="0">
        <references count="2">
          <reference field="4294967294" count="1" selected="0">
            <x v="0"/>
          </reference>
          <reference field="4" count="1" selected="0">
            <x v="2"/>
          </reference>
        </references>
      </pivotArea>
    </chartFormat>
    <chartFormat chart="18" format="19">
      <pivotArea type="data" outline="0" fieldPosition="0">
        <references count="2">
          <reference field="4294967294" count="1" selected="0">
            <x v="0"/>
          </reference>
          <reference field="4" count="1" selected="0">
            <x v="3"/>
          </reference>
        </references>
      </pivotArea>
    </chartFormat>
    <chartFormat chart="18" format="20">
      <pivotArea type="data" outline="0" fieldPosition="0">
        <references count="2">
          <reference field="4294967294" count="1" selected="0">
            <x v="0"/>
          </reference>
          <reference field="4" count="1" selected="0">
            <x v="4"/>
          </reference>
        </references>
      </pivotArea>
    </chartFormat>
    <chartFormat chart="18" format="21">
      <pivotArea type="data" outline="0" fieldPosition="0">
        <references count="2">
          <reference field="4294967294" count="1" selected="0">
            <x v="0"/>
          </reference>
          <reference field="4" count="1" selected="0">
            <x v="5"/>
          </reference>
        </references>
      </pivotArea>
    </chartFormat>
    <chartFormat chart="8" format="8">
      <pivotArea type="data" outline="0" fieldPosition="0">
        <references count="2">
          <reference field="4294967294" count="1" selected="0">
            <x v="0"/>
          </reference>
          <reference field="4" count="1" selected="0">
            <x v="0"/>
          </reference>
        </references>
      </pivotArea>
    </chartFormat>
    <chartFormat chart="8" format="9">
      <pivotArea type="data" outline="0" fieldPosition="0">
        <references count="2">
          <reference field="4294967294" count="1" selected="0">
            <x v="0"/>
          </reference>
          <reference field="4" count="1" selected="0">
            <x v="1"/>
          </reference>
        </references>
      </pivotArea>
    </chartFormat>
    <chartFormat chart="8" format="10">
      <pivotArea type="data" outline="0" fieldPosition="0">
        <references count="2">
          <reference field="4294967294" count="1" selected="0">
            <x v="0"/>
          </reference>
          <reference field="4" count="1" selected="0">
            <x v="2"/>
          </reference>
        </references>
      </pivotArea>
    </chartFormat>
    <chartFormat chart="8" format="11">
      <pivotArea type="data" outline="0" fieldPosition="0">
        <references count="2">
          <reference field="4294967294" count="1" selected="0">
            <x v="0"/>
          </reference>
          <reference field="4" count="1" selected="0">
            <x v="3"/>
          </reference>
        </references>
      </pivotArea>
    </chartFormat>
    <chartFormat chart="8" format="12">
      <pivotArea type="data" outline="0" fieldPosition="0">
        <references count="2">
          <reference field="4294967294" count="1" selected="0">
            <x v="0"/>
          </reference>
          <reference field="4" count="1" selected="0">
            <x v="4"/>
          </reference>
        </references>
      </pivotArea>
    </chartFormat>
    <chartFormat chart="8" format="13">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C4E9E4-504E-41B8-A8DA-6CDFF329CF41}" name="Pivott 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2:B5" firstHeaderRow="1" firstDataRow="1" firstDataCol="1"/>
  <pivotFields count="19">
    <pivotField dataField="1" showAll="0"/>
    <pivotField showAll="0"/>
    <pivotField axis="axisRow" showAll="0">
      <items count="3">
        <item x="1"/>
        <item x="0"/>
        <item t="default"/>
      </items>
    </pivotField>
    <pivotField showAll="0">
      <items count="8">
        <item x="4"/>
        <item x="0"/>
        <item x="2"/>
        <item x="5"/>
        <item x="1"/>
        <item x="3"/>
        <item h="1" m="1" x="6"/>
        <item t="default"/>
      </items>
    </pivotField>
    <pivotField showAll="0">
      <items count="8">
        <item x="4"/>
        <item x="0"/>
        <item x="2"/>
        <item x="5"/>
        <item x="1"/>
        <item x="3"/>
        <item h="1"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s>
  <rowFields count="1">
    <field x="2"/>
  </rowFields>
  <rowItems count="3">
    <i>
      <x/>
    </i>
    <i>
      <x v="1"/>
    </i>
    <i t="grand">
      <x/>
    </i>
  </rowItems>
  <colItems count="1">
    <i/>
  </colItems>
  <dataFields count="1">
    <dataField name="Count of EmployeeID" fld="0" subtotal="count" baseField="2" baseItem="0"/>
  </dataFields>
  <chartFormats count="18">
    <chartFormat chart="8" format="2" series="1">
      <pivotArea type="data" outline="0" fieldPosition="0">
        <references count="1">
          <reference field="4294967294" count="1" selected="0">
            <x v="0"/>
          </reference>
        </references>
      </pivotArea>
    </chartFormat>
    <chartFormat chart="16" format="18" series="1">
      <pivotArea type="data" outline="0" fieldPosition="0">
        <references count="1">
          <reference field="4294967294" count="1" selected="0">
            <x v="0"/>
          </reference>
        </references>
      </pivotArea>
    </chartFormat>
    <chartFormat chart="25" format="22" series="1">
      <pivotArea type="data" outline="0" fieldPosition="0">
        <references count="1">
          <reference field="4294967294" count="1" selected="0">
            <x v="0"/>
          </reference>
        </references>
      </pivotArea>
    </chartFormat>
    <chartFormat chart="25" format="23">
      <pivotArea type="data" outline="0" fieldPosition="0">
        <references count="2">
          <reference field="4294967294" count="1" selected="0">
            <x v="0"/>
          </reference>
          <reference field="2" count="1" selected="0">
            <x v="0"/>
          </reference>
        </references>
      </pivotArea>
    </chartFormat>
    <chartFormat chart="25" format="24">
      <pivotArea type="data" outline="0" fieldPosition="0">
        <references count="2">
          <reference field="4294967294" count="1" selected="0">
            <x v="0"/>
          </reference>
          <reference field="2" count="1" selected="0">
            <x v="1"/>
          </reference>
        </references>
      </pivotArea>
    </chartFormat>
    <chartFormat chart="26" format="22" series="1">
      <pivotArea type="data" outline="0" fieldPosition="0">
        <references count="1">
          <reference field="4294967294" count="1" selected="0">
            <x v="0"/>
          </reference>
        </references>
      </pivotArea>
    </chartFormat>
    <chartFormat chart="26" format="23">
      <pivotArea type="data" outline="0" fieldPosition="0">
        <references count="2">
          <reference field="4294967294" count="1" selected="0">
            <x v="0"/>
          </reference>
          <reference field="2" count="1" selected="0">
            <x v="0"/>
          </reference>
        </references>
      </pivotArea>
    </chartFormat>
    <chartFormat chart="26" format="24">
      <pivotArea type="data" outline="0" fieldPosition="0">
        <references count="2">
          <reference field="4294967294" count="1" selected="0">
            <x v="0"/>
          </reference>
          <reference field="2" count="1" selected="0">
            <x v="1"/>
          </reference>
        </references>
      </pivotArea>
    </chartFormat>
    <chartFormat chart="30" format="22" series="1">
      <pivotArea type="data" outline="0" fieldPosition="0">
        <references count="1">
          <reference field="4294967294" count="1" selected="0">
            <x v="0"/>
          </reference>
        </references>
      </pivotArea>
    </chartFormat>
    <chartFormat chart="30" format="23">
      <pivotArea type="data" outline="0" fieldPosition="0">
        <references count="2">
          <reference field="4294967294" count="1" selected="0">
            <x v="0"/>
          </reference>
          <reference field="2" count="1" selected="0">
            <x v="0"/>
          </reference>
        </references>
      </pivotArea>
    </chartFormat>
    <chartFormat chart="30" format="24">
      <pivotArea type="data" outline="0" fieldPosition="0">
        <references count="2">
          <reference field="4294967294" count="1" selected="0">
            <x v="0"/>
          </reference>
          <reference field="2" count="1" selected="0">
            <x v="1"/>
          </reference>
        </references>
      </pivotArea>
    </chartFormat>
    <chartFormat chart="16" format="19">
      <pivotArea type="data" outline="0" fieldPosition="0">
        <references count="2">
          <reference field="4294967294" count="1" selected="0">
            <x v="0"/>
          </reference>
          <reference field="2" count="1" selected="0">
            <x v="0"/>
          </reference>
        </references>
      </pivotArea>
    </chartFormat>
    <chartFormat chart="16" format="20">
      <pivotArea type="data" outline="0" fieldPosition="0">
        <references count="2">
          <reference field="4294967294" count="1" selected="0">
            <x v="0"/>
          </reference>
          <reference field="2" count="1" selected="0">
            <x v="1"/>
          </reference>
        </references>
      </pivotArea>
    </chartFormat>
    <chartFormat chart="32" format="24" series="1">
      <pivotArea type="data" outline="0" fieldPosition="0">
        <references count="1">
          <reference field="4294967294" count="1" selected="0">
            <x v="0"/>
          </reference>
        </references>
      </pivotArea>
    </chartFormat>
    <chartFormat chart="32" format="25">
      <pivotArea type="data" outline="0" fieldPosition="0">
        <references count="2">
          <reference field="4294967294" count="1" selected="0">
            <x v="0"/>
          </reference>
          <reference field="2" count="1" selected="0">
            <x v="0"/>
          </reference>
        </references>
      </pivotArea>
    </chartFormat>
    <chartFormat chart="32" format="26">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0"/>
          </reference>
        </references>
      </pivotArea>
    </chartFormat>
    <chartFormat chart="8"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C7E253-0C6A-4EE8-BBD2-16FC64E046A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51:B58" firstHeaderRow="1" firstDataRow="1" firstDataCol="1"/>
  <pivotFields count="19">
    <pivotField dataField="1" showAll="0"/>
    <pivotField showAll="0"/>
    <pivotField showAll="0">
      <items count="3">
        <item x="1"/>
        <item x="0"/>
        <item t="default"/>
      </items>
    </pivotField>
    <pivotField axis="axisRow" showAll="0">
      <items count="8">
        <item x="4"/>
        <item x="0"/>
        <item x="2"/>
        <item x="5"/>
        <item x="1"/>
        <item x="3"/>
        <item h="1" m="1" x="6"/>
        <item t="default"/>
      </items>
    </pivotField>
    <pivotField showAll="0">
      <items count="8">
        <item x="4"/>
        <item x="0"/>
        <item x="2"/>
        <item x="5"/>
        <item x="1"/>
        <item x="3"/>
        <item h="1"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s>
  <rowFields count="1">
    <field x="3"/>
  </rowFields>
  <rowItems count="7">
    <i>
      <x/>
    </i>
    <i>
      <x v="1"/>
    </i>
    <i>
      <x v="2"/>
    </i>
    <i>
      <x v="3"/>
    </i>
    <i>
      <x v="4"/>
    </i>
    <i>
      <x v="5"/>
    </i>
    <i t="grand">
      <x/>
    </i>
  </rowItems>
  <colItems count="1">
    <i/>
  </colItems>
  <dataFields count="1">
    <dataField name="Count of EmployeeID" fld="0" subtotal="count" baseField="3" baseItem="0"/>
  </dataFields>
  <chartFormats count="4">
    <chartFormat chart="4"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60F4D1-F901-468C-A704-C1978CB505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B31" firstHeaderRow="1" firstDataRow="1" firstDataCol="1" rowPageCount="1" colPageCount="1"/>
  <pivotFields count="19">
    <pivotField dataField="1" showAll="0"/>
    <pivotField showAll="0"/>
    <pivotField showAll="0">
      <items count="3">
        <item x="1"/>
        <item x="0"/>
        <item t="default"/>
      </items>
    </pivotField>
    <pivotField axis="axisRow" showAll="0">
      <items count="8">
        <item x="4"/>
        <item x="0"/>
        <item x="2"/>
        <item x="5"/>
        <item x="1"/>
        <item x="3"/>
        <item h="1" m="1" x="6"/>
        <item t="default"/>
      </items>
    </pivotField>
    <pivotField showAll="0">
      <items count="8">
        <item x="4"/>
        <item x="0"/>
        <item x="2"/>
        <item x="5"/>
        <item x="1"/>
        <item x="3"/>
        <item h="1"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s>
  <rowFields count="1">
    <field x="3"/>
  </rowFields>
  <rowItems count="7">
    <i>
      <x/>
    </i>
    <i>
      <x v="1"/>
    </i>
    <i>
      <x v="2"/>
    </i>
    <i>
      <x v="3"/>
    </i>
    <i>
      <x v="4"/>
    </i>
    <i>
      <x v="5"/>
    </i>
    <i t="grand">
      <x/>
    </i>
  </rowItems>
  <colItems count="1">
    <i/>
  </colItems>
  <pageFields count="1">
    <pageField fld="18" item="1" hier="-1"/>
  </pageFields>
  <dataFields count="1">
    <dataField name="Count of EmployeeID" fld="0"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D520E6-DD62-48FE-AB5B-574BF4ADFB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rowPageCount="1" colPageCount="1"/>
  <pivotFields count="19">
    <pivotField dataField="1" showAll="0"/>
    <pivotField showAll="0"/>
    <pivotField showAll="0">
      <items count="3">
        <item x="1"/>
        <item x="0"/>
        <item t="default"/>
      </items>
    </pivotField>
    <pivotField showAll="0">
      <items count="8">
        <item x="4"/>
        <item x="0"/>
        <item x="2"/>
        <item x="5"/>
        <item x="1"/>
        <item x="3"/>
        <item h="1" m="1" x="6"/>
        <item t="default"/>
      </items>
    </pivotField>
    <pivotField axis="axisRow" showAll="0">
      <items count="8">
        <item x="4"/>
        <item x="0"/>
        <item x="2"/>
        <item x="5"/>
        <item x="1"/>
        <item x="3"/>
        <item h="1"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s>
  <rowFields count="1">
    <field x="4"/>
  </rowFields>
  <rowItems count="7">
    <i>
      <x/>
    </i>
    <i>
      <x v="1"/>
    </i>
    <i>
      <x v="2"/>
    </i>
    <i>
      <x v="3"/>
    </i>
    <i>
      <x v="4"/>
    </i>
    <i>
      <x v="5"/>
    </i>
    <i t="grand">
      <x/>
    </i>
  </rowItems>
  <colItems count="1">
    <i/>
  </colItems>
  <pageFields count="1">
    <pageField fld="18" item="1" hier="-1"/>
  </pageFields>
  <dataFields count="1">
    <dataField name="Count of EmployeeID" fld="0"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C8CD6D-55A1-4964-95B1-035FEADA17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8:B43" firstHeaderRow="1" firstDataRow="1" firstDataCol="1" rowPageCount="1" colPageCount="1"/>
  <pivotFields count="19">
    <pivotField dataField="1" showAll="0"/>
    <pivotField showAll="0"/>
    <pivotField showAll="0">
      <items count="3">
        <item x="1"/>
        <item x="0"/>
        <item t="default"/>
      </items>
    </pivotField>
    <pivotField showAll="0">
      <items count="8">
        <item x="4"/>
        <item x="0"/>
        <item x="2"/>
        <item x="5"/>
        <item x="1"/>
        <item x="3"/>
        <item h="1" m="1" x="6"/>
        <item t="default"/>
      </items>
    </pivotField>
    <pivotField showAll="0">
      <items count="8">
        <item x="4"/>
        <item x="0"/>
        <item x="2"/>
        <item x="5"/>
        <item x="1"/>
        <item x="3"/>
        <item h="1" m="1" x="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axis="axisPage" showAll="0">
      <items count="3">
        <item x="0"/>
        <item x="1"/>
        <item t="default"/>
      </items>
    </pivotField>
  </pivotFields>
  <rowFields count="1">
    <field x="16"/>
  </rowFields>
  <rowItems count="5">
    <i>
      <x/>
    </i>
    <i>
      <x v="1"/>
    </i>
    <i>
      <x v="2"/>
    </i>
    <i>
      <x v="3"/>
    </i>
    <i t="grand">
      <x/>
    </i>
  </rowItems>
  <colItems count="1">
    <i/>
  </colItems>
  <pageFields count="1">
    <pageField fld="18" item="1" hier="-1"/>
  </pageField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89DF47-123F-4764-8FC0-4E292369F1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C76" firstHeaderRow="1" firstDataRow="1" firstDataCol="0"/>
  <pivotFields count="19">
    <pivotField showAll="0"/>
    <pivotField showAll="0"/>
    <pivotField showAll="0">
      <items count="3">
        <item x="1"/>
        <item x="0"/>
        <item t="default"/>
      </items>
    </pivotField>
    <pivotField showAll="0">
      <items count="8">
        <item x="4"/>
        <item x="0"/>
        <item x="2"/>
        <item x="5"/>
        <item x="1"/>
        <item x="3"/>
        <item h="1" m="1" x="6"/>
        <item t="default"/>
      </items>
    </pivotField>
    <pivotField showAll="0">
      <items count="8">
        <item x="4"/>
        <item x="0"/>
        <item x="2"/>
        <item x="5"/>
        <item x="1"/>
        <item x="3"/>
        <item h="1"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40FB90-CB4D-4C13-B9D9-2AB69DD332D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6:C53" firstHeaderRow="1" firstDataRow="1" firstDataCol="1"/>
  <pivotFields count="19">
    <pivotField showAll="0"/>
    <pivotField showAll="0"/>
    <pivotField showAll="0">
      <items count="3">
        <item x="1"/>
        <item x="0"/>
        <item t="default"/>
      </items>
    </pivotField>
    <pivotField showAll="0">
      <items count="8">
        <item x="4"/>
        <item x="0"/>
        <item x="2"/>
        <item x="5"/>
        <item x="1"/>
        <item x="3"/>
        <item h="1" m="1" x="6"/>
        <item t="default"/>
      </items>
    </pivotField>
    <pivotField axis="axisRow" showAll="0">
      <items count="8">
        <item x="4"/>
        <item x="0"/>
        <item x="2"/>
        <item x="5"/>
        <item x="1"/>
        <item x="3"/>
        <item h="1" m="1" x="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7">
    <i>
      <x/>
    </i>
    <i>
      <x v="1"/>
    </i>
    <i>
      <x v="2"/>
    </i>
    <i>
      <x v="3"/>
    </i>
    <i>
      <x v="4"/>
    </i>
    <i>
      <x v="5"/>
    </i>
    <i t="grand">
      <x/>
    </i>
  </rowItems>
  <colItems count="1">
    <i/>
  </colItems>
  <dataFields count="1">
    <dataField name="Average of TrainingHours" fld="15" subtotal="average" baseField="4"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DA9545-2EFB-4DB8-A181-9DBAE4F81A6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6:C33" firstHeaderRow="1" firstDataRow="1" firstDataCol="1"/>
  <pivotFields count="19">
    <pivotField showAll="0"/>
    <pivotField showAll="0"/>
    <pivotField showAll="0">
      <items count="3">
        <item x="1"/>
        <item x="0"/>
        <item t="default"/>
      </items>
    </pivotField>
    <pivotField showAll="0">
      <items count="8">
        <item x="4"/>
        <item x="0"/>
        <item x="2"/>
        <item x="5"/>
        <item x="1"/>
        <item x="3"/>
        <item h="1" m="1" x="6"/>
        <item t="default"/>
      </items>
    </pivotField>
    <pivotField axis="axisRow" showAll="0">
      <items count="8">
        <item x="4"/>
        <item x="0"/>
        <item x="2"/>
        <item x="5"/>
        <item x="1"/>
        <item x="3"/>
        <item h="1" m="1"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Average of WorkLifeBalance" fld="13" subtotal="average"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62C7C6-FEC6-4726-BF75-BBC8A9470C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6:C13" firstHeaderRow="1" firstDataRow="1" firstDataCol="1"/>
  <pivotFields count="19">
    <pivotField showAll="0"/>
    <pivotField showAll="0"/>
    <pivotField showAll="0">
      <items count="3">
        <item x="1"/>
        <item x="0"/>
        <item t="default"/>
      </items>
    </pivotField>
    <pivotField axis="axisRow" showAll="0">
      <items count="8">
        <item x="4"/>
        <item x="0"/>
        <item x="2"/>
        <item x="5"/>
        <item x="1"/>
        <item x="3"/>
        <item h="1" m="1" x="6"/>
        <item t="default"/>
      </items>
    </pivotField>
    <pivotField showAll="0">
      <items count="8">
        <item x="4"/>
        <item x="0"/>
        <item x="2"/>
        <item x="5"/>
        <item x="1"/>
        <item x="3"/>
        <item h="1" m="1"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7">
    <i>
      <x/>
    </i>
    <i>
      <x v="1"/>
    </i>
    <i>
      <x v="2"/>
    </i>
    <i>
      <x v="3"/>
    </i>
    <i>
      <x v="4"/>
    </i>
    <i>
      <x v="5"/>
    </i>
    <i t="grand">
      <x/>
    </i>
  </rowItems>
  <colItems count="1">
    <i/>
  </colItems>
  <dataFields count="1">
    <dataField name="Average of JobSatisfaction" fld="16" subtotal="average" baseField="3" baseItem="0"/>
  </dataFields>
  <formats count="1">
    <format dxfId="3">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1AD9FB7-BFB7-4CE0-8FFC-DBE455402E7E}" sourceName="Gender">
  <pivotTables>
    <pivotTable tabId="8" name="Pivott 1.1"/>
    <pivotTable tabId="8" name="1.2"/>
    <pivotTable tabId="8" name="PivotTable7"/>
    <pivotTable tabId="8" name="PivotTable8"/>
    <pivotTable tabId="10" name="PivotTable1"/>
    <pivotTable tabId="10" name="PivotTable2"/>
    <pivotTable tabId="10" name="PivotTable3"/>
    <pivotTable tabId="10" name="PivotTable4"/>
    <pivotTable tabId="11" name="PivotTable5"/>
    <pivotTable tabId="11" name="PivotTable6"/>
    <pivotTable tabId="11" name="PivotTable7"/>
    <pivotTable tabId="12" name="PivotTable1"/>
    <pivotTable tabId="12" name="PivotTable2"/>
    <pivotTable tabId="12" name="PivotTable3"/>
  </pivotTables>
  <data>
    <tabular pivotCacheId="41939207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65D917C-5E3B-4265-8DF2-1B8E2A2077FF}" sourceName="Department">
  <pivotTables>
    <pivotTable tabId="12" name="PivotTable1"/>
    <pivotTable tabId="12" name="PivotTable2"/>
    <pivotTable tabId="12" name="PivotTable3"/>
    <pivotTable tabId="8" name="1.2"/>
    <pivotTable tabId="8" name="Pivott 1.1"/>
    <pivotTable tabId="8" name="PivotTable7"/>
    <pivotTable tabId="8" name="PivotTable8"/>
    <pivotTable tabId="10" name="PivotTable1"/>
    <pivotTable tabId="10" name="PivotTable2"/>
    <pivotTable tabId="10" name="PivotTable3"/>
    <pivotTable tabId="10" name="PivotTable4"/>
    <pivotTable tabId="11" name="PivotTable5"/>
    <pivotTable tabId="11" name="PivotTable6"/>
    <pivotTable tabId="11" name="PivotTable7"/>
  </pivotTables>
  <data>
    <tabular pivotCacheId="419392073" showMissing="0">
      <items count="7">
        <i x="4" s="1"/>
        <i x="0" s="1"/>
        <i x="2" s="1"/>
        <i x="5" s="1"/>
        <i x="1" s="1"/>
        <i x="3" s="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1A1ACDD3-4732-4252-9AC8-A8A80E39AB4B}" sourceName="JobRole">
  <pivotTables>
    <pivotTable tabId="12" name="PivotTable1"/>
    <pivotTable tabId="12" name="PivotTable2"/>
    <pivotTable tabId="12" name="PivotTable3"/>
    <pivotTable tabId="8" name="1.2"/>
    <pivotTable tabId="8" name="Pivott 1.1"/>
    <pivotTable tabId="8" name="PivotTable7"/>
    <pivotTable tabId="8" name="PivotTable8"/>
    <pivotTable tabId="10" name="PivotTable1"/>
    <pivotTable tabId="10" name="PivotTable2"/>
    <pivotTable tabId="10" name="PivotTable3"/>
    <pivotTable tabId="10" name="PivotTable4"/>
    <pivotTable tabId="11" name="PivotTable5"/>
    <pivotTable tabId="11" name="PivotTable6"/>
    <pivotTable tabId="11" name="PivotTable7"/>
  </pivotTables>
  <data>
    <tabular pivotCacheId="419392073" showMissing="0" crossFilter="none">
      <items count="7">
        <i x="4" s="1"/>
        <i x="0" s="1"/>
        <i x="2" s="1"/>
        <i x="5" s="1"/>
        <i x="1" s="1"/>
        <i x="3" s="1"/>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793FD8F-6810-45EE-85E7-703554B924AE}" sourceName="Attrition">
  <pivotTables>
    <pivotTable tabId="10" name="PivotTable4"/>
    <pivotTable tabId="8" name="1.2"/>
    <pivotTable tabId="8" name="Pivott 1.1"/>
    <pivotTable tabId="8" name="PivotTable7"/>
    <pivotTable tabId="8" name="PivotTable8"/>
    <pivotTable tabId="10" name="PivotTable1"/>
    <pivotTable tabId="10" name="PivotTable2"/>
    <pivotTable tabId="10" name="PivotTable3"/>
  </pivotTables>
  <data>
    <tabular pivotCacheId="419392073">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43491C3-E20B-4C94-9997-D6DEC740C1DA}" cache="Slicer_Gender" caption="Gender" style="SlicerStyleOther2" rowHeight="241300"/>
  <slicer name="Department 1" xr10:uid="{76083A81-5553-4362-9DA3-DDA52256E2AA}" cache="Slicer_Department" caption="Department" style="SlicerStyleOther2" rowHeight="241300"/>
  <slicer name="JobRole 1" xr10:uid="{2F5E7263-05B7-43EC-9AE3-C4A583D0AF55}" cache="Slicer_JobRole" caption="JobRole" startItem="2"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20C3E1AC-315C-4BD3-BEC4-FEB6AFA84EA8}" cache="Slicer_Department" caption="Department" style="SlicerStyleOther2" rowHeight="241300"/>
  <slicer name="JobRole 2" xr10:uid="{393A0B6C-D475-4E8B-BB9D-67B9D527061B}" cache="Slicer_JobRole" caption="JobRole" style="SlicerStyleOther2" rowHeight="241300"/>
  <slicer name="Attrition 1" xr10:uid="{0EDF2DCB-8DA3-4F05-885B-44196C826EBA}" cache="Slicer_Attrition" caption="Attrit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DD480FCE-C292-49ED-A86F-A8BDDCBEBA3C}" cache="Slicer_Gender" caption="Gender" style="SlicerStyleOther2" rowHeight="241300"/>
  <slicer name="Department 3" xr10:uid="{FE8FFB7D-55FF-471A-B7AB-24E7E0F340AA}" cache="Slicer_Department" caption="Department" style="SlicerStyleOther2" rowHeight="241300"/>
  <slicer name="JobRole 3" xr10:uid="{358E08F1-40B4-4A94-B22A-DD70AC1A8405}" cache="Slicer_JobRole" caption="JobRole" style="SlicerStyleOther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3E4A3FE4-2336-4EA5-97DA-D4731AE2843F}" cache="Slicer_Gender" caption="Gender" style="SlicerStyleOther2" rowHeight="241300"/>
  <slicer name="Department 4" xr10:uid="{111BCD3C-8B06-4742-A2F7-6E8BEA58F56C}" cache="Slicer_Department" caption="Department" style="SlicerStyleOther2" rowHeight="241300"/>
  <slicer name="JobRole 4" xr10:uid="{DD2B8A9B-63AA-4BF1-A0F3-708FB80AFD07}" cache="Slicer_JobRole" caption="JobRole" style="SlicerStyleOther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8586C02-D510-418A-A56C-7307F844F2C6}" cache="Slicer_Gender" caption="Gender" rowHeight="241300"/>
  <slicer name="Department" xr10:uid="{4E0DFA2D-5DA3-4D48-9607-75001A6CC836}" cache="Slicer_Department" caption="Department" rowHeight="241300"/>
  <slicer name="JobRole" xr10:uid="{CAD2CE21-BB3C-40CA-9336-6E793F04A336}" cache="Slicer_JobRole" caption="JobRole"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6E55B498-7FBB-4A97-BF68-C21308F8C33B}" cache="Slicer_Attrition" caption="Attri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9A5F73-4CA1-46CE-8359-3444BB85A4BE}" name="HRData" displayName="HRData" ref="A1:S2001" totalsRowShown="0">
  <autoFilter ref="A1:S2001" xr:uid="{559A5F73-4CA1-46CE-8359-3444BB85A4BE}"/>
  <tableColumns count="19">
    <tableColumn id="1" xr3:uid="{93BF55CF-6373-4B5E-B106-E2C06655FE9A}" name="EmployeeID"/>
    <tableColumn id="2" xr3:uid="{B7F23392-4500-499C-B0DC-CDABF7CC469B}" name="Age"/>
    <tableColumn id="3" xr3:uid="{9CB7E785-109F-45C5-AC14-69CBDA42D4E7}" name="Gender"/>
    <tableColumn id="4" xr3:uid="{2EF778D1-1C50-4ACD-A986-2CAC0E1C48E9}" name="Department"/>
    <tableColumn id="5" xr3:uid="{3837F905-3120-4FF4-9C83-60CFEE572EB5}" name="JobRole"/>
    <tableColumn id="6" xr3:uid="{191E6E55-4EC9-4B35-989F-4E15EF8E1D61}" name="EducationLevel"/>
    <tableColumn id="7" xr3:uid="{429C85D2-55A0-4B00-B9F2-5012D91B7230}" name="MaritalStatus"/>
    <tableColumn id="8" xr3:uid="{14CEA3AC-6114-4C7D-AA25-4B7068799CF0}" name="MonthlyIncome"/>
    <tableColumn id="9" xr3:uid="{58E74E66-BF13-4036-8FDD-DE4BB801E610}" name="Bonus"/>
    <tableColumn id="10" xr3:uid="{03E9329E-A679-4776-8591-E352BBD3BAC1}" name="YearsAtCompany"/>
    <tableColumn id="11" xr3:uid="{C8DAF276-136B-4450-AB99-2D3D84EAED4F}" name="YearsInCurrentRole"/>
    <tableColumn id="12" xr3:uid="{2F68E13A-32C5-4552-8C06-0810DD141E67}" name="PerformanceRating"/>
    <tableColumn id="13" xr3:uid="{D6F14C05-192E-495F-BB19-70C88ACA1FAC}" name="Overtime"/>
    <tableColumn id="14" xr3:uid="{3992D56F-7043-44A6-B30A-02BB722947AE}" name="WorkLifeBalance"/>
    <tableColumn id="15" xr3:uid="{D22DB85F-776E-488E-85DB-979817C56415}" name="DistanceFromHome"/>
    <tableColumn id="16" xr3:uid="{9A3D4B93-00F1-49A8-9CF1-0C0C307028B2}" name="TrainingHours"/>
    <tableColumn id="17" xr3:uid="{E0E6C515-FBD5-4AA7-BB5F-2DF5B722E670}" name="JobSatisfaction"/>
    <tableColumn id="18" xr3:uid="{F96DF2AB-7F99-4820-B9BD-ABE62C0229F0}" name="EnvironmentSatisfaction"/>
    <tableColumn id="19" xr3:uid="{0E61CA89-0BF9-4859-99FA-22944F87D073}" name="Attri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5.xml"/><Relationship Id="rId5" Type="http://schemas.openxmlformats.org/officeDocument/2006/relationships/drawing" Target="../drawings/drawing6.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6.xml"/><Relationship Id="rId5" Type="http://schemas.openxmlformats.org/officeDocument/2006/relationships/drawing" Target="../drawings/drawing7.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7:B55"/>
  <sheetViews>
    <sheetView tabSelected="1" workbookViewId="0"/>
  </sheetViews>
  <sheetFormatPr defaultRowHeight="15" x14ac:dyDescent="0.25"/>
  <sheetData>
    <row r="47" spans="1:1" x14ac:dyDescent="0.25">
      <c r="A47">
        <f>COUNTA(HRData[EmployeeID])</f>
        <v>2000</v>
      </c>
    </row>
    <row r="49" spans="1:2" x14ac:dyDescent="0.25">
      <c r="A49">
        <f>IFERROR(COUNTIF(HRData[Attrition],"Yes") / COUNTA(HRData[EmployeeID]), 0)*100</f>
        <v>13.8</v>
      </c>
    </row>
    <row r="51" spans="1:2" x14ac:dyDescent="0.25">
      <c r="A51">
        <f>IFERROR(AVERAGE(HRData[Age]), 0)</f>
        <v>39.186500000000002</v>
      </c>
    </row>
    <row r="53" spans="1:2" x14ac:dyDescent="0.25">
      <c r="A53">
        <f>IFERROR(AVERAGE(HRData[MonthlyIncome]), 0)</f>
        <v>61581.872499999998</v>
      </c>
      <c r="B53">
        <f>IFERROR(COUNTIF(HRData[Gender],"Male") / COUNTA(HRData[EmployeeID]), 0)*100</f>
        <v>66.8</v>
      </c>
    </row>
    <row r="55" spans="1:2" x14ac:dyDescent="0.25">
      <c r="A55">
        <f>IFERROR(AVERAGE(HRData[YearsAtCompany]), 0)</f>
        <v>12.073499999999999</v>
      </c>
      <c r="B55">
        <f>IFERROR(COUNTIF(HRData[Gender],"Female") / COUNTA(HRData[EmployeeID]), 0)*100</f>
        <v>33.200000000000003</v>
      </c>
    </row>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6:A54"/>
  <sheetViews>
    <sheetView workbookViewId="0"/>
  </sheetViews>
  <sheetFormatPr defaultRowHeight="15" x14ac:dyDescent="0.25"/>
  <sheetData>
    <row r="46" spans="1:1" x14ac:dyDescent="0.25">
      <c r="A46">
        <f>AVERAGE(HRData[PerformanceRating])</f>
        <v>3.1739999999999999</v>
      </c>
    </row>
    <row r="48" spans="1:1" x14ac:dyDescent="0.25">
      <c r="A48">
        <f>AVERAGE(HRData[JobSatisfaction])</f>
        <v>2.8029999999999999</v>
      </c>
    </row>
    <row r="50" spans="1:1" x14ac:dyDescent="0.25">
      <c r="A50">
        <f>AVERAGE(HRData[WorkLifeBalance])</f>
        <v>2.8119999999999998</v>
      </c>
    </row>
    <row r="52" spans="1:1" x14ac:dyDescent="0.25">
      <c r="A52">
        <f>AVERAGE(HRData[EnvironmentSatisfaction])</f>
        <v>2.64</v>
      </c>
    </row>
    <row r="54" spans="1:1" x14ac:dyDescent="0.25">
      <c r="A54">
        <f>AVERAGE(HRData[TrainingHours])</f>
        <v>32.031999999999996</v>
      </c>
    </row>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4:A48"/>
  <sheetViews>
    <sheetView workbookViewId="0"/>
  </sheetViews>
  <sheetFormatPr defaultRowHeight="15" x14ac:dyDescent="0.25"/>
  <sheetData>
    <row r="44" spans="1:1" x14ac:dyDescent="0.25">
      <c r="A44">
        <f>AVERAGE(HRData[Bonus])</f>
        <v>24529.960500000001</v>
      </c>
    </row>
    <row r="46" spans="1:1" x14ac:dyDescent="0.25">
      <c r="A46" s="4">
        <f>AVERAGE(HRData[YearsAtCompany])</f>
        <v>12.073499999999999</v>
      </c>
    </row>
    <row r="48" spans="1:1" x14ac:dyDescent="0.25">
      <c r="A48" s="5">
        <f>AVERAGE(HRData[YearsInCurrentRole])</f>
        <v>6.9080000000000004</v>
      </c>
    </row>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A8393-B68F-44B2-B0B9-4FDC1889D4A6}">
  <dimension ref="A3:B43"/>
  <sheetViews>
    <sheetView workbookViewId="0">
      <selection activeCell="B36" sqref="B36"/>
    </sheetView>
  </sheetViews>
  <sheetFormatPr defaultRowHeight="15" x14ac:dyDescent="0.25"/>
  <cols>
    <col min="1" max="1" width="13.140625" bestFit="1" customWidth="1"/>
    <col min="2" max="3" width="17.7109375" bestFit="1" customWidth="1"/>
  </cols>
  <sheetData>
    <row r="3" spans="1:2" x14ac:dyDescent="0.25">
      <c r="A3" s="1" t="s">
        <v>42</v>
      </c>
      <c r="B3" t="s">
        <v>48</v>
      </c>
    </row>
    <row r="4" spans="1:2" x14ac:dyDescent="0.25">
      <c r="A4" s="2" t="s">
        <v>33</v>
      </c>
      <c r="B4" s="6">
        <v>35035.012411347518</v>
      </c>
    </row>
    <row r="5" spans="1:2" x14ac:dyDescent="0.25">
      <c r="A5" s="2" t="s">
        <v>27</v>
      </c>
      <c r="B5" s="6">
        <v>74141.930174563589</v>
      </c>
    </row>
    <row r="6" spans="1:2" x14ac:dyDescent="0.25">
      <c r="A6" s="2" t="s">
        <v>40</v>
      </c>
      <c r="B6" s="6">
        <v>14991.031446540881</v>
      </c>
    </row>
    <row r="7" spans="1:2" x14ac:dyDescent="0.25">
      <c r="A7" s="2" t="s">
        <v>29</v>
      </c>
      <c r="B7" s="6">
        <v>151516.48387096773</v>
      </c>
    </row>
    <row r="8" spans="1:2" x14ac:dyDescent="0.25">
      <c r="A8" s="2" t="s">
        <v>36</v>
      </c>
      <c r="B8" s="6">
        <v>57198.274223034736</v>
      </c>
    </row>
    <row r="9" spans="1:2" x14ac:dyDescent="0.25">
      <c r="A9" s="2" t="s">
        <v>21</v>
      </c>
      <c r="B9" s="6">
        <v>109792.46186440678</v>
      </c>
    </row>
    <row r="10" spans="1:2" x14ac:dyDescent="0.25">
      <c r="A10" s="2" t="s">
        <v>43</v>
      </c>
      <c r="B10" s="6">
        <v>61581.872499999998</v>
      </c>
    </row>
    <row r="20" spans="1:2" x14ac:dyDescent="0.25">
      <c r="A20" s="1" t="s">
        <v>42</v>
      </c>
      <c r="B20" t="s">
        <v>49</v>
      </c>
    </row>
    <row r="21" spans="1:2" x14ac:dyDescent="0.25">
      <c r="A21" s="2" t="s">
        <v>32</v>
      </c>
      <c r="B21" s="6">
        <v>12.514423076923077</v>
      </c>
    </row>
    <row r="22" spans="1:2" x14ac:dyDescent="0.25">
      <c r="A22" s="2" t="s">
        <v>28</v>
      </c>
      <c r="B22" s="6">
        <v>11.737623762376238</v>
      </c>
    </row>
    <row r="23" spans="1:2" x14ac:dyDescent="0.25">
      <c r="A23" s="2" t="s">
        <v>20</v>
      </c>
      <c r="B23" s="6">
        <v>12.233711048158641</v>
      </c>
    </row>
    <row r="24" spans="1:2" x14ac:dyDescent="0.25">
      <c r="A24" s="2" t="s">
        <v>34</v>
      </c>
      <c r="B24" s="6">
        <v>11.232558139534884</v>
      </c>
    </row>
    <row r="25" spans="1:2" x14ac:dyDescent="0.25">
      <c r="A25" s="2" t="s">
        <v>26</v>
      </c>
      <c r="B25" s="6">
        <v>11.647619047619047</v>
      </c>
    </row>
    <row r="26" spans="1:2" x14ac:dyDescent="0.25">
      <c r="A26" s="2" t="s">
        <v>41</v>
      </c>
      <c r="B26" s="6">
        <v>12.48076923076923</v>
      </c>
    </row>
    <row r="27" spans="1:2" x14ac:dyDescent="0.25">
      <c r="A27" s="2" t="s">
        <v>43</v>
      </c>
      <c r="B27" s="6">
        <v>12.073499999999999</v>
      </c>
    </row>
    <row r="36" spans="1:2" x14ac:dyDescent="0.25">
      <c r="A36" s="1" t="s">
        <v>42</v>
      </c>
      <c r="B36" t="s">
        <v>50</v>
      </c>
    </row>
    <row r="37" spans="1:2" x14ac:dyDescent="0.25">
      <c r="A37" s="2" t="s">
        <v>32</v>
      </c>
      <c r="B37" s="6">
        <v>208</v>
      </c>
    </row>
    <row r="38" spans="1:2" x14ac:dyDescent="0.25">
      <c r="A38" s="2" t="s">
        <v>28</v>
      </c>
      <c r="B38" s="6">
        <v>202</v>
      </c>
    </row>
    <row r="39" spans="1:2" x14ac:dyDescent="0.25">
      <c r="A39" s="2" t="s">
        <v>20</v>
      </c>
      <c r="B39" s="6">
        <v>706</v>
      </c>
    </row>
    <row r="40" spans="1:2" x14ac:dyDescent="0.25">
      <c r="A40" s="2" t="s">
        <v>34</v>
      </c>
      <c r="B40" s="6">
        <v>258</v>
      </c>
    </row>
    <row r="41" spans="1:2" x14ac:dyDescent="0.25">
      <c r="A41" s="2" t="s">
        <v>26</v>
      </c>
      <c r="B41" s="6">
        <v>210</v>
      </c>
    </row>
    <row r="42" spans="1:2" x14ac:dyDescent="0.25">
      <c r="A42" s="2" t="s">
        <v>41</v>
      </c>
      <c r="B42" s="6">
        <v>416</v>
      </c>
    </row>
    <row r="43" spans="1:2" x14ac:dyDescent="0.25">
      <c r="A43" s="2" t="s">
        <v>43</v>
      </c>
      <c r="B43" s="6">
        <v>2000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CB22-7088-45F7-AE7C-9CB08B63A538}">
  <dimension ref="A1:S2001"/>
  <sheetViews>
    <sheetView topLeftCell="A2" workbookViewId="0">
      <selection activeCell="B4" sqref="A2:S2001"/>
    </sheetView>
  </sheetViews>
  <sheetFormatPr defaultRowHeight="15" x14ac:dyDescent="0.25"/>
  <cols>
    <col min="1" max="1" width="13.85546875" customWidth="1"/>
    <col min="3" max="3" width="9.85546875" customWidth="1"/>
    <col min="4" max="4" width="13.85546875" customWidth="1"/>
    <col min="5" max="5" width="10.140625" customWidth="1"/>
    <col min="6" max="6" width="16.5703125" customWidth="1"/>
    <col min="7" max="7" width="15" customWidth="1"/>
    <col min="8" max="8" width="17.28515625" customWidth="1"/>
    <col min="10" max="10" width="18.28515625" customWidth="1"/>
    <col min="11" max="11" width="20.42578125" customWidth="1"/>
    <col min="12" max="12" width="20.140625" customWidth="1"/>
    <col min="13" max="13" width="11.5703125" customWidth="1"/>
    <col min="14" max="14" width="18.140625" customWidth="1"/>
    <col min="15" max="15" width="20.5703125" customWidth="1"/>
    <col min="16" max="16" width="15.42578125" customWidth="1"/>
    <col min="17" max="17" width="16.42578125" customWidth="1"/>
    <col min="18" max="18" width="24.85546875" customWidth="1"/>
    <col min="19" max="19" width="10.71093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10001</v>
      </c>
      <c r="B2">
        <v>42</v>
      </c>
      <c r="C2" t="s">
        <v>19</v>
      </c>
      <c r="D2" t="s">
        <v>28</v>
      </c>
      <c r="E2" t="s">
        <v>27</v>
      </c>
      <c r="F2" t="s">
        <v>22</v>
      </c>
      <c r="G2" t="s">
        <v>30</v>
      </c>
      <c r="H2">
        <v>82118</v>
      </c>
      <c r="I2">
        <v>44131</v>
      </c>
      <c r="J2">
        <v>7</v>
      </c>
      <c r="K2">
        <v>7</v>
      </c>
      <c r="L2">
        <v>3</v>
      </c>
      <c r="M2" t="s">
        <v>24</v>
      </c>
      <c r="N2">
        <v>4</v>
      </c>
      <c r="O2">
        <v>30</v>
      </c>
      <c r="P2">
        <v>42</v>
      </c>
      <c r="Q2">
        <v>3</v>
      </c>
      <c r="R2">
        <v>1</v>
      </c>
      <c r="S2" t="s">
        <v>25</v>
      </c>
    </row>
    <row r="3" spans="1:19" x14ac:dyDescent="0.25">
      <c r="A3">
        <v>10002</v>
      </c>
      <c r="B3">
        <v>47</v>
      </c>
      <c r="C3" t="s">
        <v>31</v>
      </c>
      <c r="D3" t="s">
        <v>26</v>
      </c>
      <c r="E3" t="s">
        <v>36</v>
      </c>
      <c r="F3" t="s">
        <v>37</v>
      </c>
      <c r="G3" t="s">
        <v>38</v>
      </c>
      <c r="H3">
        <v>53666</v>
      </c>
      <c r="I3">
        <v>19118</v>
      </c>
      <c r="J3">
        <v>18</v>
      </c>
      <c r="K3">
        <v>11</v>
      </c>
      <c r="L3">
        <v>3</v>
      </c>
      <c r="M3" t="s">
        <v>25</v>
      </c>
      <c r="N3">
        <v>1</v>
      </c>
      <c r="O3">
        <v>7</v>
      </c>
      <c r="P3">
        <v>25</v>
      </c>
      <c r="Q3">
        <v>2</v>
      </c>
      <c r="R3">
        <v>3</v>
      </c>
      <c r="S3" t="s">
        <v>24</v>
      </c>
    </row>
    <row r="4" spans="1:19" x14ac:dyDescent="0.25">
      <c r="A4">
        <v>10003</v>
      </c>
      <c r="B4">
        <v>39</v>
      </c>
      <c r="C4" t="s">
        <v>31</v>
      </c>
      <c r="D4" t="s">
        <v>20</v>
      </c>
      <c r="E4" t="s">
        <v>36</v>
      </c>
      <c r="F4" t="s">
        <v>39</v>
      </c>
      <c r="G4" t="s">
        <v>30</v>
      </c>
      <c r="H4">
        <v>68897</v>
      </c>
      <c r="I4">
        <v>48555</v>
      </c>
      <c r="J4">
        <v>7</v>
      </c>
      <c r="K4">
        <v>14</v>
      </c>
      <c r="L4">
        <v>2</v>
      </c>
      <c r="M4" t="s">
        <v>25</v>
      </c>
      <c r="N4">
        <v>2</v>
      </c>
      <c r="O4">
        <v>4</v>
      </c>
      <c r="P4">
        <v>6</v>
      </c>
      <c r="Q4">
        <v>1</v>
      </c>
      <c r="R4">
        <v>3</v>
      </c>
      <c r="S4" t="s">
        <v>25</v>
      </c>
    </row>
    <row r="5" spans="1:19" x14ac:dyDescent="0.25">
      <c r="A5">
        <v>10004</v>
      </c>
      <c r="B5">
        <v>55</v>
      </c>
      <c r="C5" t="s">
        <v>19</v>
      </c>
      <c r="D5" t="s">
        <v>20</v>
      </c>
      <c r="E5" t="s">
        <v>40</v>
      </c>
      <c r="F5" t="s">
        <v>39</v>
      </c>
      <c r="G5" t="s">
        <v>23</v>
      </c>
      <c r="H5">
        <v>15675</v>
      </c>
      <c r="I5">
        <v>29127</v>
      </c>
      <c r="J5">
        <v>13</v>
      </c>
      <c r="K5">
        <v>6</v>
      </c>
      <c r="L5">
        <v>3</v>
      </c>
      <c r="M5" t="s">
        <v>25</v>
      </c>
      <c r="N5">
        <v>4</v>
      </c>
      <c r="O5">
        <v>18</v>
      </c>
      <c r="P5">
        <v>51</v>
      </c>
      <c r="Q5">
        <v>4</v>
      </c>
      <c r="R5">
        <v>4</v>
      </c>
      <c r="S5" t="s">
        <v>25</v>
      </c>
    </row>
    <row r="6" spans="1:19" x14ac:dyDescent="0.25">
      <c r="A6">
        <v>10005</v>
      </c>
      <c r="B6">
        <v>44</v>
      </c>
      <c r="C6" t="s">
        <v>31</v>
      </c>
      <c r="D6" t="s">
        <v>28</v>
      </c>
      <c r="E6" t="s">
        <v>36</v>
      </c>
      <c r="F6" t="s">
        <v>37</v>
      </c>
      <c r="G6" t="s">
        <v>30</v>
      </c>
      <c r="H6">
        <v>63446</v>
      </c>
      <c r="I6">
        <v>2027</v>
      </c>
      <c r="J6">
        <v>7</v>
      </c>
      <c r="K6">
        <v>7</v>
      </c>
      <c r="L6">
        <v>1</v>
      </c>
      <c r="M6" t="s">
        <v>24</v>
      </c>
      <c r="N6">
        <v>4</v>
      </c>
      <c r="O6">
        <v>35</v>
      </c>
      <c r="P6">
        <v>37</v>
      </c>
      <c r="Q6">
        <v>2</v>
      </c>
      <c r="R6">
        <v>3</v>
      </c>
      <c r="S6" t="s">
        <v>25</v>
      </c>
    </row>
    <row r="7" spans="1:19" x14ac:dyDescent="0.25">
      <c r="A7">
        <v>10006</v>
      </c>
      <c r="B7">
        <v>42</v>
      </c>
      <c r="C7" t="s">
        <v>31</v>
      </c>
      <c r="D7" t="s">
        <v>26</v>
      </c>
      <c r="E7" t="s">
        <v>21</v>
      </c>
      <c r="F7" t="s">
        <v>39</v>
      </c>
      <c r="G7" t="s">
        <v>30</v>
      </c>
      <c r="H7">
        <v>103067</v>
      </c>
      <c r="I7">
        <v>19115</v>
      </c>
      <c r="J7">
        <v>7</v>
      </c>
      <c r="K7">
        <v>5</v>
      </c>
      <c r="L7">
        <v>4</v>
      </c>
      <c r="M7" t="s">
        <v>25</v>
      </c>
      <c r="N7">
        <v>2</v>
      </c>
      <c r="O7">
        <v>14</v>
      </c>
      <c r="P7">
        <v>7</v>
      </c>
      <c r="Q7">
        <v>3</v>
      </c>
      <c r="R7">
        <v>3</v>
      </c>
      <c r="S7" t="s">
        <v>25</v>
      </c>
    </row>
    <row r="8" spans="1:19" x14ac:dyDescent="0.25">
      <c r="A8">
        <v>10007</v>
      </c>
      <c r="B8">
        <v>32</v>
      </c>
      <c r="C8" t="s">
        <v>31</v>
      </c>
      <c r="D8" t="s">
        <v>41</v>
      </c>
      <c r="E8" t="s">
        <v>27</v>
      </c>
      <c r="F8" t="s">
        <v>39</v>
      </c>
      <c r="G8" t="s">
        <v>30</v>
      </c>
      <c r="H8">
        <v>81518</v>
      </c>
      <c r="I8">
        <v>41523</v>
      </c>
      <c r="J8">
        <v>3</v>
      </c>
      <c r="K8">
        <v>13</v>
      </c>
      <c r="L8">
        <v>2</v>
      </c>
      <c r="M8" t="s">
        <v>25</v>
      </c>
      <c r="N8">
        <v>3</v>
      </c>
      <c r="O8">
        <v>29</v>
      </c>
      <c r="P8">
        <v>40</v>
      </c>
      <c r="Q8">
        <v>2</v>
      </c>
      <c r="R8">
        <v>4</v>
      </c>
      <c r="S8" t="s">
        <v>25</v>
      </c>
    </row>
    <row r="9" spans="1:19" x14ac:dyDescent="0.25">
      <c r="A9">
        <v>10008</v>
      </c>
      <c r="B9">
        <v>39</v>
      </c>
      <c r="C9" t="s">
        <v>31</v>
      </c>
      <c r="D9" t="s">
        <v>41</v>
      </c>
      <c r="E9" t="s">
        <v>21</v>
      </c>
      <c r="F9" t="s">
        <v>35</v>
      </c>
      <c r="G9" t="s">
        <v>30</v>
      </c>
      <c r="H9">
        <v>92693</v>
      </c>
      <c r="I9">
        <v>26105</v>
      </c>
      <c r="J9">
        <v>22</v>
      </c>
      <c r="K9">
        <v>11</v>
      </c>
      <c r="L9">
        <v>3</v>
      </c>
      <c r="M9" t="s">
        <v>25</v>
      </c>
      <c r="N9">
        <v>2</v>
      </c>
      <c r="O9">
        <v>27</v>
      </c>
      <c r="P9">
        <v>56</v>
      </c>
      <c r="Q9">
        <v>3</v>
      </c>
      <c r="R9">
        <v>2</v>
      </c>
      <c r="S9" t="s">
        <v>25</v>
      </c>
    </row>
    <row r="10" spans="1:19" x14ac:dyDescent="0.25">
      <c r="A10">
        <v>10009</v>
      </c>
      <c r="B10">
        <v>34</v>
      </c>
      <c r="C10" t="s">
        <v>19</v>
      </c>
      <c r="D10" t="s">
        <v>20</v>
      </c>
      <c r="E10" t="s">
        <v>36</v>
      </c>
      <c r="F10" t="s">
        <v>22</v>
      </c>
      <c r="G10" t="s">
        <v>38</v>
      </c>
      <c r="H10">
        <v>58545</v>
      </c>
      <c r="I10">
        <v>3304</v>
      </c>
      <c r="J10">
        <v>19</v>
      </c>
      <c r="K10">
        <v>0</v>
      </c>
      <c r="L10">
        <v>2</v>
      </c>
      <c r="M10" t="s">
        <v>24</v>
      </c>
      <c r="N10">
        <v>2</v>
      </c>
      <c r="O10">
        <v>39</v>
      </c>
      <c r="P10">
        <v>6</v>
      </c>
      <c r="Q10">
        <v>3</v>
      </c>
      <c r="R10">
        <v>3</v>
      </c>
      <c r="S10" t="s">
        <v>25</v>
      </c>
    </row>
    <row r="11" spans="1:19" x14ac:dyDescent="0.25">
      <c r="A11">
        <v>10010</v>
      </c>
      <c r="B11">
        <v>56</v>
      </c>
      <c r="C11" t="s">
        <v>31</v>
      </c>
      <c r="D11" t="s">
        <v>20</v>
      </c>
      <c r="E11" t="s">
        <v>33</v>
      </c>
      <c r="F11" t="s">
        <v>39</v>
      </c>
      <c r="G11" t="s">
        <v>30</v>
      </c>
      <c r="H11">
        <v>39555</v>
      </c>
      <c r="I11">
        <v>46717</v>
      </c>
      <c r="J11">
        <v>1</v>
      </c>
      <c r="K11">
        <v>4</v>
      </c>
      <c r="L11">
        <v>3</v>
      </c>
      <c r="M11" t="s">
        <v>25</v>
      </c>
      <c r="N11">
        <v>2</v>
      </c>
      <c r="O11">
        <v>4</v>
      </c>
      <c r="P11">
        <v>59</v>
      </c>
      <c r="Q11">
        <v>1</v>
      </c>
      <c r="R11">
        <v>3</v>
      </c>
      <c r="S11" t="s">
        <v>25</v>
      </c>
    </row>
    <row r="12" spans="1:19" x14ac:dyDescent="0.25">
      <c r="A12">
        <v>10011</v>
      </c>
      <c r="B12">
        <v>35</v>
      </c>
      <c r="C12" t="s">
        <v>31</v>
      </c>
      <c r="D12" t="s">
        <v>20</v>
      </c>
      <c r="E12" t="s">
        <v>33</v>
      </c>
      <c r="F12" t="s">
        <v>35</v>
      </c>
      <c r="G12" t="s">
        <v>38</v>
      </c>
      <c r="H12">
        <v>25197</v>
      </c>
      <c r="I12">
        <v>44357</v>
      </c>
      <c r="J12">
        <v>15</v>
      </c>
      <c r="K12">
        <v>12</v>
      </c>
      <c r="L12">
        <v>4</v>
      </c>
      <c r="M12" t="s">
        <v>24</v>
      </c>
      <c r="N12">
        <v>2</v>
      </c>
      <c r="O12">
        <v>26</v>
      </c>
      <c r="P12">
        <v>7</v>
      </c>
      <c r="Q12">
        <v>3</v>
      </c>
      <c r="R12">
        <v>4</v>
      </c>
      <c r="S12" t="s">
        <v>25</v>
      </c>
    </row>
    <row r="13" spans="1:19" x14ac:dyDescent="0.25">
      <c r="A13">
        <v>10012</v>
      </c>
      <c r="B13">
        <v>20</v>
      </c>
      <c r="C13" t="s">
        <v>19</v>
      </c>
      <c r="D13" t="s">
        <v>20</v>
      </c>
      <c r="E13" t="s">
        <v>21</v>
      </c>
      <c r="F13" t="s">
        <v>39</v>
      </c>
      <c r="G13" t="s">
        <v>30</v>
      </c>
      <c r="H13">
        <v>113078</v>
      </c>
      <c r="I13">
        <v>47025</v>
      </c>
      <c r="J13">
        <v>22</v>
      </c>
      <c r="K13">
        <v>14</v>
      </c>
      <c r="L13">
        <v>4</v>
      </c>
      <c r="M13" t="s">
        <v>24</v>
      </c>
      <c r="N13">
        <v>3</v>
      </c>
      <c r="O13">
        <v>26</v>
      </c>
      <c r="P13">
        <v>52</v>
      </c>
      <c r="Q13">
        <v>4</v>
      </c>
      <c r="R13">
        <v>3</v>
      </c>
      <c r="S13" t="s">
        <v>25</v>
      </c>
    </row>
    <row r="14" spans="1:19" x14ac:dyDescent="0.25">
      <c r="A14">
        <v>10013</v>
      </c>
      <c r="B14">
        <v>28</v>
      </c>
      <c r="C14" t="s">
        <v>19</v>
      </c>
      <c r="D14" t="s">
        <v>32</v>
      </c>
      <c r="E14" t="s">
        <v>33</v>
      </c>
      <c r="F14" t="s">
        <v>39</v>
      </c>
      <c r="G14" t="s">
        <v>30</v>
      </c>
      <c r="H14">
        <v>44492</v>
      </c>
      <c r="I14">
        <v>1154</v>
      </c>
      <c r="J14">
        <v>19</v>
      </c>
      <c r="K14">
        <v>7</v>
      </c>
      <c r="L14">
        <v>3</v>
      </c>
      <c r="M14" t="s">
        <v>25</v>
      </c>
      <c r="N14">
        <v>4</v>
      </c>
      <c r="O14">
        <v>8</v>
      </c>
      <c r="P14">
        <v>40</v>
      </c>
      <c r="Q14">
        <v>4</v>
      </c>
      <c r="R14">
        <v>4</v>
      </c>
      <c r="S14" t="s">
        <v>25</v>
      </c>
    </row>
    <row r="15" spans="1:19" x14ac:dyDescent="0.25">
      <c r="A15">
        <v>10014</v>
      </c>
      <c r="B15">
        <v>37</v>
      </c>
      <c r="C15" t="s">
        <v>19</v>
      </c>
      <c r="D15" t="s">
        <v>41</v>
      </c>
      <c r="E15" t="s">
        <v>33</v>
      </c>
      <c r="F15" t="s">
        <v>39</v>
      </c>
      <c r="G15" t="s">
        <v>38</v>
      </c>
      <c r="H15">
        <v>39172</v>
      </c>
      <c r="I15">
        <v>46760</v>
      </c>
      <c r="J15">
        <v>3</v>
      </c>
      <c r="K15">
        <v>0</v>
      </c>
      <c r="L15">
        <v>1</v>
      </c>
      <c r="M15" t="s">
        <v>25</v>
      </c>
      <c r="N15">
        <v>2</v>
      </c>
      <c r="O15">
        <v>8</v>
      </c>
      <c r="P15">
        <v>11</v>
      </c>
      <c r="Q15">
        <v>2</v>
      </c>
      <c r="R15">
        <v>3</v>
      </c>
      <c r="S15" t="s">
        <v>25</v>
      </c>
    </row>
    <row r="16" spans="1:19" x14ac:dyDescent="0.25">
      <c r="A16">
        <v>10015</v>
      </c>
      <c r="B16">
        <v>57</v>
      </c>
      <c r="C16" t="s">
        <v>19</v>
      </c>
      <c r="D16" t="s">
        <v>20</v>
      </c>
      <c r="E16" t="s">
        <v>36</v>
      </c>
      <c r="F16" t="s">
        <v>37</v>
      </c>
      <c r="G16" t="s">
        <v>30</v>
      </c>
      <c r="H16">
        <v>62429</v>
      </c>
      <c r="I16">
        <v>5895</v>
      </c>
      <c r="J16">
        <v>1</v>
      </c>
      <c r="K16">
        <v>4</v>
      </c>
      <c r="L16">
        <v>3</v>
      </c>
      <c r="M16" t="s">
        <v>25</v>
      </c>
      <c r="N16">
        <v>3</v>
      </c>
      <c r="O16">
        <v>5</v>
      </c>
      <c r="P16">
        <v>52</v>
      </c>
      <c r="Q16">
        <v>2</v>
      </c>
      <c r="R16">
        <v>2</v>
      </c>
      <c r="S16" t="s">
        <v>25</v>
      </c>
    </row>
    <row r="17" spans="1:19" x14ac:dyDescent="0.25">
      <c r="A17">
        <v>10016</v>
      </c>
      <c r="B17">
        <v>25</v>
      </c>
      <c r="C17" t="s">
        <v>19</v>
      </c>
      <c r="D17" t="s">
        <v>20</v>
      </c>
      <c r="E17" t="s">
        <v>33</v>
      </c>
      <c r="F17" t="s">
        <v>39</v>
      </c>
      <c r="G17" t="s">
        <v>38</v>
      </c>
      <c r="H17">
        <v>35716</v>
      </c>
      <c r="I17">
        <v>18711</v>
      </c>
      <c r="J17">
        <v>16</v>
      </c>
      <c r="K17">
        <v>13</v>
      </c>
      <c r="L17">
        <v>5</v>
      </c>
      <c r="M17" t="s">
        <v>25</v>
      </c>
      <c r="N17">
        <v>4</v>
      </c>
      <c r="O17">
        <v>21</v>
      </c>
      <c r="P17">
        <v>36</v>
      </c>
      <c r="Q17">
        <v>2</v>
      </c>
      <c r="R17">
        <v>4</v>
      </c>
      <c r="S17" t="s">
        <v>25</v>
      </c>
    </row>
    <row r="18" spans="1:19" x14ac:dyDescent="0.25">
      <c r="A18">
        <v>10017</v>
      </c>
      <c r="B18">
        <v>43</v>
      </c>
      <c r="C18" t="s">
        <v>19</v>
      </c>
      <c r="D18" t="s">
        <v>20</v>
      </c>
      <c r="E18" t="s">
        <v>36</v>
      </c>
      <c r="F18" t="s">
        <v>39</v>
      </c>
      <c r="G18" t="s">
        <v>30</v>
      </c>
      <c r="H18">
        <v>45569</v>
      </c>
      <c r="I18">
        <v>18070</v>
      </c>
      <c r="J18">
        <v>1</v>
      </c>
      <c r="K18">
        <v>14</v>
      </c>
      <c r="L18">
        <v>3</v>
      </c>
      <c r="M18" t="s">
        <v>25</v>
      </c>
      <c r="N18">
        <v>4</v>
      </c>
      <c r="O18">
        <v>33</v>
      </c>
      <c r="P18">
        <v>13</v>
      </c>
      <c r="Q18">
        <v>4</v>
      </c>
      <c r="R18">
        <v>3</v>
      </c>
      <c r="S18" t="s">
        <v>25</v>
      </c>
    </row>
    <row r="19" spans="1:19" x14ac:dyDescent="0.25">
      <c r="A19">
        <v>10018</v>
      </c>
      <c r="B19">
        <v>26</v>
      </c>
      <c r="C19" t="s">
        <v>31</v>
      </c>
      <c r="D19" t="s">
        <v>28</v>
      </c>
      <c r="E19" t="s">
        <v>27</v>
      </c>
      <c r="F19" t="s">
        <v>39</v>
      </c>
      <c r="G19" t="s">
        <v>30</v>
      </c>
      <c r="H19">
        <v>89592</v>
      </c>
      <c r="I19">
        <v>2368</v>
      </c>
      <c r="J19">
        <v>7</v>
      </c>
      <c r="K19">
        <v>13</v>
      </c>
      <c r="L19">
        <v>4</v>
      </c>
      <c r="M19" t="s">
        <v>25</v>
      </c>
      <c r="N19">
        <v>3</v>
      </c>
      <c r="O19">
        <v>28</v>
      </c>
      <c r="P19">
        <v>38</v>
      </c>
      <c r="Q19">
        <v>3</v>
      </c>
      <c r="R19">
        <v>1</v>
      </c>
      <c r="S19" t="s">
        <v>25</v>
      </c>
    </row>
    <row r="20" spans="1:19" x14ac:dyDescent="0.25">
      <c r="A20">
        <v>10019</v>
      </c>
      <c r="B20">
        <v>41</v>
      </c>
      <c r="C20" t="s">
        <v>19</v>
      </c>
      <c r="D20" t="s">
        <v>41</v>
      </c>
      <c r="E20" t="s">
        <v>27</v>
      </c>
      <c r="F20" t="s">
        <v>39</v>
      </c>
      <c r="G20" t="s">
        <v>38</v>
      </c>
      <c r="H20">
        <v>77532</v>
      </c>
      <c r="I20">
        <v>29749</v>
      </c>
      <c r="J20">
        <v>10</v>
      </c>
      <c r="K20">
        <v>11</v>
      </c>
      <c r="L20">
        <v>3</v>
      </c>
      <c r="M20" t="s">
        <v>25</v>
      </c>
      <c r="N20">
        <v>2</v>
      </c>
      <c r="O20">
        <v>5</v>
      </c>
      <c r="P20">
        <v>43</v>
      </c>
      <c r="Q20">
        <v>4</v>
      </c>
      <c r="R20">
        <v>1</v>
      </c>
      <c r="S20" t="s">
        <v>25</v>
      </c>
    </row>
    <row r="21" spans="1:19" x14ac:dyDescent="0.25">
      <c r="A21">
        <v>10020</v>
      </c>
      <c r="B21">
        <v>49</v>
      </c>
      <c r="C21" t="s">
        <v>19</v>
      </c>
      <c r="D21" t="s">
        <v>20</v>
      </c>
      <c r="E21" t="s">
        <v>36</v>
      </c>
      <c r="F21" t="s">
        <v>22</v>
      </c>
      <c r="G21" t="s">
        <v>38</v>
      </c>
      <c r="H21">
        <v>52987</v>
      </c>
      <c r="I21">
        <v>14098</v>
      </c>
      <c r="J21">
        <v>22</v>
      </c>
      <c r="K21">
        <v>9</v>
      </c>
      <c r="L21">
        <v>1</v>
      </c>
      <c r="M21" t="s">
        <v>25</v>
      </c>
      <c r="N21">
        <v>4</v>
      </c>
      <c r="O21">
        <v>9</v>
      </c>
      <c r="P21">
        <v>16</v>
      </c>
      <c r="Q21">
        <v>2</v>
      </c>
      <c r="R21">
        <v>3</v>
      </c>
      <c r="S21" t="s">
        <v>25</v>
      </c>
    </row>
    <row r="22" spans="1:19" x14ac:dyDescent="0.25">
      <c r="A22">
        <v>10021</v>
      </c>
      <c r="B22">
        <v>20</v>
      </c>
      <c r="C22" t="s">
        <v>19</v>
      </c>
      <c r="D22" t="s">
        <v>20</v>
      </c>
      <c r="E22" t="s">
        <v>33</v>
      </c>
      <c r="F22" t="s">
        <v>37</v>
      </c>
      <c r="G22" t="s">
        <v>30</v>
      </c>
      <c r="H22">
        <v>41943</v>
      </c>
      <c r="I22">
        <v>9662</v>
      </c>
      <c r="J22">
        <v>4</v>
      </c>
      <c r="K22">
        <v>5</v>
      </c>
      <c r="L22">
        <v>4</v>
      </c>
      <c r="M22" t="s">
        <v>24</v>
      </c>
      <c r="N22">
        <v>3</v>
      </c>
      <c r="O22">
        <v>37</v>
      </c>
      <c r="P22">
        <v>26</v>
      </c>
      <c r="Q22">
        <v>2</v>
      </c>
      <c r="R22">
        <v>1</v>
      </c>
      <c r="S22" t="s">
        <v>25</v>
      </c>
    </row>
    <row r="23" spans="1:19" x14ac:dyDescent="0.25">
      <c r="A23">
        <v>10022</v>
      </c>
      <c r="B23">
        <v>58</v>
      </c>
      <c r="C23" t="s">
        <v>19</v>
      </c>
      <c r="D23" t="s">
        <v>20</v>
      </c>
      <c r="E23" t="s">
        <v>40</v>
      </c>
      <c r="F23" t="s">
        <v>39</v>
      </c>
      <c r="G23" t="s">
        <v>30</v>
      </c>
      <c r="H23">
        <v>16617</v>
      </c>
      <c r="I23">
        <v>37220</v>
      </c>
      <c r="J23">
        <v>22</v>
      </c>
      <c r="K23">
        <v>9</v>
      </c>
      <c r="L23">
        <v>3</v>
      </c>
      <c r="M23" t="s">
        <v>25</v>
      </c>
      <c r="N23">
        <v>1</v>
      </c>
      <c r="O23">
        <v>31</v>
      </c>
      <c r="P23">
        <v>14</v>
      </c>
      <c r="Q23">
        <v>3</v>
      </c>
      <c r="R23">
        <v>3</v>
      </c>
      <c r="S23" t="s">
        <v>25</v>
      </c>
    </row>
    <row r="24" spans="1:19" x14ac:dyDescent="0.25">
      <c r="A24">
        <v>10023</v>
      </c>
      <c r="B24">
        <v>21</v>
      </c>
      <c r="C24" t="s">
        <v>31</v>
      </c>
      <c r="D24" t="s">
        <v>32</v>
      </c>
      <c r="E24" t="s">
        <v>27</v>
      </c>
      <c r="F24" t="s">
        <v>22</v>
      </c>
      <c r="G24" t="s">
        <v>30</v>
      </c>
      <c r="H24">
        <v>79223</v>
      </c>
      <c r="I24">
        <v>851</v>
      </c>
      <c r="J24">
        <v>23</v>
      </c>
      <c r="K24">
        <v>11</v>
      </c>
      <c r="L24">
        <v>3</v>
      </c>
      <c r="M24" t="s">
        <v>25</v>
      </c>
      <c r="N24">
        <v>3</v>
      </c>
      <c r="O24">
        <v>37</v>
      </c>
      <c r="P24">
        <v>16</v>
      </c>
      <c r="Q24">
        <v>4</v>
      </c>
      <c r="R24">
        <v>2</v>
      </c>
      <c r="S24" t="s">
        <v>25</v>
      </c>
    </row>
    <row r="25" spans="1:19" x14ac:dyDescent="0.25">
      <c r="A25">
        <v>10024</v>
      </c>
      <c r="B25">
        <v>54</v>
      </c>
      <c r="C25" t="s">
        <v>31</v>
      </c>
      <c r="D25" t="s">
        <v>26</v>
      </c>
      <c r="E25" t="s">
        <v>33</v>
      </c>
      <c r="F25" t="s">
        <v>39</v>
      </c>
      <c r="G25" t="s">
        <v>30</v>
      </c>
      <c r="H25">
        <v>30726</v>
      </c>
      <c r="I25">
        <v>23132</v>
      </c>
      <c r="J25">
        <v>9</v>
      </c>
      <c r="K25">
        <v>9</v>
      </c>
      <c r="L25">
        <v>3</v>
      </c>
      <c r="M25" t="s">
        <v>25</v>
      </c>
      <c r="N25">
        <v>2</v>
      </c>
      <c r="O25">
        <v>11</v>
      </c>
      <c r="P25">
        <v>33</v>
      </c>
      <c r="Q25">
        <v>1</v>
      </c>
      <c r="R25">
        <v>1</v>
      </c>
      <c r="S25" t="s">
        <v>24</v>
      </c>
    </row>
    <row r="26" spans="1:19" x14ac:dyDescent="0.25">
      <c r="A26">
        <v>10025</v>
      </c>
      <c r="B26">
        <v>54</v>
      </c>
      <c r="C26" t="s">
        <v>19</v>
      </c>
      <c r="D26" t="s">
        <v>28</v>
      </c>
      <c r="E26" t="s">
        <v>36</v>
      </c>
      <c r="F26" t="s">
        <v>39</v>
      </c>
      <c r="G26" t="s">
        <v>38</v>
      </c>
      <c r="H26">
        <v>47967</v>
      </c>
      <c r="I26">
        <v>34911</v>
      </c>
      <c r="J26">
        <v>23</v>
      </c>
      <c r="K26">
        <v>6</v>
      </c>
      <c r="L26">
        <v>5</v>
      </c>
      <c r="M26" t="s">
        <v>25</v>
      </c>
      <c r="N26">
        <v>3</v>
      </c>
      <c r="O26">
        <v>13</v>
      </c>
      <c r="P26">
        <v>27</v>
      </c>
      <c r="Q26">
        <v>4</v>
      </c>
      <c r="R26">
        <v>3</v>
      </c>
      <c r="S26" t="s">
        <v>25</v>
      </c>
    </row>
    <row r="27" spans="1:19" x14ac:dyDescent="0.25">
      <c r="A27">
        <v>10026</v>
      </c>
      <c r="B27">
        <v>38</v>
      </c>
      <c r="C27" t="s">
        <v>31</v>
      </c>
      <c r="D27" t="s">
        <v>20</v>
      </c>
      <c r="E27" t="s">
        <v>36</v>
      </c>
      <c r="F27" t="s">
        <v>39</v>
      </c>
      <c r="G27" t="s">
        <v>38</v>
      </c>
      <c r="H27">
        <v>62749</v>
      </c>
      <c r="I27">
        <v>7400</v>
      </c>
      <c r="J27">
        <v>18</v>
      </c>
      <c r="K27">
        <v>11</v>
      </c>
      <c r="L27">
        <v>3</v>
      </c>
      <c r="M27" t="s">
        <v>25</v>
      </c>
      <c r="N27">
        <v>3</v>
      </c>
      <c r="O27">
        <v>19</v>
      </c>
      <c r="P27">
        <v>51</v>
      </c>
      <c r="Q27">
        <v>2</v>
      </c>
      <c r="R27">
        <v>1</v>
      </c>
      <c r="S27" t="s">
        <v>25</v>
      </c>
    </row>
    <row r="28" spans="1:19" x14ac:dyDescent="0.25">
      <c r="A28">
        <v>10027</v>
      </c>
      <c r="B28">
        <v>58</v>
      </c>
      <c r="C28" t="s">
        <v>19</v>
      </c>
      <c r="D28" t="s">
        <v>20</v>
      </c>
      <c r="E28" t="s">
        <v>36</v>
      </c>
      <c r="F28" t="s">
        <v>22</v>
      </c>
      <c r="G28" t="s">
        <v>30</v>
      </c>
      <c r="H28">
        <v>65020</v>
      </c>
      <c r="I28">
        <v>11174</v>
      </c>
      <c r="J28">
        <v>13</v>
      </c>
      <c r="K28">
        <v>14</v>
      </c>
      <c r="L28">
        <v>2</v>
      </c>
      <c r="M28" t="s">
        <v>25</v>
      </c>
      <c r="N28">
        <v>3</v>
      </c>
      <c r="O28">
        <v>11</v>
      </c>
      <c r="P28">
        <v>22</v>
      </c>
      <c r="Q28">
        <v>4</v>
      </c>
      <c r="R28">
        <v>4</v>
      </c>
      <c r="S28" t="s">
        <v>25</v>
      </c>
    </row>
    <row r="29" spans="1:19" x14ac:dyDescent="0.25">
      <c r="A29">
        <v>10028</v>
      </c>
      <c r="B29">
        <v>28</v>
      </c>
      <c r="C29" t="s">
        <v>31</v>
      </c>
      <c r="D29" t="s">
        <v>41</v>
      </c>
      <c r="E29" t="s">
        <v>21</v>
      </c>
      <c r="F29" t="s">
        <v>35</v>
      </c>
      <c r="G29" t="s">
        <v>30</v>
      </c>
      <c r="H29">
        <v>111677</v>
      </c>
      <c r="I29">
        <v>17924</v>
      </c>
      <c r="J29">
        <v>4</v>
      </c>
      <c r="K29">
        <v>5</v>
      </c>
      <c r="L29">
        <v>5</v>
      </c>
      <c r="M29" t="s">
        <v>25</v>
      </c>
      <c r="N29">
        <v>3</v>
      </c>
      <c r="O29">
        <v>17</v>
      </c>
      <c r="P29">
        <v>11</v>
      </c>
      <c r="Q29">
        <v>4</v>
      </c>
      <c r="R29">
        <v>4</v>
      </c>
      <c r="S29" t="s">
        <v>25</v>
      </c>
    </row>
    <row r="30" spans="1:19" x14ac:dyDescent="0.25">
      <c r="A30">
        <v>10029</v>
      </c>
      <c r="B30">
        <v>29</v>
      </c>
      <c r="C30" t="s">
        <v>31</v>
      </c>
      <c r="D30" t="s">
        <v>34</v>
      </c>
      <c r="E30" t="s">
        <v>40</v>
      </c>
      <c r="F30" t="s">
        <v>35</v>
      </c>
      <c r="G30" t="s">
        <v>38</v>
      </c>
      <c r="H30">
        <v>15301</v>
      </c>
      <c r="I30">
        <v>44482</v>
      </c>
      <c r="J30">
        <v>12</v>
      </c>
      <c r="K30">
        <v>12</v>
      </c>
      <c r="L30">
        <v>3</v>
      </c>
      <c r="M30" t="s">
        <v>25</v>
      </c>
      <c r="N30">
        <v>4</v>
      </c>
      <c r="O30">
        <v>8</v>
      </c>
      <c r="P30">
        <v>45</v>
      </c>
      <c r="Q30">
        <v>4</v>
      </c>
      <c r="R30">
        <v>3</v>
      </c>
      <c r="S30" t="s">
        <v>25</v>
      </c>
    </row>
    <row r="31" spans="1:19" x14ac:dyDescent="0.25">
      <c r="A31">
        <v>10030</v>
      </c>
      <c r="B31">
        <v>57</v>
      </c>
      <c r="C31" t="s">
        <v>19</v>
      </c>
      <c r="D31" t="s">
        <v>41</v>
      </c>
      <c r="E31" t="s">
        <v>36</v>
      </c>
      <c r="F31" t="s">
        <v>39</v>
      </c>
      <c r="G31" t="s">
        <v>30</v>
      </c>
      <c r="H31">
        <v>68960</v>
      </c>
      <c r="I31">
        <v>45740</v>
      </c>
      <c r="J31">
        <v>12</v>
      </c>
      <c r="K31">
        <v>12</v>
      </c>
      <c r="L31">
        <v>3</v>
      </c>
      <c r="M31" t="s">
        <v>24</v>
      </c>
      <c r="N31">
        <v>4</v>
      </c>
      <c r="O31">
        <v>37</v>
      </c>
      <c r="P31">
        <v>40</v>
      </c>
      <c r="Q31">
        <v>4</v>
      </c>
      <c r="R31">
        <v>3</v>
      </c>
      <c r="S31" t="s">
        <v>25</v>
      </c>
    </row>
    <row r="32" spans="1:19" x14ac:dyDescent="0.25">
      <c r="A32">
        <v>10031</v>
      </c>
      <c r="B32">
        <v>22</v>
      </c>
      <c r="C32" t="s">
        <v>19</v>
      </c>
      <c r="D32" t="s">
        <v>26</v>
      </c>
      <c r="E32" t="s">
        <v>36</v>
      </c>
      <c r="F32" t="s">
        <v>35</v>
      </c>
      <c r="G32" t="s">
        <v>38</v>
      </c>
      <c r="H32">
        <v>64870</v>
      </c>
      <c r="I32">
        <v>13323</v>
      </c>
      <c r="J32">
        <v>9</v>
      </c>
      <c r="K32">
        <v>7</v>
      </c>
      <c r="L32">
        <v>3</v>
      </c>
      <c r="M32" t="s">
        <v>24</v>
      </c>
      <c r="N32">
        <v>3</v>
      </c>
      <c r="O32">
        <v>28</v>
      </c>
      <c r="P32">
        <v>40</v>
      </c>
      <c r="Q32">
        <v>4</v>
      </c>
      <c r="R32">
        <v>3</v>
      </c>
      <c r="S32" t="s">
        <v>25</v>
      </c>
    </row>
    <row r="33" spans="1:19" x14ac:dyDescent="0.25">
      <c r="A33">
        <v>10032</v>
      </c>
      <c r="B33">
        <v>36</v>
      </c>
      <c r="C33" t="s">
        <v>19</v>
      </c>
      <c r="D33" t="s">
        <v>28</v>
      </c>
      <c r="E33" t="s">
        <v>40</v>
      </c>
      <c r="F33" t="s">
        <v>39</v>
      </c>
      <c r="G33" t="s">
        <v>38</v>
      </c>
      <c r="H33">
        <v>13775</v>
      </c>
      <c r="I33">
        <v>35547</v>
      </c>
      <c r="J33">
        <v>15</v>
      </c>
      <c r="K33">
        <v>12</v>
      </c>
      <c r="L33">
        <v>2</v>
      </c>
      <c r="M33" t="s">
        <v>24</v>
      </c>
      <c r="N33">
        <v>4</v>
      </c>
      <c r="O33">
        <v>5</v>
      </c>
      <c r="P33">
        <v>51</v>
      </c>
      <c r="Q33">
        <v>3</v>
      </c>
      <c r="R33">
        <v>4</v>
      </c>
      <c r="S33" t="s">
        <v>25</v>
      </c>
    </row>
    <row r="34" spans="1:19" x14ac:dyDescent="0.25">
      <c r="A34">
        <v>10033</v>
      </c>
      <c r="B34">
        <v>20</v>
      </c>
      <c r="C34" t="s">
        <v>31</v>
      </c>
      <c r="D34" t="s">
        <v>20</v>
      </c>
      <c r="E34" t="s">
        <v>36</v>
      </c>
      <c r="F34" t="s">
        <v>39</v>
      </c>
      <c r="G34" t="s">
        <v>23</v>
      </c>
      <c r="H34">
        <v>46015</v>
      </c>
      <c r="I34">
        <v>23833</v>
      </c>
      <c r="J34">
        <v>24</v>
      </c>
      <c r="K34">
        <v>5</v>
      </c>
      <c r="L34">
        <v>4</v>
      </c>
      <c r="M34" t="s">
        <v>25</v>
      </c>
      <c r="N34">
        <v>1</v>
      </c>
      <c r="O34">
        <v>35</v>
      </c>
      <c r="P34">
        <v>5</v>
      </c>
      <c r="Q34">
        <v>3</v>
      </c>
      <c r="R34">
        <v>1</v>
      </c>
      <c r="S34" t="s">
        <v>25</v>
      </c>
    </row>
    <row r="35" spans="1:19" x14ac:dyDescent="0.25">
      <c r="A35">
        <v>10034</v>
      </c>
      <c r="B35">
        <v>56</v>
      </c>
      <c r="C35" t="s">
        <v>19</v>
      </c>
      <c r="D35" t="s">
        <v>20</v>
      </c>
      <c r="E35" t="s">
        <v>36</v>
      </c>
      <c r="F35" t="s">
        <v>35</v>
      </c>
      <c r="G35" t="s">
        <v>30</v>
      </c>
      <c r="H35">
        <v>60106</v>
      </c>
      <c r="I35">
        <v>13456</v>
      </c>
      <c r="J35">
        <v>20</v>
      </c>
      <c r="K35">
        <v>13</v>
      </c>
      <c r="L35">
        <v>3</v>
      </c>
      <c r="M35" t="s">
        <v>24</v>
      </c>
      <c r="N35">
        <v>2</v>
      </c>
      <c r="O35">
        <v>4</v>
      </c>
      <c r="P35">
        <v>5</v>
      </c>
      <c r="Q35">
        <v>3</v>
      </c>
      <c r="R35">
        <v>3</v>
      </c>
      <c r="S35" t="s">
        <v>25</v>
      </c>
    </row>
    <row r="36" spans="1:19" x14ac:dyDescent="0.25">
      <c r="A36">
        <v>10035</v>
      </c>
      <c r="B36">
        <v>31</v>
      </c>
      <c r="C36" t="s">
        <v>19</v>
      </c>
      <c r="D36" t="s">
        <v>41</v>
      </c>
      <c r="E36" t="s">
        <v>33</v>
      </c>
      <c r="F36" t="s">
        <v>35</v>
      </c>
      <c r="G36" t="s">
        <v>23</v>
      </c>
      <c r="H36">
        <v>35357</v>
      </c>
      <c r="I36">
        <v>24285</v>
      </c>
      <c r="J36">
        <v>24</v>
      </c>
      <c r="K36">
        <v>0</v>
      </c>
      <c r="L36">
        <v>2</v>
      </c>
      <c r="M36" t="s">
        <v>24</v>
      </c>
      <c r="N36">
        <v>4</v>
      </c>
      <c r="O36">
        <v>21</v>
      </c>
      <c r="P36">
        <v>18</v>
      </c>
      <c r="Q36">
        <v>4</v>
      </c>
      <c r="R36">
        <v>3</v>
      </c>
      <c r="S36" t="s">
        <v>25</v>
      </c>
    </row>
    <row r="37" spans="1:19" x14ac:dyDescent="0.25">
      <c r="A37">
        <v>10036</v>
      </c>
      <c r="B37">
        <v>34</v>
      </c>
      <c r="C37" t="s">
        <v>19</v>
      </c>
      <c r="D37" t="s">
        <v>20</v>
      </c>
      <c r="E37" t="s">
        <v>40</v>
      </c>
      <c r="F37" t="s">
        <v>39</v>
      </c>
      <c r="G37" t="s">
        <v>23</v>
      </c>
      <c r="H37">
        <v>16241</v>
      </c>
      <c r="I37">
        <v>17715</v>
      </c>
      <c r="J37">
        <v>24</v>
      </c>
      <c r="K37">
        <v>5</v>
      </c>
      <c r="L37">
        <v>3</v>
      </c>
      <c r="M37" t="s">
        <v>25</v>
      </c>
      <c r="N37">
        <v>2</v>
      </c>
      <c r="O37">
        <v>17</v>
      </c>
      <c r="P37">
        <v>9</v>
      </c>
      <c r="Q37">
        <v>3</v>
      </c>
      <c r="R37">
        <v>3</v>
      </c>
      <c r="S37" t="s">
        <v>25</v>
      </c>
    </row>
    <row r="38" spans="1:19" x14ac:dyDescent="0.25">
      <c r="A38">
        <v>10037</v>
      </c>
      <c r="B38">
        <v>21</v>
      </c>
      <c r="C38" t="s">
        <v>31</v>
      </c>
      <c r="D38" t="s">
        <v>32</v>
      </c>
      <c r="E38" t="s">
        <v>27</v>
      </c>
      <c r="F38" t="s">
        <v>39</v>
      </c>
      <c r="G38" t="s">
        <v>30</v>
      </c>
      <c r="H38">
        <v>64164</v>
      </c>
      <c r="I38">
        <v>12015</v>
      </c>
      <c r="J38">
        <v>10</v>
      </c>
      <c r="K38">
        <v>2</v>
      </c>
      <c r="L38">
        <v>3</v>
      </c>
      <c r="M38" t="s">
        <v>25</v>
      </c>
      <c r="N38">
        <v>2</v>
      </c>
      <c r="O38">
        <v>11</v>
      </c>
      <c r="P38">
        <v>58</v>
      </c>
      <c r="Q38">
        <v>4</v>
      </c>
      <c r="R38">
        <v>3</v>
      </c>
      <c r="S38" t="s">
        <v>24</v>
      </c>
    </row>
    <row r="39" spans="1:19" x14ac:dyDescent="0.25">
      <c r="A39">
        <v>10038</v>
      </c>
      <c r="B39">
        <v>38</v>
      </c>
      <c r="C39" t="s">
        <v>19</v>
      </c>
      <c r="D39" t="s">
        <v>20</v>
      </c>
      <c r="E39" t="s">
        <v>36</v>
      </c>
      <c r="F39" t="s">
        <v>35</v>
      </c>
      <c r="G39" t="s">
        <v>38</v>
      </c>
      <c r="H39">
        <v>45666</v>
      </c>
      <c r="I39">
        <v>37545</v>
      </c>
      <c r="J39">
        <v>21</v>
      </c>
      <c r="K39">
        <v>4</v>
      </c>
      <c r="L39">
        <v>3</v>
      </c>
      <c r="M39" t="s">
        <v>25</v>
      </c>
      <c r="N39">
        <v>3</v>
      </c>
      <c r="O39">
        <v>34</v>
      </c>
      <c r="P39">
        <v>53</v>
      </c>
      <c r="Q39">
        <v>3</v>
      </c>
      <c r="R39">
        <v>3</v>
      </c>
      <c r="S39" t="s">
        <v>25</v>
      </c>
    </row>
    <row r="40" spans="1:19" x14ac:dyDescent="0.25">
      <c r="A40">
        <v>10039</v>
      </c>
      <c r="B40">
        <v>36</v>
      </c>
      <c r="C40" t="s">
        <v>19</v>
      </c>
      <c r="D40" t="s">
        <v>41</v>
      </c>
      <c r="E40" t="s">
        <v>27</v>
      </c>
      <c r="F40" t="s">
        <v>39</v>
      </c>
      <c r="G40" t="s">
        <v>30</v>
      </c>
      <c r="H40">
        <v>70478</v>
      </c>
      <c r="I40">
        <v>14178</v>
      </c>
      <c r="J40">
        <v>19</v>
      </c>
      <c r="K40">
        <v>14</v>
      </c>
      <c r="L40">
        <v>3</v>
      </c>
      <c r="M40" t="s">
        <v>25</v>
      </c>
      <c r="N40">
        <v>2</v>
      </c>
      <c r="O40">
        <v>28</v>
      </c>
      <c r="P40">
        <v>27</v>
      </c>
      <c r="Q40">
        <v>3</v>
      </c>
      <c r="R40">
        <v>3</v>
      </c>
      <c r="S40" t="s">
        <v>25</v>
      </c>
    </row>
    <row r="41" spans="1:19" x14ac:dyDescent="0.25">
      <c r="A41">
        <v>10040</v>
      </c>
      <c r="B41">
        <v>37</v>
      </c>
      <c r="C41" t="s">
        <v>19</v>
      </c>
      <c r="D41" t="s">
        <v>41</v>
      </c>
      <c r="E41" t="s">
        <v>33</v>
      </c>
      <c r="F41" t="s">
        <v>39</v>
      </c>
      <c r="G41" t="s">
        <v>30</v>
      </c>
      <c r="H41">
        <v>30122</v>
      </c>
      <c r="I41">
        <v>35854</v>
      </c>
      <c r="J41">
        <v>24</v>
      </c>
      <c r="K41">
        <v>6</v>
      </c>
      <c r="L41">
        <v>3</v>
      </c>
      <c r="M41" t="s">
        <v>24</v>
      </c>
      <c r="N41">
        <v>1</v>
      </c>
      <c r="O41">
        <v>39</v>
      </c>
      <c r="P41">
        <v>26</v>
      </c>
      <c r="Q41">
        <v>3</v>
      </c>
      <c r="R41">
        <v>2</v>
      </c>
      <c r="S41" t="s">
        <v>24</v>
      </c>
    </row>
    <row r="42" spans="1:19" x14ac:dyDescent="0.25">
      <c r="A42">
        <v>10041</v>
      </c>
      <c r="B42">
        <v>37</v>
      </c>
      <c r="C42" t="s">
        <v>31</v>
      </c>
      <c r="D42" t="s">
        <v>20</v>
      </c>
      <c r="E42" t="s">
        <v>36</v>
      </c>
      <c r="F42" t="s">
        <v>22</v>
      </c>
      <c r="G42" t="s">
        <v>30</v>
      </c>
      <c r="H42">
        <v>53258</v>
      </c>
      <c r="I42">
        <v>14369</v>
      </c>
      <c r="J42">
        <v>14</v>
      </c>
      <c r="K42">
        <v>7</v>
      </c>
      <c r="L42">
        <v>3</v>
      </c>
      <c r="M42" t="s">
        <v>25</v>
      </c>
      <c r="N42">
        <v>3</v>
      </c>
      <c r="O42">
        <v>37</v>
      </c>
      <c r="P42">
        <v>10</v>
      </c>
      <c r="Q42">
        <v>3</v>
      </c>
      <c r="R42">
        <v>4</v>
      </c>
      <c r="S42" t="s">
        <v>25</v>
      </c>
    </row>
    <row r="43" spans="1:19" x14ac:dyDescent="0.25">
      <c r="A43">
        <v>10042</v>
      </c>
      <c r="B43">
        <v>41</v>
      </c>
      <c r="C43" t="s">
        <v>19</v>
      </c>
      <c r="D43" t="s">
        <v>41</v>
      </c>
      <c r="E43" t="s">
        <v>27</v>
      </c>
      <c r="F43" t="s">
        <v>39</v>
      </c>
      <c r="G43" t="s">
        <v>38</v>
      </c>
      <c r="H43">
        <v>88024</v>
      </c>
      <c r="I43">
        <v>6767</v>
      </c>
      <c r="J43">
        <v>3</v>
      </c>
      <c r="K43">
        <v>13</v>
      </c>
      <c r="L43">
        <v>2</v>
      </c>
      <c r="M43" t="s">
        <v>25</v>
      </c>
      <c r="N43">
        <v>2</v>
      </c>
      <c r="O43">
        <v>9</v>
      </c>
      <c r="P43">
        <v>59</v>
      </c>
      <c r="Q43">
        <v>2</v>
      </c>
      <c r="R43">
        <v>1</v>
      </c>
      <c r="S43" t="s">
        <v>25</v>
      </c>
    </row>
    <row r="44" spans="1:19" x14ac:dyDescent="0.25">
      <c r="A44">
        <v>10043</v>
      </c>
      <c r="B44">
        <v>23</v>
      </c>
      <c r="C44" t="s">
        <v>19</v>
      </c>
      <c r="D44" t="s">
        <v>20</v>
      </c>
      <c r="E44" t="s">
        <v>29</v>
      </c>
      <c r="F44" t="s">
        <v>22</v>
      </c>
      <c r="G44" t="s">
        <v>23</v>
      </c>
      <c r="H44">
        <v>161427</v>
      </c>
      <c r="I44">
        <v>46685</v>
      </c>
      <c r="J44">
        <v>23</v>
      </c>
      <c r="K44">
        <v>5</v>
      </c>
      <c r="L44">
        <v>3</v>
      </c>
      <c r="M44" t="s">
        <v>25</v>
      </c>
      <c r="N44">
        <v>3</v>
      </c>
      <c r="O44">
        <v>8</v>
      </c>
      <c r="P44">
        <v>30</v>
      </c>
      <c r="Q44">
        <v>4</v>
      </c>
      <c r="R44">
        <v>2</v>
      </c>
      <c r="S44" t="s">
        <v>25</v>
      </c>
    </row>
    <row r="45" spans="1:19" x14ac:dyDescent="0.25">
      <c r="A45">
        <v>10044</v>
      </c>
      <c r="B45">
        <v>31</v>
      </c>
      <c r="C45" t="s">
        <v>31</v>
      </c>
      <c r="D45" t="s">
        <v>34</v>
      </c>
      <c r="E45" t="s">
        <v>33</v>
      </c>
      <c r="F45" t="s">
        <v>22</v>
      </c>
      <c r="G45" t="s">
        <v>30</v>
      </c>
      <c r="H45">
        <v>41608</v>
      </c>
      <c r="I45">
        <v>45375</v>
      </c>
      <c r="J45">
        <v>5</v>
      </c>
      <c r="K45">
        <v>4</v>
      </c>
      <c r="L45">
        <v>3</v>
      </c>
      <c r="M45" t="s">
        <v>25</v>
      </c>
      <c r="N45">
        <v>3</v>
      </c>
      <c r="O45">
        <v>3</v>
      </c>
      <c r="P45">
        <v>37</v>
      </c>
      <c r="Q45">
        <v>4</v>
      </c>
      <c r="R45">
        <v>2</v>
      </c>
      <c r="S45" t="s">
        <v>25</v>
      </c>
    </row>
    <row r="46" spans="1:19" x14ac:dyDescent="0.25">
      <c r="A46">
        <v>10045</v>
      </c>
      <c r="B46">
        <v>20</v>
      </c>
      <c r="C46" t="s">
        <v>19</v>
      </c>
      <c r="D46" t="s">
        <v>32</v>
      </c>
      <c r="E46" t="s">
        <v>36</v>
      </c>
      <c r="F46" t="s">
        <v>22</v>
      </c>
      <c r="G46" t="s">
        <v>38</v>
      </c>
      <c r="H46">
        <v>50287</v>
      </c>
      <c r="I46">
        <v>27534</v>
      </c>
      <c r="J46">
        <v>23</v>
      </c>
      <c r="K46">
        <v>5</v>
      </c>
      <c r="L46">
        <v>3</v>
      </c>
      <c r="M46" t="s">
        <v>25</v>
      </c>
      <c r="N46">
        <v>4</v>
      </c>
      <c r="O46">
        <v>14</v>
      </c>
      <c r="P46">
        <v>57</v>
      </c>
      <c r="Q46">
        <v>4</v>
      </c>
      <c r="R46">
        <v>3</v>
      </c>
      <c r="S46" t="s">
        <v>25</v>
      </c>
    </row>
    <row r="47" spans="1:19" x14ac:dyDescent="0.25">
      <c r="A47">
        <v>10046</v>
      </c>
      <c r="B47">
        <v>30</v>
      </c>
      <c r="C47" t="s">
        <v>19</v>
      </c>
      <c r="D47" t="s">
        <v>26</v>
      </c>
      <c r="E47" t="s">
        <v>40</v>
      </c>
      <c r="F47" t="s">
        <v>35</v>
      </c>
      <c r="G47" t="s">
        <v>38</v>
      </c>
      <c r="H47">
        <v>15951</v>
      </c>
      <c r="I47">
        <v>23325</v>
      </c>
      <c r="J47">
        <v>2</v>
      </c>
      <c r="K47">
        <v>4</v>
      </c>
      <c r="L47">
        <v>2</v>
      </c>
      <c r="M47" t="s">
        <v>25</v>
      </c>
      <c r="N47">
        <v>3</v>
      </c>
      <c r="O47">
        <v>4</v>
      </c>
      <c r="P47">
        <v>29</v>
      </c>
      <c r="Q47">
        <v>4</v>
      </c>
      <c r="R47">
        <v>4</v>
      </c>
      <c r="S47" t="s">
        <v>25</v>
      </c>
    </row>
    <row r="48" spans="1:19" x14ac:dyDescent="0.25">
      <c r="A48">
        <v>10047</v>
      </c>
      <c r="B48">
        <v>52</v>
      </c>
      <c r="C48" t="s">
        <v>19</v>
      </c>
      <c r="D48" t="s">
        <v>28</v>
      </c>
      <c r="E48" t="s">
        <v>36</v>
      </c>
      <c r="F48" t="s">
        <v>35</v>
      </c>
      <c r="G48" t="s">
        <v>30</v>
      </c>
      <c r="H48">
        <v>56954</v>
      </c>
      <c r="I48">
        <v>19096</v>
      </c>
      <c r="J48">
        <v>16</v>
      </c>
      <c r="K48">
        <v>0</v>
      </c>
      <c r="L48">
        <v>3</v>
      </c>
      <c r="M48" t="s">
        <v>25</v>
      </c>
      <c r="N48">
        <v>1</v>
      </c>
      <c r="O48">
        <v>39</v>
      </c>
      <c r="P48">
        <v>55</v>
      </c>
      <c r="Q48">
        <v>3</v>
      </c>
      <c r="R48">
        <v>3</v>
      </c>
      <c r="S48" t="s">
        <v>25</v>
      </c>
    </row>
    <row r="49" spans="1:19" x14ac:dyDescent="0.25">
      <c r="A49">
        <v>10048</v>
      </c>
      <c r="B49">
        <v>49</v>
      </c>
      <c r="C49" t="s">
        <v>31</v>
      </c>
      <c r="D49" t="s">
        <v>20</v>
      </c>
      <c r="E49" t="s">
        <v>36</v>
      </c>
      <c r="F49" t="s">
        <v>35</v>
      </c>
      <c r="G49" t="s">
        <v>30</v>
      </c>
      <c r="H49">
        <v>67126</v>
      </c>
      <c r="I49">
        <v>10789</v>
      </c>
      <c r="J49">
        <v>24</v>
      </c>
      <c r="K49">
        <v>0</v>
      </c>
      <c r="L49">
        <v>4</v>
      </c>
      <c r="M49" t="s">
        <v>25</v>
      </c>
      <c r="N49">
        <v>2</v>
      </c>
      <c r="O49">
        <v>4</v>
      </c>
      <c r="P49">
        <v>26</v>
      </c>
      <c r="Q49">
        <v>3</v>
      </c>
      <c r="R49">
        <v>3</v>
      </c>
      <c r="S49" t="s">
        <v>25</v>
      </c>
    </row>
    <row r="50" spans="1:19" x14ac:dyDescent="0.25">
      <c r="A50">
        <v>10049</v>
      </c>
      <c r="B50">
        <v>34</v>
      </c>
      <c r="C50" t="s">
        <v>31</v>
      </c>
      <c r="D50" t="s">
        <v>32</v>
      </c>
      <c r="E50" t="s">
        <v>33</v>
      </c>
      <c r="F50" t="s">
        <v>35</v>
      </c>
      <c r="G50" t="s">
        <v>38</v>
      </c>
      <c r="H50">
        <v>31371</v>
      </c>
      <c r="I50">
        <v>14382</v>
      </c>
      <c r="J50">
        <v>3</v>
      </c>
      <c r="K50">
        <v>11</v>
      </c>
      <c r="L50">
        <v>4</v>
      </c>
      <c r="M50" t="s">
        <v>24</v>
      </c>
      <c r="N50">
        <v>3</v>
      </c>
      <c r="O50">
        <v>36</v>
      </c>
      <c r="P50">
        <v>40</v>
      </c>
      <c r="Q50">
        <v>3</v>
      </c>
      <c r="R50">
        <v>3</v>
      </c>
      <c r="S50" t="s">
        <v>25</v>
      </c>
    </row>
    <row r="51" spans="1:19" x14ac:dyDescent="0.25">
      <c r="A51">
        <v>10050</v>
      </c>
      <c r="B51">
        <v>45</v>
      </c>
      <c r="C51" t="s">
        <v>31</v>
      </c>
      <c r="D51" t="s">
        <v>41</v>
      </c>
      <c r="E51" t="s">
        <v>29</v>
      </c>
      <c r="F51" t="s">
        <v>35</v>
      </c>
      <c r="G51" t="s">
        <v>38</v>
      </c>
      <c r="H51">
        <v>164165</v>
      </c>
      <c r="I51">
        <v>10380</v>
      </c>
      <c r="J51">
        <v>7</v>
      </c>
      <c r="K51">
        <v>13</v>
      </c>
      <c r="L51">
        <v>2</v>
      </c>
      <c r="M51" t="s">
        <v>25</v>
      </c>
      <c r="N51">
        <v>4</v>
      </c>
      <c r="O51">
        <v>12</v>
      </c>
      <c r="P51">
        <v>48</v>
      </c>
      <c r="Q51">
        <v>3</v>
      </c>
      <c r="R51">
        <v>3</v>
      </c>
      <c r="S51" t="s">
        <v>25</v>
      </c>
    </row>
    <row r="52" spans="1:19" x14ac:dyDescent="0.25">
      <c r="A52">
        <v>10051</v>
      </c>
      <c r="B52">
        <v>28</v>
      </c>
      <c r="C52" t="s">
        <v>31</v>
      </c>
      <c r="D52" t="s">
        <v>41</v>
      </c>
      <c r="E52" t="s">
        <v>27</v>
      </c>
      <c r="F52" t="s">
        <v>39</v>
      </c>
      <c r="G52" t="s">
        <v>30</v>
      </c>
      <c r="H52">
        <v>68795</v>
      </c>
      <c r="I52">
        <v>44327</v>
      </c>
      <c r="J52">
        <v>8</v>
      </c>
      <c r="K52">
        <v>5</v>
      </c>
      <c r="L52">
        <v>5</v>
      </c>
      <c r="M52" t="s">
        <v>24</v>
      </c>
      <c r="N52">
        <v>1</v>
      </c>
      <c r="O52">
        <v>26</v>
      </c>
      <c r="P52">
        <v>50</v>
      </c>
      <c r="Q52">
        <v>1</v>
      </c>
      <c r="R52">
        <v>2</v>
      </c>
      <c r="S52" t="s">
        <v>24</v>
      </c>
    </row>
    <row r="53" spans="1:19" x14ac:dyDescent="0.25">
      <c r="A53">
        <v>10052</v>
      </c>
      <c r="B53">
        <v>28</v>
      </c>
      <c r="C53" t="s">
        <v>31</v>
      </c>
      <c r="D53" t="s">
        <v>34</v>
      </c>
      <c r="E53" t="s">
        <v>33</v>
      </c>
      <c r="F53" t="s">
        <v>39</v>
      </c>
      <c r="G53" t="s">
        <v>30</v>
      </c>
      <c r="H53">
        <v>27708</v>
      </c>
      <c r="I53">
        <v>32409</v>
      </c>
      <c r="J53">
        <v>8</v>
      </c>
      <c r="K53">
        <v>2</v>
      </c>
      <c r="L53">
        <v>3</v>
      </c>
      <c r="M53" t="s">
        <v>25</v>
      </c>
      <c r="N53">
        <v>4</v>
      </c>
      <c r="O53">
        <v>2</v>
      </c>
      <c r="P53">
        <v>11</v>
      </c>
      <c r="Q53">
        <v>3</v>
      </c>
      <c r="R53">
        <v>2</v>
      </c>
      <c r="S53" t="s">
        <v>25</v>
      </c>
    </row>
    <row r="54" spans="1:19" x14ac:dyDescent="0.25">
      <c r="A54">
        <v>10053</v>
      </c>
      <c r="B54">
        <v>44</v>
      </c>
      <c r="C54" t="s">
        <v>19</v>
      </c>
      <c r="D54" t="s">
        <v>41</v>
      </c>
      <c r="E54" t="s">
        <v>33</v>
      </c>
      <c r="F54" t="s">
        <v>39</v>
      </c>
      <c r="G54" t="s">
        <v>38</v>
      </c>
      <c r="H54">
        <v>38490</v>
      </c>
      <c r="I54">
        <v>22359</v>
      </c>
      <c r="J54">
        <v>0</v>
      </c>
      <c r="K54">
        <v>0</v>
      </c>
      <c r="L54">
        <v>4</v>
      </c>
      <c r="M54" t="s">
        <v>25</v>
      </c>
      <c r="N54">
        <v>2</v>
      </c>
      <c r="O54">
        <v>21</v>
      </c>
      <c r="P54">
        <v>53</v>
      </c>
      <c r="Q54">
        <v>2</v>
      </c>
      <c r="R54">
        <v>2</v>
      </c>
      <c r="S54" t="s">
        <v>25</v>
      </c>
    </row>
    <row r="55" spans="1:19" x14ac:dyDescent="0.25">
      <c r="A55">
        <v>10054</v>
      </c>
      <c r="B55">
        <v>26</v>
      </c>
      <c r="C55" t="s">
        <v>19</v>
      </c>
      <c r="D55" t="s">
        <v>26</v>
      </c>
      <c r="E55" t="s">
        <v>36</v>
      </c>
      <c r="F55" t="s">
        <v>39</v>
      </c>
      <c r="G55" t="s">
        <v>38</v>
      </c>
      <c r="H55">
        <v>54916</v>
      </c>
      <c r="I55">
        <v>26838</v>
      </c>
      <c r="J55">
        <v>18</v>
      </c>
      <c r="K55">
        <v>10</v>
      </c>
      <c r="L55">
        <v>4</v>
      </c>
      <c r="M55" t="s">
        <v>25</v>
      </c>
      <c r="N55">
        <v>2</v>
      </c>
      <c r="O55">
        <v>29</v>
      </c>
      <c r="P55">
        <v>34</v>
      </c>
      <c r="Q55">
        <v>1</v>
      </c>
      <c r="R55">
        <v>4</v>
      </c>
      <c r="S55" t="s">
        <v>24</v>
      </c>
    </row>
    <row r="56" spans="1:19" x14ac:dyDescent="0.25">
      <c r="A56">
        <v>10055</v>
      </c>
      <c r="B56">
        <v>49</v>
      </c>
      <c r="C56" t="s">
        <v>19</v>
      </c>
      <c r="D56" t="s">
        <v>41</v>
      </c>
      <c r="E56" t="s">
        <v>27</v>
      </c>
      <c r="F56" t="s">
        <v>39</v>
      </c>
      <c r="G56" t="s">
        <v>38</v>
      </c>
      <c r="H56">
        <v>66645</v>
      </c>
      <c r="I56">
        <v>12342</v>
      </c>
      <c r="J56">
        <v>6</v>
      </c>
      <c r="K56">
        <v>2</v>
      </c>
      <c r="L56">
        <v>3</v>
      </c>
      <c r="M56" t="s">
        <v>25</v>
      </c>
      <c r="N56">
        <v>3</v>
      </c>
      <c r="O56">
        <v>33</v>
      </c>
      <c r="P56">
        <v>27</v>
      </c>
      <c r="Q56">
        <v>3</v>
      </c>
      <c r="R56">
        <v>4</v>
      </c>
      <c r="S56" t="s">
        <v>25</v>
      </c>
    </row>
    <row r="57" spans="1:19" x14ac:dyDescent="0.25">
      <c r="A57">
        <v>10056</v>
      </c>
      <c r="B57">
        <v>27</v>
      </c>
      <c r="C57" t="s">
        <v>19</v>
      </c>
      <c r="D57" t="s">
        <v>34</v>
      </c>
      <c r="E57" t="s">
        <v>36</v>
      </c>
      <c r="F57" t="s">
        <v>22</v>
      </c>
      <c r="G57" t="s">
        <v>30</v>
      </c>
      <c r="H57">
        <v>67338</v>
      </c>
      <c r="I57">
        <v>6722</v>
      </c>
      <c r="J57">
        <v>18</v>
      </c>
      <c r="K57">
        <v>0</v>
      </c>
      <c r="L57">
        <v>3</v>
      </c>
      <c r="M57" t="s">
        <v>25</v>
      </c>
      <c r="N57">
        <v>4</v>
      </c>
      <c r="O57">
        <v>24</v>
      </c>
      <c r="P57">
        <v>18</v>
      </c>
      <c r="Q57">
        <v>2</v>
      </c>
      <c r="R57">
        <v>3</v>
      </c>
      <c r="S57" t="s">
        <v>25</v>
      </c>
    </row>
    <row r="58" spans="1:19" x14ac:dyDescent="0.25">
      <c r="A58">
        <v>10057</v>
      </c>
      <c r="B58">
        <v>37</v>
      </c>
      <c r="C58" t="s">
        <v>19</v>
      </c>
      <c r="D58" t="s">
        <v>34</v>
      </c>
      <c r="E58" t="s">
        <v>21</v>
      </c>
      <c r="F58" t="s">
        <v>22</v>
      </c>
      <c r="G58" t="s">
        <v>38</v>
      </c>
      <c r="H58">
        <v>111389</v>
      </c>
      <c r="I58">
        <v>2198</v>
      </c>
      <c r="J58">
        <v>20</v>
      </c>
      <c r="K58">
        <v>2</v>
      </c>
      <c r="L58">
        <v>2</v>
      </c>
      <c r="M58" t="s">
        <v>25</v>
      </c>
      <c r="N58">
        <v>3</v>
      </c>
      <c r="O58">
        <v>18</v>
      </c>
      <c r="P58">
        <v>6</v>
      </c>
      <c r="Q58">
        <v>2</v>
      </c>
      <c r="R58">
        <v>4</v>
      </c>
      <c r="S58" t="s">
        <v>25</v>
      </c>
    </row>
    <row r="59" spans="1:19" x14ac:dyDescent="0.25">
      <c r="A59">
        <v>10058</v>
      </c>
      <c r="B59">
        <v>24</v>
      </c>
      <c r="C59" t="s">
        <v>19</v>
      </c>
      <c r="D59" t="s">
        <v>41</v>
      </c>
      <c r="E59" t="s">
        <v>21</v>
      </c>
      <c r="F59" t="s">
        <v>39</v>
      </c>
      <c r="G59" t="s">
        <v>30</v>
      </c>
      <c r="H59">
        <v>101382</v>
      </c>
      <c r="I59">
        <v>45960</v>
      </c>
      <c r="J59">
        <v>1</v>
      </c>
      <c r="K59">
        <v>4</v>
      </c>
      <c r="L59">
        <v>3</v>
      </c>
      <c r="M59" t="s">
        <v>25</v>
      </c>
      <c r="N59">
        <v>4</v>
      </c>
      <c r="O59">
        <v>24</v>
      </c>
      <c r="P59">
        <v>21</v>
      </c>
      <c r="Q59">
        <v>2</v>
      </c>
      <c r="R59">
        <v>4</v>
      </c>
      <c r="S59" t="s">
        <v>25</v>
      </c>
    </row>
    <row r="60" spans="1:19" x14ac:dyDescent="0.25">
      <c r="A60">
        <v>10059</v>
      </c>
      <c r="B60">
        <v>28</v>
      </c>
      <c r="C60" t="s">
        <v>31</v>
      </c>
      <c r="D60" t="s">
        <v>32</v>
      </c>
      <c r="E60" t="s">
        <v>27</v>
      </c>
      <c r="F60" t="s">
        <v>39</v>
      </c>
      <c r="G60" t="s">
        <v>30</v>
      </c>
      <c r="H60">
        <v>63186</v>
      </c>
      <c r="I60">
        <v>23752</v>
      </c>
      <c r="J60">
        <v>21</v>
      </c>
      <c r="K60">
        <v>5</v>
      </c>
      <c r="L60">
        <v>4</v>
      </c>
      <c r="M60" t="s">
        <v>25</v>
      </c>
      <c r="N60">
        <v>3</v>
      </c>
      <c r="O60">
        <v>34</v>
      </c>
      <c r="P60">
        <v>27</v>
      </c>
      <c r="Q60">
        <v>3</v>
      </c>
      <c r="R60">
        <v>3</v>
      </c>
      <c r="S60" t="s">
        <v>25</v>
      </c>
    </row>
    <row r="61" spans="1:19" x14ac:dyDescent="0.25">
      <c r="A61">
        <v>10060</v>
      </c>
      <c r="B61">
        <v>44</v>
      </c>
      <c r="C61" t="s">
        <v>19</v>
      </c>
      <c r="D61" t="s">
        <v>34</v>
      </c>
      <c r="E61" t="s">
        <v>21</v>
      </c>
      <c r="F61" t="s">
        <v>39</v>
      </c>
      <c r="G61" t="s">
        <v>30</v>
      </c>
      <c r="H61">
        <v>116657</v>
      </c>
      <c r="I61">
        <v>48756</v>
      </c>
      <c r="J61">
        <v>9</v>
      </c>
      <c r="K61">
        <v>5</v>
      </c>
      <c r="L61">
        <v>2</v>
      </c>
      <c r="M61" t="s">
        <v>25</v>
      </c>
      <c r="N61">
        <v>4</v>
      </c>
      <c r="O61">
        <v>34</v>
      </c>
      <c r="P61">
        <v>16</v>
      </c>
      <c r="Q61">
        <v>3</v>
      </c>
      <c r="R61">
        <v>3</v>
      </c>
      <c r="S61" t="s">
        <v>25</v>
      </c>
    </row>
    <row r="62" spans="1:19" x14ac:dyDescent="0.25">
      <c r="A62">
        <v>10061</v>
      </c>
      <c r="B62">
        <v>21</v>
      </c>
      <c r="C62" t="s">
        <v>19</v>
      </c>
      <c r="D62" t="s">
        <v>32</v>
      </c>
      <c r="E62" t="s">
        <v>21</v>
      </c>
      <c r="F62" t="s">
        <v>22</v>
      </c>
      <c r="G62" t="s">
        <v>30</v>
      </c>
      <c r="H62">
        <v>119373</v>
      </c>
      <c r="I62">
        <v>19250</v>
      </c>
      <c r="J62">
        <v>20</v>
      </c>
      <c r="K62">
        <v>3</v>
      </c>
      <c r="L62">
        <v>4</v>
      </c>
      <c r="M62" t="s">
        <v>24</v>
      </c>
      <c r="N62">
        <v>4</v>
      </c>
      <c r="O62">
        <v>11</v>
      </c>
      <c r="P62">
        <v>40</v>
      </c>
      <c r="Q62">
        <v>3</v>
      </c>
      <c r="R62">
        <v>3</v>
      </c>
      <c r="S62" t="s">
        <v>25</v>
      </c>
    </row>
    <row r="63" spans="1:19" x14ac:dyDescent="0.25">
      <c r="A63">
        <v>10062</v>
      </c>
      <c r="B63">
        <v>52</v>
      </c>
      <c r="C63" t="s">
        <v>19</v>
      </c>
      <c r="D63" t="s">
        <v>20</v>
      </c>
      <c r="E63" t="s">
        <v>36</v>
      </c>
      <c r="F63" t="s">
        <v>39</v>
      </c>
      <c r="G63" t="s">
        <v>30</v>
      </c>
      <c r="H63">
        <v>49853</v>
      </c>
      <c r="I63">
        <v>48594</v>
      </c>
      <c r="J63">
        <v>2</v>
      </c>
      <c r="K63">
        <v>3</v>
      </c>
      <c r="L63">
        <v>2</v>
      </c>
      <c r="M63" t="s">
        <v>25</v>
      </c>
      <c r="N63">
        <v>3</v>
      </c>
      <c r="O63">
        <v>34</v>
      </c>
      <c r="P63">
        <v>13</v>
      </c>
      <c r="Q63">
        <v>2</v>
      </c>
      <c r="R63">
        <v>3</v>
      </c>
      <c r="S63" t="s">
        <v>25</v>
      </c>
    </row>
    <row r="64" spans="1:19" x14ac:dyDescent="0.25">
      <c r="A64">
        <v>10063</v>
      </c>
      <c r="B64">
        <v>44</v>
      </c>
      <c r="C64" t="s">
        <v>19</v>
      </c>
      <c r="D64" t="s">
        <v>20</v>
      </c>
      <c r="E64" t="s">
        <v>27</v>
      </c>
      <c r="F64" t="s">
        <v>39</v>
      </c>
      <c r="G64" t="s">
        <v>30</v>
      </c>
      <c r="H64">
        <v>69130</v>
      </c>
      <c r="I64">
        <v>34020</v>
      </c>
      <c r="J64">
        <v>11</v>
      </c>
      <c r="K64">
        <v>11</v>
      </c>
      <c r="L64">
        <v>5</v>
      </c>
      <c r="M64" t="s">
        <v>24</v>
      </c>
      <c r="N64">
        <v>2</v>
      </c>
      <c r="O64">
        <v>37</v>
      </c>
      <c r="P64">
        <v>48</v>
      </c>
      <c r="Q64">
        <v>3</v>
      </c>
      <c r="R64">
        <v>4</v>
      </c>
      <c r="S64" t="s">
        <v>25</v>
      </c>
    </row>
    <row r="65" spans="1:19" x14ac:dyDescent="0.25">
      <c r="A65">
        <v>10064</v>
      </c>
      <c r="B65">
        <v>43</v>
      </c>
      <c r="C65" t="s">
        <v>31</v>
      </c>
      <c r="D65" t="s">
        <v>26</v>
      </c>
      <c r="E65" t="s">
        <v>27</v>
      </c>
      <c r="F65" t="s">
        <v>35</v>
      </c>
      <c r="G65" t="s">
        <v>30</v>
      </c>
      <c r="H65">
        <v>80491</v>
      </c>
      <c r="I65">
        <v>11344</v>
      </c>
      <c r="J65">
        <v>22</v>
      </c>
      <c r="K65">
        <v>4</v>
      </c>
      <c r="L65">
        <v>3</v>
      </c>
      <c r="M65" t="s">
        <v>25</v>
      </c>
      <c r="N65">
        <v>2</v>
      </c>
      <c r="O65">
        <v>25</v>
      </c>
      <c r="P65">
        <v>16</v>
      </c>
      <c r="Q65">
        <v>3</v>
      </c>
      <c r="R65">
        <v>2</v>
      </c>
      <c r="S65" t="s">
        <v>25</v>
      </c>
    </row>
    <row r="66" spans="1:19" x14ac:dyDescent="0.25">
      <c r="A66">
        <v>10065</v>
      </c>
      <c r="B66">
        <v>45</v>
      </c>
      <c r="C66" t="s">
        <v>31</v>
      </c>
      <c r="D66" t="s">
        <v>26</v>
      </c>
      <c r="E66" t="s">
        <v>40</v>
      </c>
      <c r="F66" t="s">
        <v>39</v>
      </c>
      <c r="G66" t="s">
        <v>23</v>
      </c>
      <c r="H66">
        <v>14806</v>
      </c>
      <c r="I66">
        <v>44813</v>
      </c>
      <c r="J66">
        <v>14</v>
      </c>
      <c r="K66">
        <v>4</v>
      </c>
      <c r="L66">
        <v>4</v>
      </c>
      <c r="M66" t="s">
        <v>24</v>
      </c>
      <c r="N66">
        <v>2</v>
      </c>
      <c r="O66">
        <v>23</v>
      </c>
      <c r="P66">
        <v>33</v>
      </c>
      <c r="Q66">
        <v>4</v>
      </c>
      <c r="R66">
        <v>3</v>
      </c>
      <c r="S66" t="s">
        <v>25</v>
      </c>
    </row>
    <row r="67" spans="1:19" x14ac:dyDescent="0.25">
      <c r="A67">
        <v>10066</v>
      </c>
      <c r="B67">
        <v>53</v>
      </c>
      <c r="C67" t="s">
        <v>19</v>
      </c>
      <c r="D67" t="s">
        <v>34</v>
      </c>
      <c r="E67" t="s">
        <v>33</v>
      </c>
      <c r="F67" t="s">
        <v>35</v>
      </c>
      <c r="G67" t="s">
        <v>30</v>
      </c>
      <c r="H67">
        <v>34374</v>
      </c>
      <c r="I67">
        <v>31705</v>
      </c>
      <c r="J67">
        <v>22</v>
      </c>
      <c r="K67">
        <v>6</v>
      </c>
      <c r="L67">
        <v>2</v>
      </c>
      <c r="M67" t="s">
        <v>25</v>
      </c>
      <c r="N67">
        <v>3</v>
      </c>
      <c r="O67">
        <v>29</v>
      </c>
      <c r="P67">
        <v>26</v>
      </c>
      <c r="Q67">
        <v>3</v>
      </c>
      <c r="R67">
        <v>2</v>
      </c>
      <c r="S67" t="s">
        <v>25</v>
      </c>
    </row>
    <row r="68" spans="1:19" x14ac:dyDescent="0.25">
      <c r="A68">
        <v>10067</v>
      </c>
      <c r="B68">
        <v>53</v>
      </c>
      <c r="C68" t="s">
        <v>31</v>
      </c>
      <c r="D68" t="s">
        <v>41</v>
      </c>
      <c r="E68" t="s">
        <v>27</v>
      </c>
      <c r="F68" t="s">
        <v>22</v>
      </c>
      <c r="G68" t="s">
        <v>30</v>
      </c>
      <c r="H68">
        <v>68502</v>
      </c>
      <c r="I68">
        <v>27788</v>
      </c>
      <c r="J68">
        <v>17</v>
      </c>
      <c r="K68">
        <v>2</v>
      </c>
      <c r="L68">
        <v>2</v>
      </c>
      <c r="M68" t="s">
        <v>24</v>
      </c>
      <c r="N68">
        <v>1</v>
      </c>
      <c r="O68">
        <v>29</v>
      </c>
      <c r="P68">
        <v>57</v>
      </c>
      <c r="Q68">
        <v>3</v>
      </c>
      <c r="R68">
        <v>3</v>
      </c>
      <c r="S68" t="s">
        <v>25</v>
      </c>
    </row>
    <row r="69" spans="1:19" x14ac:dyDescent="0.25">
      <c r="A69">
        <v>10068</v>
      </c>
      <c r="B69">
        <v>24</v>
      </c>
      <c r="C69" t="s">
        <v>19</v>
      </c>
      <c r="D69" t="s">
        <v>41</v>
      </c>
      <c r="E69" t="s">
        <v>36</v>
      </c>
      <c r="F69" t="s">
        <v>35</v>
      </c>
      <c r="G69" t="s">
        <v>38</v>
      </c>
      <c r="H69">
        <v>69574</v>
      </c>
      <c r="I69">
        <v>44460</v>
      </c>
      <c r="J69">
        <v>13</v>
      </c>
      <c r="K69">
        <v>7</v>
      </c>
      <c r="L69">
        <v>3</v>
      </c>
      <c r="M69" t="s">
        <v>25</v>
      </c>
      <c r="N69">
        <v>1</v>
      </c>
      <c r="O69">
        <v>25</v>
      </c>
      <c r="P69">
        <v>52</v>
      </c>
      <c r="Q69">
        <v>2</v>
      </c>
      <c r="R69">
        <v>1</v>
      </c>
      <c r="S69" t="s">
        <v>24</v>
      </c>
    </row>
    <row r="70" spans="1:19" x14ac:dyDescent="0.25">
      <c r="A70">
        <v>10069</v>
      </c>
      <c r="B70">
        <v>56</v>
      </c>
      <c r="C70" t="s">
        <v>19</v>
      </c>
      <c r="D70" t="s">
        <v>26</v>
      </c>
      <c r="E70" t="s">
        <v>36</v>
      </c>
      <c r="F70" t="s">
        <v>22</v>
      </c>
      <c r="G70" t="s">
        <v>38</v>
      </c>
      <c r="H70">
        <v>55426</v>
      </c>
      <c r="I70">
        <v>40970</v>
      </c>
      <c r="J70">
        <v>12</v>
      </c>
      <c r="K70">
        <v>1</v>
      </c>
      <c r="L70">
        <v>2</v>
      </c>
      <c r="M70" t="s">
        <v>25</v>
      </c>
      <c r="N70">
        <v>2</v>
      </c>
      <c r="O70">
        <v>20</v>
      </c>
      <c r="P70">
        <v>33</v>
      </c>
      <c r="Q70">
        <v>4</v>
      </c>
      <c r="R70">
        <v>3</v>
      </c>
      <c r="S70" t="s">
        <v>25</v>
      </c>
    </row>
    <row r="71" spans="1:19" x14ac:dyDescent="0.25">
      <c r="A71">
        <v>10070</v>
      </c>
      <c r="B71">
        <v>22</v>
      </c>
      <c r="C71" t="s">
        <v>19</v>
      </c>
      <c r="D71" t="s">
        <v>41</v>
      </c>
      <c r="E71" t="s">
        <v>33</v>
      </c>
      <c r="F71" t="s">
        <v>35</v>
      </c>
      <c r="G71" t="s">
        <v>30</v>
      </c>
      <c r="H71">
        <v>43649</v>
      </c>
      <c r="I71">
        <v>8245</v>
      </c>
      <c r="J71">
        <v>14</v>
      </c>
      <c r="K71">
        <v>6</v>
      </c>
      <c r="L71">
        <v>4</v>
      </c>
      <c r="M71" t="s">
        <v>25</v>
      </c>
      <c r="N71">
        <v>4</v>
      </c>
      <c r="O71">
        <v>35</v>
      </c>
      <c r="P71">
        <v>54</v>
      </c>
      <c r="Q71">
        <v>1</v>
      </c>
      <c r="R71">
        <v>3</v>
      </c>
      <c r="S71" t="s">
        <v>24</v>
      </c>
    </row>
    <row r="72" spans="1:19" x14ac:dyDescent="0.25">
      <c r="A72">
        <v>10071</v>
      </c>
      <c r="B72">
        <v>28</v>
      </c>
      <c r="C72" t="s">
        <v>31</v>
      </c>
      <c r="D72" t="s">
        <v>26</v>
      </c>
      <c r="E72" t="s">
        <v>36</v>
      </c>
      <c r="F72" t="s">
        <v>35</v>
      </c>
      <c r="G72" t="s">
        <v>30</v>
      </c>
      <c r="H72">
        <v>45892</v>
      </c>
      <c r="I72">
        <v>17674</v>
      </c>
      <c r="J72">
        <v>8</v>
      </c>
      <c r="K72">
        <v>7</v>
      </c>
      <c r="L72">
        <v>3</v>
      </c>
      <c r="M72" t="s">
        <v>24</v>
      </c>
      <c r="N72">
        <v>4</v>
      </c>
      <c r="O72">
        <v>25</v>
      </c>
      <c r="P72">
        <v>38</v>
      </c>
      <c r="Q72">
        <v>3</v>
      </c>
      <c r="R72">
        <v>4</v>
      </c>
      <c r="S72" t="s">
        <v>25</v>
      </c>
    </row>
    <row r="73" spans="1:19" x14ac:dyDescent="0.25">
      <c r="A73">
        <v>10072</v>
      </c>
      <c r="B73">
        <v>27</v>
      </c>
      <c r="C73" t="s">
        <v>19</v>
      </c>
      <c r="D73" t="s">
        <v>34</v>
      </c>
      <c r="E73" t="s">
        <v>36</v>
      </c>
      <c r="F73" t="s">
        <v>39</v>
      </c>
      <c r="G73" t="s">
        <v>38</v>
      </c>
      <c r="H73">
        <v>52291</v>
      </c>
      <c r="I73">
        <v>41873</v>
      </c>
      <c r="J73">
        <v>5</v>
      </c>
      <c r="K73">
        <v>4</v>
      </c>
      <c r="L73">
        <v>3</v>
      </c>
      <c r="M73" t="s">
        <v>25</v>
      </c>
      <c r="N73">
        <v>1</v>
      </c>
      <c r="O73">
        <v>17</v>
      </c>
      <c r="P73">
        <v>54</v>
      </c>
      <c r="Q73">
        <v>1</v>
      </c>
      <c r="R73">
        <v>3</v>
      </c>
      <c r="S73" t="s">
        <v>24</v>
      </c>
    </row>
    <row r="74" spans="1:19" x14ac:dyDescent="0.25">
      <c r="A74">
        <v>10073</v>
      </c>
      <c r="B74">
        <v>32</v>
      </c>
      <c r="C74" t="s">
        <v>19</v>
      </c>
      <c r="D74" t="s">
        <v>32</v>
      </c>
      <c r="E74" t="s">
        <v>21</v>
      </c>
      <c r="F74" t="s">
        <v>39</v>
      </c>
      <c r="G74" t="s">
        <v>30</v>
      </c>
      <c r="H74">
        <v>120561</v>
      </c>
      <c r="I74">
        <v>7314</v>
      </c>
      <c r="J74">
        <v>15</v>
      </c>
      <c r="K74">
        <v>7</v>
      </c>
      <c r="L74">
        <v>3</v>
      </c>
      <c r="M74" t="s">
        <v>24</v>
      </c>
      <c r="N74">
        <v>2</v>
      </c>
      <c r="O74">
        <v>13</v>
      </c>
      <c r="P74">
        <v>47</v>
      </c>
      <c r="Q74">
        <v>3</v>
      </c>
      <c r="R74">
        <v>2</v>
      </c>
      <c r="S74" t="s">
        <v>25</v>
      </c>
    </row>
    <row r="75" spans="1:19" x14ac:dyDescent="0.25">
      <c r="A75">
        <v>10074</v>
      </c>
      <c r="B75">
        <v>50</v>
      </c>
      <c r="C75" t="s">
        <v>19</v>
      </c>
      <c r="D75" t="s">
        <v>26</v>
      </c>
      <c r="E75" t="s">
        <v>27</v>
      </c>
      <c r="F75" t="s">
        <v>35</v>
      </c>
      <c r="G75" t="s">
        <v>38</v>
      </c>
      <c r="H75">
        <v>76106</v>
      </c>
      <c r="I75">
        <v>22890</v>
      </c>
      <c r="J75">
        <v>20</v>
      </c>
      <c r="K75">
        <v>13</v>
      </c>
      <c r="L75">
        <v>5</v>
      </c>
      <c r="M75" t="s">
        <v>24</v>
      </c>
      <c r="N75">
        <v>3</v>
      </c>
      <c r="O75">
        <v>13</v>
      </c>
      <c r="P75">
        <v>33</v>
      </c>
      <c r="Q75">
        <v>4</v>
      </c>
      <c r="R75">
        <v>2</v>
      </c>
      <c r="S75" t="s">
        <v>25</v>
      </c>
    </row>
    <row r="76" spans="1:19" x14ac:dyDescent="0.25">
      <c r="A76">
        <v>10075</v>
      </c>
      <c r="B76">
        <v>43</v>
      </c>
      <c r="C76" t="s">
        <v>19</v>
      </c>
      <c r="D76" t="s">
        <v>20</v>
      </c>
      <c r="E76" t="s">
        <v>33</v>
      </c>
      <c r="F76" t="s">
        <v>35</v>
      </c>
      <c r="G76" t="s">
        <v>38</v>
      </c>
      <c r="H76">
        <v>32009</v>
      </c>
      <c r="I76">
        <v>10706</v>
      </c>
      <c r="J76">
        <v>6</v>
      </c>
      <c r="K76">
        <v>9</v>
      </c>
      <c r="L76">
        <v>3</v>
      </c>
      <c r="M76" t="s">
        <v>25</v>
      </c>
      <c r="N76">
        <v>3</v>
      </c>
      <c r="O76">
        <v>15</v>
      </c>
      <c r="P76">
        <v>34</v>
      </c>
      <c r="Q76">
        <v>3</v>
      </c>
      <c r="R76">
        <v>3</v>
      </c>
      <c r="S76" t="s">
        <v>25</v>
      </c>
    </row>
    <row r="77" spans="1:19" x14ac:dyDescent="0.25">
      <c r="A77">
        <v>10076</v>
      </c>
      <c r="B77">
        <v>41</v>
      </c>
      <c r="C77" t="s">
        <v>31</v>
      </c>
      <c r="D77" t="s">
        <v>34</v>
      </c>
      <c r="E77" t="s">
        <v>27</v>
      </c>
      <c r="F77" t="s">
        <v>35</v>
      </c>
      <c r="G77" t="s">
        <v>30</v>
      </c>
      <c r="H77">
        <v>74527</v>
      </c>
      <c r="I77">
        <v>20953</v>
      </c>
      <c r="J77">
        <v>23</v>
      </c>
      <c r="K77">
        <v>10</v>
      </c>
      <c r="L77">
        <v>4</v>
      </c>
      <c r="M77" t="s">
        <v>25</v>
      </c>
      <c r="N77">
        <v>3</v>
      </c>
      <c r="O77">
        <v>12</v>
      </c>
      <c r="P77">
        <v>40</v>
      </c>
      <c r="Q77">
        <v>4</v>
      </c>
      <c r="R77">
        <v>3</v>
      </c>
      <c r="S77" t="s">
        <v>25</v>
      </c>
    </row>
    <row r="78" spans="1:19" x14ac:dyDescent="0.25">
      <c r="A78">
        <v>10077</v>
      </c>
      <c r="B78">
        <v>23</v>
      </c>
      <c r="C78" t="s">
        <v>19</v>
      </c>
      <c r="D78" t="s">
        <v>41</v>
      </c>
      <c r="E78" t="s">
        <v>40</v>
      </c>
      <c r="F78" t="s">
        <v>39</v>
      </c>
      <c r="G78" t="s">
        <v>30</v>
      </c>
      <c r="H78">
        <v>19645</v>
      </c>
      <c r="I78">
        <v>16422</v>
      </c>
      <c r="J78">
        <v>14</v>
      </c>
      <c r="K78">
        <v>6</v>
      </c>
      <c r="L78">
        <v>4</v>
      </c>
      <c r="M78" t="s">
        <v>25</v>
      </c>
      <c r="N78">
        <v>4</v>
      </c>
      <c r="O78">
        <v>14</v>
      </c>
      <c r="P78">
        <v>24</v>
      </c>
      <c r="Q78">
        <v>3</v>
      </c>
      <c r="R78">
        <v>3</v>
      </c>
      <c r="S78" t="s">
        <v>25</v>
      </c>
    </row>
    <row r="79" spans="1:19" x14ac:dyDescent="0.25">
      <c r="A79">
        <v>10078</v>
      </c>
      <c r="B79">
        <v>39</v>
      </c>
      <c r="C79" t="s">
        <v>31</v>
      </c>
      <c r="D79" t="s">
        <v>20</v>
      </c>
      <c r="E79" t="s">
        <v>33</v>
      </c>
      <c r="F79" t="s">
        <v>39</v>
      </c>
      <c r="G79" t="s">
        <v>38</v>
      </c>
      <c r="H79">
        <v>31446</v>
      </c>
      <c r="I79">
        <v>5626</v>
      </c>
      <c r="J79">
        <v>0</v>
      </c>
      <c r="K79">
        <v>9</v>
      </c>
      <c r="L79">
        <v>4</v>
      </c>
      <c r="M79" t="s">
        <v>24</v>
      </c>
      <c r="N79">
        <v>2</v>
      </c>
      <c r="O79">
        <v>25</v>
      </c>
      <c r="P79">
        <v>28</v>
      </c>
      <c r="Q79">
        <v>3</v>
      </c>
      <c r="R79">
        <v>2</v>
      </c>
      <c r="S79" t="s">
        <v>25</v>
      </c>
    </row>
    <row r="80" spans="1:19" x14ac:dyDescent="0.25">
      <c r="A80">
        <v>10079</v>
      </c>
      <c r="B80">
        <v>27</v>
      </c>
      <c r="C80" t="s">
        <v>19</v>
      </c>
      <c r="D80" t="s">
        <v>34</v>
      </c>
      <c r="E80" t="s">
        <v>29</v>
      </c>
      <c r="F80" t="s">
        <v>35</v>
      </c>
      <c r="G80" t="s">
        <v>30</v>
      </c>
      <c r="H80">
        <v>125776</v>
      </c>
      <c r="I80">
        <v>30707</v>
      </c>
      <c r="J80">
        <v>6</v>
      </c>
      <c r="K80">
        <v>2</v>
      </c>
      <c r="L80">
        <v>4</v>
      </c>
      <c r="M80" t="s">
        <v>25</v>
      </c>
      <c r="N80">
        <v>4</v>
      </c>
      <c r="O80">
        <v>3</v>
      </c>
      <c r="P80">
        <v>24</v>
      </c>
      <c r="Q80">
        <v>1</v>
      </c>
      <c r="R80">
        <v>3</v>
      </c>
      <c r="S80" t="s">
        <v>25</v>
      </c>
    </row>
    <row r="81" spans="1:19" x14ac:dyDescent="0.25">
      <c r="A81">
        <v>10080</v>
      </c>
      <c r="B81">
        <v>41</v>
      </c>
      <c r="C81" t="s">
        <v>19</v>
      </c>
      <c r="D81" t="s">
        <v>32</v>
      </c>
      <c r="E81" t="s">
        <v>33</v>
      </c>
      <c r="F81" t="s">
        <v>39</v>
      </c>
      <c r="G81" t="s">
        <v>38</v>
      </c>
      <c r="H81">
        <v>26763</v>
      </c>
      <c r="I81">
        <v>16967</v>
      </c>
      <c r="J81">
        <v>10</v>
      </c>
      <c r="K81">
        <v>12</v>
      </c>
      <c r="L81">
        <v>2</v>
      </c>
      <c r="M81" t="s">
        <v>25</v>
      </c>
      <c r="N81">
        <v>3</v>
      </c>
      <c r="O81">
        <v>18</v>
      </c>
      <c r="P81">
        <v>50</v>
      </c>
      <c r="Q81">
        <v>3</v>
      </c>
      <c r="R81">
        <v>4</v>
      </c>
      <c r="S81" t="s">
        <v>25</v>
      </c>
    </row>
    <row r="82" spans="1:19" x14ac:dyDescent="0.25">
      <c r="A82">
        <v>10081</v>
      </c>
      <c r="B82">
        <v>41</v>
      </c>
      <c r="C82" t="s">
        <v>31</v>
      </c>
      <c r="D82" t="s">
        <v>41</v>
      </c>
      <c r="E82" t="s">
        <v>27</v>
      </c>
      <c r="F82" t="s">
        <v>35</v>
      </c>
      <c r="G82" t="s">
        <v>38</v>
      </c>
      <c r="H82">
        <v>79880</v>
      </c>
      <c r="I82">
        <v>39499</v>
      </c>
      <c r="J82">
        <v>24</v>
      </c>
      <c r="K82">
        <v>13</v>
      </c>
      <c r="L82">
        <v>2</v>
      </c>
      <c r="M82" t="s">
        <v>25</v>
      </c>
      <c r="N82">
        <v>3</v>
      </c>
      <c r="O82">
        <v>20</v>
      </c>
      <c r="P82">
        <v>37</v>
      </c>
      <c r="Q82">
        <v>1</v>
      </c>
      <c r="R82">
        <v>3</v>
      </c>
      <c r="S82" t="s">
        <v>25</v>
      </c>
    </row>
    <row r="83" spans="1:19" x14ac:dyDescent="0.25">
      <c r="A83">
        <v>10082</v>
      </c>
      <c r="B83">
        <v>32</v>
      </c>
      <c r="C83" t="s">
        <v>19</v>
      </c>
      <c r="D83" t="s">
        <v>20</v>
      </c>
      <c r="E83" t="s">
        <v>36</v>
      </c>
      <c r="F83" t="s">
        <v>22</v>
      </c>
      <c r="G83" t="s">
        <v>38</v>
      </c>
      <c r="H83">
        <v>57236</v>
      </c>
      <c r="I83">
        <v>43201</v>
      </c>
      <c r="J83">
        <v>5</v>
      </c>
      <c r="K83">
        <v>6</v>
      </c>
      <c r="L83">
        <v>3</v>
      </c>
      <c r="M83" t="s">
        <v>25</v>
      </c>
      <c r="N83">
        <v>3</v>
      </c>
      <c r="O83">
        <v>11</v>
      </c>
      <c r="P83">
        <v>7</v>
      </c>
      <c r="Q83">
        <v>1</v>
      </c>
      <c r="R83">
        <v>4</v>
      </c>
      <c r="S83" t="s">
        <v>24</v>
      </c>
    </row>
    <row r="84" spans="1:19" x14ac:dyDescent="0.25">
      <c r="A84">
        <v>10083</v>
      </c>
      <c r="B84">
        <v>47</v>
      </c>
      <c r="C84" t="s">
        <v>19</v>
      </c>
      <c r="D84" t="s">
        <v>41</v>
      </c>
      <c r="E84" t="s">
        <v>27</v>
      </c>
      <c r="F84" t="s">
        <v>35</v>
      </c>
      <c r="G84" t="s">
        <v>38</v>
      </c>
      <c r="H84">
        <v>85291</v>
      </c>
      <c r="I84">
        <v>24826</v>
      </c>
      <c r="J84">
        <v>6</v>
      </c>
      <c r="K84">
        <v>10</v>
      </c>
      <c r="L84">
        <v>4</v>
      </c>
      <c r="M84" t="s">
        <v>25</v>
      </c>
      <c r="N84">
        <v>4</v>
      </c>
      <c r="O84">
        <v>26</v>
      </c>
      <c r="P84">
        <v>7</v>
      </c>
      <c r="Q84">
        <v>4</v>
      </c>
      <c r="R84">
        <v>1</v>
      </c>
      <c r="S84" t="s">
        <v>25</v>
      </c>
    </row>
    <row r="85" spans="1:19" x14ac:dyDescent="0.25">
      <c r="A85">
        <v>10084</v>
      </c>
      <c r="B85">
        <v>38</v>
      </c>
      <c r="C85" t="s">
        <v>19</v>
      </c>
      <c r="D85" t="s">
        <v>20</v>
      </c>
      <c r="E85" t="s">
        <v>27</v>
      </c>
      <c r="F85" t="s">
        <v>37</v>
      </c>
      <c r="G85" t="s">
        <v>38</v>
      </c>
      <c r="H85">
        <v>71787</v>
      </c>
      <c r="I85">
        <v>18311</v>
      </c>
      <c r="J85">
        <v>22</v>
      </c>
      <c r="K85">
        <v>4</v>
      </c>
      <c r="L85">
        <v>3</v>
      </c>
      <c r="M85" t="s">
        <v>25</v>
      </c>
      <c r="N85">
        <v>3</v>
      </c>
      <c r="O85">
        <v>18</v>
      </c>
      <c r="P85">
        <v>23</v>
      </c>
      <c r="Q85">
        <v>2</v>
      </c>
      <c r="R85">
        <v>2</v>
      </c>
      <c r="S85" t="s">
        <v>25</v>
      </c>
    </row>
    <row r="86" spans="1:19" x14ac:dyDescent="0.25">
      <c r="A86">
        <v>10085</v>
      </c>
      <c r="B86">
        <v>34</v>
      </c>
      <c r="C86" t="s">
        <v>31</v>
      </c>
      <c r="D86" t="s">
        <v>26</v>
      </c>
      <c r="E86" t="s">
        <v>27</v>
      </c>
      <c r="F86" t="s">
        <v>39</v>
      </c>
      <c r="G86" t="s">
        <v>30</v>
      </c>
      <c r="H86">
        <v>88706</v>
      </c>
      <c r="I86">
        <v>7005</v>
      </c>
      <c r="J86">
        <v>20</v>
      </c>
      <c r="K86">
        <v>14</v>
      </c>
      <c r="L86">
        <v>3</v>
      </c>
      <c r="M86" t="s">
        <v>25</v>
      </c>
      <c r="N86">
        <v>3</v>
      </c>
      <c r="O86">
        <v>28</v>
      </c>
      <c r="P86">
        <v>48</v>
      </c>
      <c r="Q86">
        <v>2</v>
      </c>
      <c r="R86">
        <v>3</v>
      </c>
      <c r="S86" t="s">
        <v>25</v>
      </c>
    </row>
    <row r="87" spans="1:19" x14ac:dyDescent="0.25">
      <c r="A87">
        <v>10086</v>
      </c>
      <c r="B87">
        <v>34</v>
      </c>
      <c r="C87" t="s">
        <v>19</v>
      </c>
      <c r="D87" t="s">
        <v>32</v>
      </c>
      <c r="E87" t="s">
        <v>36</v>
      </c>
      <c r="F87" t="s">
        <v>35</v>
      </c>
      <c r="G87" t="s">
        <v>38</v>
      </c>
      <c r="H87">
        <v>67015</v>
      </c>
      <c r="I87">
        <v>12201</v>
      </c>
      <c r="J87">
        <v>18</v>
      </c>
      <c r="K87">
        <v>2</v>
      </c>
      <c r="L87">
        <v>3</v>
      </c>
      <c r="M87" t="s">
        <v>25</v>
      </c>
      <c r="N87">
        <v>3</v>
      </c>
      <c r="O87">
        <v>18</v>
      </c>
      <c r="P87">
        <v>44</v>
      </c>
      <c r="Q87">
        <v>3</v>
      </c>
      <c r="R87">
        <v>4</v>
      </c>
      <c r="S87" t="s">
        <v>25</v>
      </c>
    </row>
    <row r="88" spans="1:19" x14ac:dyDescent="0.25">
      <c r="A88">
        <v>10087</v>
      </c>
      <c r="B88">
        <v>33</v>
      </c>
      <c r="C88" t="s">
        <v>31</v>
      </c>
      <c r="D88" t="s">
        <v>20</v>
      </c>
      <c r="E88" t="s">
        <v>36</v>
      </c>
      <c r="F88" t="s">
        <v>39</v>
      </c>
      <c r="G88" t="s">
        <v>38</v>
      </c>
      <c r="H88">
        <v>56561</v>
      </c>
      <c r="I88">
        <v>44965</v>
      </c>
      <c r="J88">
        <v>12</v>
      </c>
      <c r="K88">
        <v>8</v>
      </c>
      <c r="L88">
        <v>3</v>
      </c>
      <c r="M88" t="s">
        <v>25</v>
      </c>
      <c r="N88">
        <v>3</v>
      </c>
      <c r="O88">
        <v>39</v>
      </c>
      <c r="P88">
        <v>29</v>
      </c>
      <c r="Q88">
        <v>2</v>
      </c>
      <c r="R88">
        <v>3</v>
      </c>
      <c r="S88" t="s">
        <v>25</v>
      </c>
    </row>
    <row r="89" spans="1:19" x14ac:dyDescent="0.25">
      <c r="A89">
        <v>10088</v>
      </c>
      <c r="B89">
        <v>31</v>
      </c>
      <c r="C89" t="s">
        <v>19</v>
      </c>
      <c r="D89" t="s">
        <v>20</v>
      </c>
      <c r="E89" t="s">
        <v>33</v>
      </c>
      <c r="F89" t="s">
        <v>22</v>
      </c>
      <c r="G89" t="s">
        <v>23</v>
      </c>
      <c r="H89">
        <v>35238</v>
      </c>
      <c r="I89">
        <v>36142</v>
      </c>
      <c r="J89">
        <v>10</v>
      </c>
      <c r="K89">
        <v>9</v>
      </c>
      <c r="L89">
        <v>2</v>
      </c>
      <c r="M89" t="s">
        <v>24</v>
      </c>
      <c r="N89">
        <v>3</v>
      </c>
      <c r="O89">
        <v>10</v>
      </c>
      <c r="P89">
        <v>16</v>
      </c>
      <c r="Q89">
        <v>3</v>
      </c>
      <c r="R89">
        <v>4</v>
      </c>
      <c r="S89" t="s">
        <v>25</v>
      </c>
    </row>
    <row r="90" spans="1:19" x14ac:dyDescent="0.25">
      <c r="A90">
        <v>10089</v>
      </c>
      <c r="B90">
        <v>47</v>
      </c>
      <c r="C90" t="s">
        <v>31</v>
      </c>
      <c r="D90" t="s">
        <v>28</v>
      </c>
      <c r="E90" t="s">
        <v>36</v>
      </c>
      <c r="F90" t="s">
        <v>22</v>
      </c>
      <c r="G90" t="s">
        <v>30</v>
      </c>
      <c r="H90">
        <v>61959</v>
      </c>
      <c r="I90">
        <v>6116</v>
      </c>
      <c r="J90">
        <v>11</v>
      </c>
      <c r="K90">
        <v>4</v>
      </c>
      <c r="L90">
        <v>4</v>
      </c>
      <c r="M90" t="s">
        <v>25</v>
      </c>
      <c r="N90">
        <v>3</v>
      </c>
      <c r="O90">
        <v>15</v>
      </c>
      <c r="P90">
        <v>10</v>
      </c>
      <c r="Q90">
        <v>3</v>
      </c>
      <c r="R90">
        <v>2</v>
      </c>
      <c r="S90" t="s">
        <v>25</v>
      </c>
    </row>
    <row r="91" spans="1:19" x14ac:dyDescent="0.25">
      <c r="A91">
        <v>10090</v>
      </c>
      <c r="B91">
        <v>54</v>
      </c>
      <c r="C91" t="s">
        <v>19</v>
      </c>
      <c r="D91" t="s">
        <v>20</v>
      </c>
      <c r="E91" t="s">
        <v>33</v>
      </c>
      <c r="F91" t="s">
        <v>39</v>
      </c>
      <c r="G91" t="s">
        <v>23</v>
      </c>
      <c r="H91">
        <v>25281</v>
      </c>
      <c r="I91">
        <v>39748</v>
      </c>
      <c r="J91">
        <v>0</v>
      </c>
      <c r="K91">
        <v>0</v>
      </c>
      <c r="L91">
        <v>3</v>
      </c>
      <c r="M91" t="s">
        <v>25</v>
      </c>
      <c r="N91">
        <v>3</v>
      </c>
      <c r="O91">
        <v>24</v>
      </c>
      <c r="P91">
        <v>47</v>
      </c>
      <c r="Q91">
        <v>1</v>
      </c>
      <c r="R91">
        <v>1</v>
      </c>
      <c r="S91" t="s">
        <v>25</v>
      </c>
    </row>
    <row r="92" spans="1:19" x14ac:dyDescent="0.25">
      <c r="A92">
        <v>10091</v>
      </c>
      <c r="B92">
        <v>57</v>
      </c>
      <c r="C92" t="s">
        <v>31</v>
      </c>
      <c r="D92" t="s">
        <v>20</v>
      </c>
      <c r="E92" t="s">
        <v>36</v>
      </c>
      <c r="F92" t="s">
        <v>22</v>
      </c>
      <c r="G92" t="s">
        <v>38</v>
      </c>
      <c r="H92">
        <v>51570</v>
      </c>
      <c r="I92">
        <v>32556</v>
      </c>
      <c r="J92">
        <v>19</v>
      </c>
      <c r="K92">
        <v>1</v>
      </c>
      <c r="L92">
        <v>3</v>
      </c>
      <c r="M92" t="s">
        <v>25</v>
      </c>
      <c r="N92">
        <v>4</v>
      </c>
      <c r="O92">
        <v>1</v>
      </c>
      <c r="P92">
        <v>59</v>
      </c>
      <c r="Q92">
        <v>3</v>
      </c>
      <c r="R92">
        <v>3</v>
      </c>
      <c r="S92" t="s">
        <v>25</v>
      </c>
    </row>
    <row r="93" spans="1:19" x14ac:dyDescent="0.25">
      <c r="A93">
        <v>10092</v>
      </c>
      <c r="B93">
        <v>29</v>
      </c>
      <c r="C93" t="s">
        <v>19</v>
      </c>
      <c r="D93" t="s">
        <v>28</v>
      </c>
      <c r="E93" t="s">
        <v>33</v>
      </c>
      <c r="F93" t="s">
        <v>22</v>
      </c>
      <c r="G93" t="s">
        <v>38</v>
      </c>
      <c r="H93">
        <v>39646</v>
      </c>
      <c r="I93">
        <v>24089</v>
      </c>
      <c r="J93">
        <v>7</v>
      </c>
      <c r="K93">
        <v>14</v>
      </c>
      <c r="L93">
        <v>3</v>
      </c>
      <c r="M93" t="s">
        <v>24</v>
      </c>
      <c r="N93">
        <v>4</v>
      </c>
      <c r="O93">
        <v>4</v>
      </c>
      <c r="P93">
        <v>37</v>
      </c>
      <c r="Q93">
        <v>4</v>
      </c>
      <c r="R93">
        <v>3</v>
      </c>
      <c r="S93" t="s">
        <v>25</v>
      </c>
    </row>
    <row r="94" spans="1:19" x14ac:dyDescent="0.25">
      <c r="A94">
        <v>10093</v>
      </c>
      <c r="B94">
        <v>25</v>
      </c>
      <c r="C94" t="s">
        <v>31</v>
      </c>
      <c r="D94" t="s">
        <v>26</v>
      </c>
      <c r="E94" t="s">
        <v>27</v>
      </c>
      <c r="F94" t="s">
        <v>39</v>
      </c>
      <c r="G94" t="s">
        <v>30</v>
      </c>
      <c r="H94">
        <v>68125</v>
      </c>
      <c r="I94">
        <v>21592</v>
      </c>
      <c r="J94">
        <v>15</v>
      </c>
      <c r="K94">
        <v>12</v>
      </c>
      <c r="L94">
        <v>4</v>
      </c>
      <c r="M94" t="s">
        <v>25</v>
      </c>
      <c r="N94">
        <v>4</v>
      </c>
      <c r="O94">
        <v>4</v>
      </c>
      <c r="P94">
        <v>38</v>
      </c>
      <c r="Q94">
        <v>3</v>
      </c>
      <c r="R94">
        <v>3</v>
      </c>
      <c r="S94" t="s">
        <v>25</v>
      </c>
    </row>
    <row r="95" spans="1:19" x14ac:dyDescent="0.25">
      <c r="A95">
        <v>10094</v>
      </c>
      <c r="B95">
        <v>30</v>
      </c>
      <c r="C95" t="s">
        <v>19</v>
      </c>
      <c r="D95" t="s">
        <v>20</v>
      </c>
      <c r="E95" t="s">
        <v>27</v>
      </c>
      <c r="F95" t="s">
        <v>39</v>
      </c>
      <c r="G95" t="s">
        <v>38</v>
      </c>
      <c r="H95">
        <v>61000</v>
      </c>
      <c r="I95">
        <v>49606</v>
      </c>
      <c r="J95">
        <v>24</v>
      </c>
      <c r="K95">
        <v>4</v>
      </c>
      <c r="L95">
        <v>3</v>
      </c>
      <c r="M95" t="s">
        <v>25</v>
      </c>
      <c r="N95">
        <v>3</v>
      </c>
      <c r="O95">
        <v>21</v>
      </c>
      <c r="P95">
        <v>23</v>
      </c>
      <c r="Q95">
        <v>3</v>
      </c>
      <c r="R95">
        <v>2</v>
      </c>
      <c r="S95" t="s">
        <v>25</v>
      </c>
    </row>
    <row r="96" spans="1:19" x14ac:dyDescent="0.25">
      <c r="A96">
        <v>10095</v>
      </c>
      <c r="B96">
        <v>33</v>
      </c>
      <c r="C96" t="s">
        <v>31</v>
      </c>
      <c r="D96" t="s">
        <v>28</v>
      </c>
      <c r="E96" t="s">
        <v>33</v>
      </c>
      <c r="F96" t="s">
        <v>39</v>
      </c>
      <c r="G96" t="s">
        <v>30</v>
      </c>
      <c r="H96">
        <v>36530</v>
      </c>
      <c r="I96">
        <v>41986</v>
      </c>
      <c r="J96">
        <v>20</v>
      </c>
      <c r="K96">
        <v>9</v>
      </c>
      <c r="L96">
        <v>5</v>
      </c>
      <c r="M96" t="s">
        <v>25</v>
      </c>
      <c r="N96">
        <v>4</v>
      </c>
      <c r="O96">
        <v>29</v>
      </c>
      <c r="P96">
        <v>30</v>
      </c>
      <c r="Q96">
        <v>3</v>
      </c>
      <c r="R96">
        <v>1</v>
      </c>
      <c r="S96" t="s">
        <v>25</v>
      </c>
    </row>
    <row r="97" spans="1:19" x14ac:dyDescent="0.25">
      <c r="A97">
        <v>10096</v>
      </c>
      <c r="B97">
        <v>25</v>
      </c>
      <c r="C97" t="s">
        <v>19</v>
      </c>
      <c r="D97" t="s">
        <v>20</v>
      </c>
      <c r="E97" t="s">
        <v>33</v>
      </c>
      <c r="F97" t="s">
        <v>35</v>
      </c>
      <c r="G97" t="s">
        <v>30</v>
      </c>
      <c r="H97">
        <v>33234</v>
      </c>
      <c r="I97">
        <v>39338</v>
      </c>
      <c r="J97">
        <v>12</v>
      </c>
      <c r="K97">
        <v>4</v>
      </c>
      <c r="L97">
        <v>2</v>
      </c>
      <c r="M97" t="s">
        <v>24</v>
      </c>
      <c r="N97">
        <v>3</v>
      </c>
      <c r="O97">
        <v>15</v>
      </c>
      <c r="P97">
        <v>29</v>
      </c>
      <c r="Q97">
        <v>4</v>
      </c>
      <c r="R97">
        <v>3</v>
      </c>
      <c r="S97" t="s">
        <v>25</v>
      </c>
    </row>
    <row r="98" spans="1:19" x14ac:dyDescent="0.25">
      <c r="A98">
        <v>10097</v>
      </c>
      <c r="B98">
        <v>46</v>
      </c>
      <c r="C98" t="s">
        <v>31</v>
      </c>
      <c r="D98" t="s">
        <v>28</v>
      </c>
      <c r="E98" t="s">
        <v>36</v>
      </c>
      <c r="F98" t="s">
        <v>35</v>
      </c>
      <c r="G98" t="s">
        <v>30</v>
      </c>
      <c r="H98">
        <v>58645</v>
      </c>
      <c r="I98">
        <v>49257</v>
      </c>
      <c r="J98">
        <v>3</v>
      </c>
      <c r="K98">
        <v>13</v>
      </c>
      <c r="L98">
        <v>4</v>
      </c>
      <c r="M98" t="s">
        <v>25</v>
      </c>
      <c r="N98">
        <v>3</v>
      </c>
      <c r="O98">
        <v>25</v>
      </c>
      <c r="P98">
        <v>34</v>
      </c>
      <c r="Q98">
        <v>3</v>
      </c>
      <c r="R98">
        <v>2</v>
      </c>
      <c r="S98" t="s">
        <v>25</v>
      </c>
    </row>
    <row r="99" spans="1:19" x14ac:dyDescent="0.25">
      <c r="A99">
        <v>10098</v>
      </c>
      <c r="B99">
        <v>55</v>
      </c>
      <c r="C99" t="s">
        <v>19</v>
      </c>
      <c r="D99" t="s">
        <v>41</v>
      </c>
      <c r="E99" t="s">
        <v>27</v>
      </c>
      <c r="F99" t="s">
        <v>39</v>
      </c>
      <c r="G99" t="s">
        <v>38</v>
      </c>
      <c r="H99">
        <v>78743</v>
      </c>
      <c r="I99">
        <v>42368</v>
      </c>
      <c r="J99">
        <v>11</v>
      </c>
      <c r="K99">
        <v>7</v>
      </c>
      <c r="L99">
        <v>3</v>
      </c>
      <c r="M99" t="s">
        <v>24</v>
      </c>
      <c r="N99">
        <v>1</v>
      </c>
      <c r="O99">
        <v>22</v>
      </c>
      <c r="P99">
        <v>58</v>
      </c>
      <c r="Q99">
        <v>4</v>
      </c>
      <c r="R99">
        <v>3</v>
      </c>
      <c r="S99" t="s">
        <v>25</v>
      </c>
    </row>
    <row r="100" spans="1:19" x14ac:dyDescent="0.25">
      <c r="A100">
        <v>10099</v>
      </c>
      <c r="B100">
        <v>27</v>
      </c>
      <c r="C100" t="s">
        <v>31</v>
      </c>
      <c r="D100" t="s">
        <v>41</v>
      </c>
      <c r="E100" t="s">
        <v>27</v>
      </c>
      <c r="F100" t="s">
        <v>35</v>
      </c>
      <c r="G100" t="s">
        <v>30</v>
      </c>
      <c r="H100">
        <v>65752</v>
      </c>
      <c r="I100">
        <v>34084</v>
      </c>
      <c r="J100">
        <v>3</v>
      </c>
      <c r="K100">
        <v>1</v>
      </c>
      <c r="L100">
        <v>4</v>
      </c>
      <c r="M100" t="s">
        <v>25</v>
      </c>
      <c r="N100">
        <v>2</v>
      </c>
      <c r="O100">
        <v>25</v>
      </c>
      <c r="P100">
        <v>22</v>
      </c>
      <c r="Q100">
        <v>3</v>
      </c>
      <c r="R100">
        <v>3</v>
      </c>
      <c r="S100" t="s">
        <v>24</v>
      </c>
    </row>
    <row r="101" spans="1:19" x14ac:dyDescent="0.25">
      <c r="A101">
        <v>10100</v>
      </c>
      <c r="B101">
        <v>40</v>
      </c>
      <c r="C101" t="s">
        <v>19</v>
      </c>
      <c r="D101" t="s">
        <v>20</v>
      </c>
      <c r="E101" t="s">
        <v>33</v>
      </c>
      <c r="F101" t="s">
        <v>22</v>
      </c>
      <c r="G101" t="s">
        <v>38</v>
      </c>
      <c r="H101">
        <v>44563</v>
      </c>
      <c r="I101">
        <v>16014</v>
      </c>
      <c r="J101">
        <v>2</v>
      </c>
      <c r="K101">
        <v>11</v>
      </c>
      <c r="L101">
        <v>3</v>
      </c>
      <c r="M101" t="s">
        <v>25</v>
      </c>
      <c r="N101">
        <v>2</v>
      </c>
      <c r="O101">
        <v>13</v>
      </c>
      <c r="P101">
        <v>29</v>
      </c>
      <c r="Q101">
        <v>4</v>
      </c>
      <c r="R101">
        <v>4</v>
      </c>
      <c r="S101" t="s">
        <v>25</v>
      </c>
    </row>
    <row r="102" spans="1:19" x14ac:dyDescent="0.25">
      <c r="A102">
        <v>10101</v>
      </c>
      <c r="B102">
        <v>38</v>
      </c>
      <c r="C102" t="s">
        <v>19</v>
      </c>
      <c r="D102" t="s">
        <v>20</v>
      </c>
      <c r="E102" t="s">
        <v>36</v>
      </c>
      <c r="F102" t="s">
        <v>39</v>
      </c>
      <c r="G102" t="s">
        <v>38</v>
      </c>
      <c r="H102">
        <v>67986</v>
      </c>
      <c r="I102">
        <v>31007</v>
      </c>
      <c r="J102">
        <v>6</v>
      </c>
      <c r="K102">
        <v>12</v>
      </c>
      <c r="L102">
        <v>2</v>
      </c>
      <c r="M102" t="s">
        <v>24</v>
      </c>
      <c r="N102">
        <v>4</v>
      </c>
      <c r="O102">
        <v>3</v>
      </c>
      <c r="P102">
        <v>13</v>
      </c>
      <c r="Q102">
        <v>4</v>
      </c>
      <c r="R102">
        <v>2</v>
      </c>
      <c r="S102" t="s">
        <v>25</v>
      </c>
    </row>
    <row r="103" spans="1:19" x14ac:dyDescent="0.25">
      <c r="A103">
        <v>10102</v>
      </c>
      <c r="B103">
        <v>46</v>
      </c>
      <c r="C103" t="s">
        <v>19</v>
      </c>
      <c r="D103" t="s">
        <v>20</v>
      </c>
      <c r="E103" t="s">
        <v>33</v>
      </c>
      <c r="F103" t="s">
        <v>39</v>
      </c>
      <c r="G103" t="s">
        <v>38</v>
      </c>
      <c r="H103">
        <v>28713</v>
      </c>
      <c r="I103">
        <v>34503</v>
      </c>
      <c r="J103">
        <v>17</v>
      </c>
      <c r="K103">
        <v>2</v>
      </c>
      <c r="L103">
        <v>3</v>
      </c>
      <c r="M103" t="s">
        <v>24</v>
      </c>
      <c r="N103">
        <v>3</v>
      </c>
      <c r="O103">
        <v>6</v>
      </c>
      <c r="P103">
        <v>6</v>
      </c>
      <c r="Q103">
        <v>3</v>
      </c>
      <c r="R103">
        <v>4</v>
      </c>
      <c r="S103" t="s">
        <v>25</v>
      </c>
    </row>
    <row r="104" spans="1:19" x14ac:dyDescent="0.25">
      <c r="A104">
        <v>10103</v>
      </c>
      <c r="B104">
        <v>55</v>
      </c>
      <c r="C104" t="s">
        <v>19</v>
      </c>
      <c r="D104" t="s">
        <v>41</v>
      </c>
      <c r="E104" t="s">
        <v>27</v>
      </c>
      <c r="F104" t="s">
        <v>37</v>
      </c>
      <c r="G104" t="s">
        <v>30</v>
      </c>
      <c r="H104">
        <v>60661</v>
      </c>
      <c r="I104">
        <v>3374</v>
      </c>
      <c r="J104">
        <v>24</v>
      </c>
      <c r="K104">
        <v>6</v>
      </c>
      <c r="L104">
        <v>3</v>
      </c>
      <c r="M104" t="s">
        <v>24</v>
      </c>
      <c r="N104">
        <v>3</v>
      </c>
      <c r="O104">
        <v>16</v>
      </c>
      <c r="P104">
        <v>16</v>
      </c>
      <c r="Q104">
        <v>3</v>
      </c>
      <c r="R104">
        <v>2</v>
      </c>
      <c r="S104" t="s">
        <v>25</v>
      </c>
    </row>
    <row r="105" spans="1:19" x14ac:dyDescent="0.25">
      <c r="A105">
        <v>10104</v>
      </c>
      <c r="B105">
        <v>24</v>
      </c>
      <c r="C105" t="s">
        <v>31</v>
      </c>
      <c r="D105" t="s">
        <v>41</v>
      </c>
      <c r="E105" t="s">
        <v>21</v>
      </c>
      <c r="F105" t="s">
        <v>35</v>
      </c>
      <c r="G105" t="s">
        <v>30</v>
      </c>
      <c r="H105">
        <v>127211</v>
      </c>
      <c r="I105">
        <v>18752</v>
      </c>
      <c r="J105">
        <v>24</v>
      </c>
      <c r="K105">
        <v>13</v>
      </c>
      <c r="L105">
        <v>3</v>
      </c>
      <c r="M105" t="s">
        <v>25</v>
      </c>
      <c r="N105">
        <v>1</v>
      </c>
      <c r="O105">
        <v>39</v>
      </c>
      <c r="P105">
        <v>36</v>
      </c>
      <c r="Q105">
        <v>4</v>
      </c>
      <c r="R105">
        <v>1</v>
      </c>
      <c r="S105" t="s">
        <v>25</v>
      </c>
    </row>
    <row r="106" spans="1:19" x14ac:dyDescent="0.25">
      <c r="A106">
        <v>10105</v>
      </c>
      <c r="B106">
        <v>21</v>
      </c>
      <c r="C106" t="s">
        <v>19</v>
      </c>
      <c r="D106" t="s">
        <v>34</v>
      </c>
      <c r="E106" t="s">
        <v>27</v>
      </c>
      <c r="F106" t="s">
        <v>39</v>
      </c>
      <c r="G106" t="s">
        <v>38</v>
      </c>
      <c r="H106">
        <v>80960</v>
      </c>
      <c r="I106">
        <v>47864</v>
      </c>
      <c r="J106">
        <v>8</v>
      </c>
      <c r="K106">
        <v>0</v>
      </c>
      <c r="L106">
        <v>3</v>
      </c>
      <c r="M106" t="s">
        <v>25</v>
      </c>
      <c r="N106">
        <v>2</v>
      </c>
      <c r="O106">
        <v>4</v>
      </c>
      <c r="P106">
        <v>22</v>
      </c>
      <c r="Q106">
        <v>1</v>
      </c>
      <c r="R106">
        <v>3</v>
      </c>
      <c r="S106" t="s">
        <v>24</v>
      </c>
    </row>
    <row r="107" spans="1:19" x14ac:dyDescent="0.25">
      <c r="A107">
        <v>10106</v>
      </c>
      <c r="B107">
        <v>57</v>
      </c>
      <c r="C107" t="s">
        <v>19</v>
      </c>
      <c r="D107" t="s">
        <v>26</v>
      </c>
      <c r="E107" t="s">
        <v>29</v>
      </c>
      <c r="F107" t="s">
        <v>35</v>
      </c>
      <c r="G107" t="s">
        <v>38</v>
      </c>
      <c r="H107">
        <v>156875</v>
      </c>
      <c r="I107">
        <v>45033</v>
      </c>
      <c r="J107">
        <v>13</v>
      </c>
      <c r="K107">
        <v>5</v>
      </c>
      <c r="L107">
        <v>2</v>
      </c>
      <c r="M107" t="s">
        <v>25</v>
      </c>
      <c r="N107">
        <v>4</v>
      </c>
      <c r="O107">
        <v>15</v>
      </c>
      <c r="P107">
        <v>25</v>
      </c>
      <c r="Q107">
        <v>4</v>
      </c>
      <c r="R107">
        <v>1</v>
      </c>
      <c r="S107" t="s">
        <v>25</v>
      </c>
    </row>
    <row r="108" spans="1:19" x14ac:dyDescent="0.25">
      <c r="A108">
        <v>10107</v>
      </c>
      <c r="B108">
        <v>44</v>
      </c>
      <c r="C108" t="s">
        <v>19</v>
      </c>
      <c r="D108" t="s">
        <v>20</v>
      </c>
      <c r="E108" t="s">
        <v>29</v>
      </c>
      <c r="F108" t="s">
        <v>39</v>
      </c>
      <c r="G108" t="s">
        <v>38</v>
      </c>
      <c r="H108">
        <v>148937</v>
      </c>
      <c r="I108">
        <v>8286</v>
      </c>
      <c r="J108">
        <v>13</v>
      </c>
      <c r="K108">
        <v>0</v>
      </c>
      <c r="L108">
        <v>3</v>
      </c>
      <c r="M108" t="s">
        <v>25</v>
      </c>
      <c r="N108">
        <v>2</v>
      </c>
      <c r="O108">
        <v>3</v>
      </c>
      <c r="P108">
        <v>39</v>
      </c>
      <c r="Q108">
        <v>4</v>
      </c>
      <c r="R108">
        <v>2</v>
      </c>
      <c r="S108" t="s">
        <v>25</v>
      </c>
    </row>
    <row r="109" spans="1:19" x14ac:dyDescent="0.25">
      <c r="A109">
        <v>10108</v>
      </c>
      <c r="B109">
        <v>31</v>
      </c>
      <c r="C109" t="s">
        <v>19</v>
      </c>
      <c r="D109" t="s">
        <v>20</v>
      </c>
      <c r="E109" t="s">
        <v>33</v>
      </c>
      <c r="F109" t="s">
        <v>37</v>
      </c>
      <c r="G109" t="s">
        <v>38</v>
      </c>
      <c r="H109">
        <v>41920</v>
      </c>
      <c r="I109">
        <v>11916</v>
      </c>
      <c r="J109">
        <v>13</v>
      </c>
      <c r="K109">
        <v>3</v>
      </c>
      <c r="L109">
        <v>3</v>
      </c>
      <c r="M109" t="s">
        <v>24</v>
      </c>
      <c r="N109">
        <v>2</v>
      </c>
      <c r="O109">
        <v>29</v>
      </c>
      <c r="P109">
        <v>47</v>
      </c>
      <c r="Q109">
        <v>1</v>
      </c>
      <c r="R109">
        <v>3</v>
      </c>
      <c r="S109" t="s">
        <v>24</v>
      </c>
    </row>
    <row r="110" spans="1:19" x14ac:dyDescent="0.25">
      <c r="A110">
        <v>10109</v>
      </c>
      <c r="B110">
        <v>30</v>
      </c>
      <c r="C110" t="s">
        <v>19</v>
      </c>
      <c r="D110" t="s">
        <v>41</v>
      </c>
      <c r="E110" t="s">
        <v>40</v>
      </c>
      <c r="F110" t="s">
        <v>35</v>
      </c>
      <c r="G110" t="s">
        <v>30</v>
      </c>
      <c r="H110">
        <v>16488</v>
      </c>
      <c r="I110">
        <v>30158</v>
      </c>
      <c r="J110">
        <v>8</v>
      </c>
      <c r="K110">
        <v>6</v>
      </c>
      <c r="L110">
        <v>3</v>
      </c>
      <c r="M110" t="s">
        <v>24</v>
      </c>
      <c r="N110">
        <v>2</v>
      </c>
      <c r="O110">
        <v>7</v>
      </c>
      <c r="P110">
        <v>20</v>
      </c>
      <c r="Q110">
        <v>1</v>
      </c>
      <c r="R110">
        <v>3</v>
      </c>
      <c r="S110" t="s">
        <v>25</v>
      </c>
    </row>
    <row r="111" spans="1:19" x14ac:dyDescent="0.25">
      <c r="A111">
        <v>10110</v>
      </c>
      <c r="B111">
        <v>55</v>
      </c>
      <c r="C111" t="s">
        <v>19</v>
      </c>
      <c r="D111" t="s">
        <v>41</v>
      </c>
      <c r="E111" t="s">
        <v>33</v>
      </c>
      <c r="F111" t="s">
        <v>39</v>
      </c>
      <c r="G111" t="s">
        <v>38</v>
      </c>
      <c r="H111">
        <v>26403</v>
      </c>
      <c r="I111">
        <v>15422</v>
      </c>
      <c r="J111">
        <v>4</v>
      </c>
      <c r="K111">
        <v>3</v>
      </c>
      <c r="L111">
        <v>3</v>
      </c>
      <c r="M111" t="s">
        <v>25</v>
      </c>
      <c r="N111">
        <v>3</v>
      </c>
      <c r="O111">
        <v>27</v>
      </c>
      <c r="P111">
        <v>32</v>
      </c>
      <c r="Q111">
        <v>3</v>
      </c>
      <c r="R111">
        <v>3</v>
      </c>
      <c r="S111" t="s">
        <v>25</v>
      </c>
    </row>
    <row r="112" spans="1:19" x14ac:dyDescent="0.25">
      <c r="A112">
        <v>10111</v>
      </c>
      <c r="B112">
        <v>57</v>
      </c>
      <c r="C112" t="s">
        <v>19</v>
      </c>
      <c r="D112" t="s">
        <v>20</v>
      </c>
      <c r="E112" t="s">
        <v>29</v>
      </c>
      <c r="F112" t="s">
        <v>39</v>
      </c>
      <c r="G112" t="s">
        <v>30</v>
      </c>
      <c r="H112">
        <v>144282</v>
      </c>
      <c r="I112">
        <v>40761</v>
      </c>
      <c r="J112">
        <v>23</v>
      </c>
      <c r="K112">
        <v>6</v>
      </c>
      <c r="L112">
        <v>3</v>
      </c>
      <c r="M112" t="s">
        <v>24</v>
      </c>
      <c r="N112">
        <v>4</v>
      </c>
      <c r="O112">
        <v>21</v>
      </c>
      <c r="P112">
        <v>57</v>
      </c>
      <c r="Q112">
        <v>3</v>
      </c>
      <c r="R112">
        <v>4</v>
      </c>
      <c r="S112" t="s">
        <v>25</v>
      </c>
    </row>
    <row r="113" spans="1:19" x14ac:dyDescent="0.25">
      <c r="A113">
        <v>10112</v>
      </c>
      <c r="B113">
        <v>45</v>
      </c>
      <c r="C113" t="s">
        <v>19</v>
      </c>
      <c r="D113" t="s">
        <v>26</v>
      </c>
      <c r="E113" t="s">
        <v>33</v>
      </c>
      <c r="F113" t="s">
        <v>22</v>
      </c>
      <c r="G113" t="s">
        <v>30</v>
      </c>
      <c r="H113">
        <v>29798</v>
      </c>
      <c r="I113">
        <v>37487</v>
      </c>
      <c r="J113">
        <v>17</v>
      </c>
      <c r="K113">
        <v>7</v>
      </c>
      <c r="L113">
        <v>4</v>
      </c>
      <c r="M113" t="s">
        <v>25</v>
      </c>
      <c r="N113">
        <v>4</v>
      </c>
      <c r="O113">
        <v>21</v>
      </c>
      <c r="P113">
        <v>46</v>
      </c>
      <c r="Q113">
        <v>3</v>
      </c>
      <c r="R113">
        <v>4</v>
      </c>
      <c r="S113" t="s">
        <v>25</v>
      </c>
    </row>
    <row r="114" spans="1:19" x14ac:dyDescent="0.25">
      <c r="A114">
        <v>10113</v>
      </c>
      <c r="B114">
        <v>52</v>
      </c>
      <c r="C114" t="s">
        <v>31</v>
      </c>
      <c r="D114" t="s">
        <v>26</v>
      </c>
      <c r="E114" t="s">
        <v>33</v>
      </c>
      <c r="F114" t="s">
        <v>35</v>
      </c>
      <c r="G114" t="s">
        <v>38</v>
      </c>
      <c r="H114">
        <v>41955</v>
      </c>
      <c r="I114">
        <v>25364</v>
      </c>
      <c r="J114">
        <v>10</v>
      </c>
      <c r="K114">
        <v>6</v>
      </c>
      <c r="L114">
        <v>3</v>
      </c>
      <c r="M114" t="s">
        <v>25</v>
      </c>
      <c r="N114">
        <v>3</v>
      </c>
      <c r="O114">
        <v>15</v>
      </c>
      <c r="P114">
        <v>21</v>
      </c>
      <c r="Q114">
        <v>1</v>
      </c>
      <c r="R114">
        <v>1</v>
      </c>
      <c r="S114" t="s">
        <v>25</v>
      </c>
    </row>
    <row r="115" spans="1:19" x14ac:dyDescent="0.25">
      <c r="A115">
        <v>10114</v>
      </c>
      <c r="B115">
        <v>27</v>
      </c>
      <c r="C115" t="s">
        <v>19</v>
      </c>
      <c r="D115" t="s">
        <v>32</v>
      </c>
      <c r="E115" t="s">
        <v>27</v>
      </c>
      <c r="F115" t="s">
        <v>22</v>
      </c>
      <c r="G115" t="s">
        <v>30</v>
      </c>
      <c r="H115">
        <v>86724</v>
      </c>
      <c r="I115">
        <v>7788</v>
      </c>
      <c r="J115">
        <v>18</v>
      </c>
      <c r="K115">
        <v>7</v>
      </c>
      <c r="L115">
        <v>2</v>
      </c>
      <c r="M115" t="s">
        <v>24</v>
      </c>
      <c r="N115">
        <v>3</v>
      </c>
      <c r="O115">
        <v>31</v>
      </c>
      <c r="P115">
        <v>50</v>
      </c>
      <c r="Q115">
        <v>1</v>
      </c>
      <c r="R115">
        <v>4</v>
      </c>
      <c r="S115" t="s">
        <v>25</v>
      </c>
    </row>
    <row r="116" spans="1:19" x14ac:dyDescent="0.25">
      <c r="A116">
        <v>10115</v>
      </c>
      <c r="B116">
        <v>49</v>
      </c>
      <c r="C116" t="s">
        <v>31</v>
      </c>
      <c r="D116" t="s">
        <v>26</v>
      </c>
      <c r="E116" t="s">
        <v>27</v>
      </c>
      <c r="F116" t="s">
        <v>35</v>
      </c>
      <c r="G116" t="s">
        <v>38</v>
      </c>
      <c r="H116">
        <v>87065</v>
      </c>
      <c r="I116">
        <v>47241</v>
      </c>
      <c r="J116">
        <v>5</v>
      </c>
      <c r="K116">
        <v>14</v>
      </c>
      <c r="L116">
        <v>2</v>
      </c>
      <c r="M116" t="s">
        <v>25</v>
      </c>
      <c r="N116">
        <v>2</v>
      </c>
      <c r="O116">
        <v>25</v>
      </c>
      <c r="P116">
        <v>13</v>
      </c>
      <c r="Q116">
        <v>1</v>
      </c>
      <c r="R116">
        <v>2</v>
      </c>
      <c r="S116" t="s">
        <v>25</v>
      </c>
    </row>
    <row r="117" spans="1:19" x14ac:dyDescent="0.25">
      <c r="A117">
        <v>10116</v>
      </c>
      <c r="B117">
        <v>29</v>
      </c>
      <c r="C117" t="s">
        <v>19</v>
      </c>
      <c r="D117" t="s">
        <v>20</v>
      </c>
      <c r="E117" t="s">
        <v>36</v>
      </c>
      <c r="F117" t="s">
        <v>35</v>
      </c>
      <c r="G117" t="s">
        <v>38</v>
      </c>
      <c r="H117">
        <v>57504</v>
      </c>
      <c r="I117">
        <v>21991</v>
      </c>
      <c r="J117">
        <v>1</v>
      </c>
      <c r="K117">
        <v>5</v>
      </c>
      <c r="L117">
        <v>3</v>
      </c>
      <c r="M117" t="s">
        <v>25</v>
      </c>
      <c r="N117">
        <v>3</v>
      </c>
      <c r="O117">
        <v>32</v>
      </c>
      <c r="P117">
        <v>38</v>
      </c>
      <c r="Q117">
        <v>3</v>
      </c>
      <c r="R117">
        <v>1</v>
      </c>
      <c r="S117" t="s">
        <v>25</v>
      </c>
    </row>
    <row r="118" spans="1:19" x14ac:dyDescent="0.25">
      <c r="A118">
        <v>10117</v>
      </c>
      <c r="B118">
        <v>44</v>
      </c>
      <c r="C118" t="s">
        <v>31</v>
      </c>
      <c r="D118" t="s">
        <v>20</v>
      </c>
      <c r="E118" t="s">
        <v>33</v>
      </c>
      <c r="F118" t="s">
        <v>22</v>
      </c>
      <c r="G118" t="s">
        <v>38</v>
      </c>
      <c r="H118">
        <v>30946</v>
      </c>
      <c r="I118">
        <v>14291</v>
      </c>
      <c r="J118">
        <v>20</v>
      </c>
      <c r="K118">
        <v>11</v>
      </c>
      <c r="L118">
        <v>2</v>
      </c>
      <c r="M118" t="s">
        <v>25</v>
      </c>
      <c r="N118">
        <v>3</v>
      </c>
      <c r="O118">
        <v>35</v>
      </c>
      <c r="P118">
        <v>36</v>
      </c>
      <c r="Q118">
        <v>3</v>
      </c>
      <c r="R118">
        <v>2</v>
      </c>
      <c r="S118" t="s">
        <v>25</v>
      </c>
    </row>
    <row r="119" spans="1:19" x14ac:dyDescent="0.25">
      <c r="A119">
        <v>10118</v>
      </c>
      <c r="B119">
        <v>27</v>
      </c>
      <c r="C119" t="s">
        <v>31</v>
      </c>
      <c r="D119" t="s">
        <v>34</v>
      </c>
      <c r="E119" t="s">
        <v>36</v>
      </c>
      <c r="F119" t="s">
        <v>35</v>
      </c>
      <c r="G119" t="s">
        <v>30</v>
      </c>
      <c r="H119">
        <v>52165</v>
      </c>
      <c r="I119">
        <v>29334</v>
      </c>
      <c r="J119">
        <v>11</v>
      </c>
      <c r="K119">
        <v>10</v>
      </c>
      <c r="L119">
        <v>3</v>
      </c>
      <c r="M119" t="s">
        <v>25</v>
      </c>
      <c r="N119">
        <v>2</v>
      </c>
      <c r="O119">
        <v>28</v>
      </c>
      <c r="P119">
        <v>33</v>
      </c>
      <c r="Q119">
        <v>3</v>
      </c>
      <c r="R119">
        <v>3</v>
      </c>
      <c r="S119" t="s">
        <v>25</v>
      </c>
    </row>
    <row r="120" spans="1:19" x14ac:dyDescent="0.25">
      <c r="A120">
        <v>10119</v>
      </c>
      <c r="B120">
        <v>32</v>
      </c>
      <c r="C120" t="s">
        <v>19</v>
      </c>
      <c r="D120" t="s">
        <v>20</v>
      </c>
      <c r="E120" t="s">
        <v>33</v>
      </c>
      <c r="F120" t="s">
        <v>39</v>
      </c>
      <c r="G120" t="s">
        <v>30</v>
      </c>
      <c r="H120">
        <v>29082</v>
      </c>
      <c r="I120">
        <v>1376</v>
      </c>
      <c r="J120">
        <v>23</v>
      </c>
      <c r="K120">
        <v>2</v>
      </c>
      <c r="L120">
        <v>3</v>
      </c>
      <c r="M120" t="s">
        <v>25</v>
      </c>
      <c r="N120">
        <v>3</v>
      </c>
      <c r="O120">
        <v>39</v>
      </c>
      <c r="P120">
        <v>48</v>
      </c>
      <c r="Q120">
        <v>2</v>
      </c>
      <c r="R120">
        <v>3</v>
      </c>
      <c r="S120" t="s">
        <v>25</v>
      </c>
    </row>
    <row r="121" spans="1:19" x14ac:dyDescent="0.25">
      <c r="A121">
        <v>10120</v>
      </c>
      <c r="B121">
        <v>22</v>
      </c>
      <c r="C121" t="s">
        <v>31</v>
      </c>
      <c r="D121" t="s">
        <v>34</v>
      </c>
      <c r="E121" t="s">
        <v>36</v>
      </c>
      <c r="F121" t="s">
        <v>37</v>
      </c>
      <c r="G121" t="s">
        <v>38</v>
      </c>
      <c r="H121">
        <v>67656</v>
      </c>
      <c r="I121">
        <v>21727</v>
      </c>
      <c r="J121">
        <v>9</v>
      </c>
      <c r="K121">
        <v>1</v>
      </c>
      <c r="L121">
        <v>3</v>
      </c>
      <c r="M121" t="s">
        <v>25</v>
      </c>
      <c r="N121">
        <v>3</v>
      </c>
      <c r="O121">
        <v>39</v>
      </c>
      <c r="P121">
        <v>31</v>
      </c>
      <c r="Q121">
        <v>3</v>
      </c>
      <c r="R121">
        <v>2</v>
      </c>
      <c r="S121" t="s">
        <v>24</v>
      </c>
    </row>
    <row r="122" spans="1:19" x14ac:dyDescent="0.25">
      <c r="A122">
        <v>10121</v>
      </c>
      <c r="B122">
        <v>31</v>
      </c>
      <c r="C122" t="s">
        <v>19</v>
      </c>
      <c r="D122" t="s">
        <v>28</v>
      </c>
      <c r="E122" t="s">
        <v>36</v>
      </c>
      <c r="F122" t="s">
        <v>35</v>
      </c>
      <c r="G122" t="s">
        <v>38</v>
      </c>
      <c r="H122">
        <v>64033</v>
      </c>
      <c r="I122">
        <v>19873</v>
      </c>
      <c r="J122">
        <v>20</v>
      </c>
      <c r="K122">
        <v>8</v>
      </c>
      <c r="L122">
        <v>3</v>
      </c>
      <c r="M122" t="s">
        <v>25</v>
      </c>
      <c r="N122">
        <v>3</v>
      </c>
      <c r="O122">
        <v>6</v>
      </c>
      <c r="P122">
        <v>23</v>
      </c>
      <c r="Q122">
        <v>3</v>
      </c>
      <c r="R122">
        <v>4</v>
      </c>
      <c r="S122" t="s">
        <v>24</v>
      </c>
    </row>
    <row r="123" spans="1:19" x14ac:dyDescent="0.25">
      <c r="A123">
        <v>10122</v>
      </c>
      <c r="B123">
        <v>57</v>
      </c>
      <c r="C123" t="s">
        <v>19</v>
      </c>
      <c r="D123" t="s">
        <v>28</v>
      </c>
      <c r="E123" t="s">
        <v>27</v>
      </c>
      <c r="F123" t="s">
        <v>39</v>
      </c>
      <c r="G123" t="s">
        <v>30</v>
      </c>
      <c r="H123">
        <v>76610</v>
      </c>
      <c r="I123">
        <v>14537</v>
      </c>
      <c r="J123">
        <v>5</v>
      </c>
      <c r="K123">
        <v>13</v>
      </c>
      <c r="L123">
        <v>3</v>
      </c>
      <c r="M123" t="s">
        <v>25</v>
      </c>
      <c r="N123">
        <v>1</v>
      </c>
      <c r="O123">
        <v>7</v>
      </c>
      <c r="P123">
        <v>8</v>
      </c>
      <c r="Q123">
        <v>2</v>
      </c>
      <c r="R123">
        <v>3</v>
      </c>
      <c r="S123" t="s">
        <v>25</v>
      </c>
    </row>
    <row r="124" spans="1:19" x14ac:dyDescent="0.25">
      <c r="A124">
        <v>10123</v>
      </c>
      <c r="B124">
        <v>53</v>
      </c>
      <c r="C124" t="s">
        <v>19</v>
      </c>
      <c r="D124" t="s">
        <v>41</v>
      </c>
      <c r="E124" t="s">
        <v>33</v>
      </c>
      <c r="F124" t="s">
        <v>39</v>
      </c>
      <c r="G124" t="s">
        <v>30</v>
      </c>
      <c r="H124">
        <v>28959</v>
      </c>
      <c r="I124">
        <v>28731</v>
      </c>
      <c r="J124">
        <v>18</v>
      </c>
      <c r="K124">
        <v>0</v>
      </c>
      <c r="L124">
        <v>3</v>
      </c>
      <c r="M124" t="s">
        <v>24</v>
      </c>
      <c r="N124">
        <v>3</v>
      </c>
      <c r="O124">
        <v>12</v>
      </c>
      <c r="P124">
        <v>34</v>
      </c>
      <c r="Q124">
        <v>3</v>
      </c>
      <c r="R124">
        <v>4</v>
      </c>
      <c r="S124" t="s">
        <v>25</v>
      </c>
    </row>
    <row r="125" spans="1:19" x14ac:dyDescent="0.25">
      <c r="A125">
        <v>10124</v>
      </c>
      <c r="B125">
        <v>52</v>
      </c>
      <c r="C125" t="s">
        <v>31</v>
      </c>
      <c r="D125" t="s">
        <v>20</v>
      </c>
      <c r="E125" t="s">
        <v>36</v>
      </c>
      <c r="F125" t="s">
        <v>22</v>
      </c>
      <c r="G125" t="s">
        <v>38</v>
      </c>
      <c r="H125">
        <v>50469</v>
      </c>
      <c r="I125">
        <v>19194</v>
      </c>
      <c r="J125">
        <v>14</v>
      </c>
      <c r="K125">
        <v>10</v>
      </c>
      <c r="L125">
        <v>4</v>
      </c>
      <c r="M125" t="s">
        <v>24</v>
      </c>
      <c r="N125">
        <v>2</v>
      </c>
      <c r="O125">
        <v>6</v>
      </c>
      <c r="P125">
        <v>8</v>
      </c>
      <c r="Q125">
        <v>3</v>
      </c>
      <c r="R125">
        <v>3</v>
      </c>
      <c r="S125" t="s">
        <v>25</v>
      </c>
    </row>
    <row r="126" spans="1:19" x14ac:dyDescent="0.25">
      <c r="A126">
        <v>10125</v>
      </c>
      <c r="B126">
        <v>35</v>
      </c>
      <c r="C126" t="s">
        <v>19</v>
      </c>
      <c r="D126" t="s">
        <v>20</v>
      </c>
      <c r="E126" t="s">
        <v>29</v>
      </c>
      <c r="F126" t="s">
        <v>39</v>
      </c>
      <c r="G126" t="s">
        <v>30</v>
      </c>
      <c r="H126">
        <v>168998</v>
      </c>
      <c r="I126">
        <v>8329</v>
      </c>
      <c r="J126">
        <v>17</v>
      </c>
      <c r="K126">
        <v>2</v>
      </c>
      <c r="L126">
        <v>1</v>
      </c>
      <c r="M126" t="s">
        <v>24</v>
      </c>
      <c r="N126">
        <v>4</v>
      </c>
      <c r="O126">
        <v>6</v>
      </c>
      <c r="P126">
        <v>21</v>
      </c>
      <c r="Q126">
        <v>3</v>
      </c>
      <c r="R126">
        <v>4</v>
      </c>
      <c r="S126" t="s">
        <v>25</v>
      </c>
    </row>
    <row r="127" spans="1:19" x14ac:dyDescent="0.25">
      <c r="A127">
        <v>10126</v>
      </c>
      <c r="B127">
        <v>56</v>
      </c>
      <c r="C127" t="s">
        <v>31</v>
      </c>
      <c r="D127" t="s">
        <v>34</v>
      </c>
      <c r="E127" t="s">
        <v>21</v>
      </c>
      <c r="F127" t="s">
        <v>39</v>
      </c>
      <c r="G127" t="s">
        <v>38</v>
      </c>
      <c r="H127">
        <v>119252</v>
      </c>
      <c r="I127">
        <v>25279</v>
      </c>
      <c r="J127">
        <v>4</v>
      </c>
      <c r="K127">
        <v>3</v>
      </c>
      <c r="L127">
        <v>2</v>
      </c>
      <c r="M127" t="s">
        <v>24</v>
      </c>
      <c r="N127">
        <v>4</v>
      </c>
      <c r="O127">
        <v>35</v>
      </c>
      <c r="P127">
        <v>5</v>
      </c>
      <c r="Q127">
        <v>4</v>
      </c>
      <c r="R127">
        <v>3</v>
      </c>
      <c r="S127" t="s">
        <v>25</v>
      </c>
    </row>
    <row r="128" spans="1:19" x14ac:dyDescent="0.25">
      <c r="A128">
        <v>10127</v>
      </c>
      <c r="B128">
        <v>43</v>
      </c>
      <c r="C128" t="s">
        <v>19</v>
      </c>
      <c r="D128" t="s">
        <v>20</v>
      </c>
      <c r="E128" t="s">
        <v>33</v>
      </c>
      <c r="F128" t="s">
        <v>39</v>
      </c>
      <c r="G128" t="s">
        <v>38</v>
      </c>
      <c r="H128">
        <v>32736</v>
      </c>
      <c r="I128">
        <v>1431</v>
      </c>
      <c r="J128">
        <v>11</v>
      </c>
      <c r="K128">
        <v>9</v>
      </c>
      <c r="L128">
        <v>3</v>
      </c>
      <c r="M128" t="s">
        <v>24</v>
      </c>
      <c r="N128">
        <v>2</v>
      </c>
      <c r="O128">
        <v>28</v>
      </c>
      <c r="P128">
        <v>18</v>
      </c>
      <c r="Q128">
        <v>4</v>
      </c>
      <c r="R128">
        <v>2</v>
      </c>
      <c r="S128" t="s">
        <v>25</v>
      </c>
    </row>
    <row r="129" spans="1:19" x14ac:dyDescent="0.25">
      <c r="A129">
        <v>10128</v>
      </c>
      <c r="B129">
        <v>55</v>
      </c>
      <c r="C129" t="s">
        <v>31</v>
      </c>
      <c r="D129" t="s">
        <v>20</v>
      </c>
      <c r="E129" t="s">
        <v>36</v>
      </c>
      <c r="F129" t="s">
        <v>22</v>
      </c>
      <c r="G129" t="s">
        <v>38</v>
      </c>
      <c r="H129">
        <v>67059</v>
      </c>
      <c r="I129">
        <v>18681</v>
      </c>
      <c r="J129">
        <v>10</v>
      </c>
      <c r="K129">
        <v>8</v>
      </c>
      <c r="L129">
        <v>3</v>
      </c>
      <c r="M129" t="s">
        <v>24</v>
      </c>
      <c r="N129">
        <v>4</v>
      </c>
      <c r="O129">
        <v>6</v>
      </c>
      <c r="P129">
        <v>19</v>
      </c>
      <c r="Q129">
        <v>2</v>
      </c>
      <c r="R129">
        <v>1</v>
      </c>
      <c r="S129" t="s">
        <v>25</v>
      </c>
    </row>
    <row r="130" spans="1:19" x14ac:dyDescent="0.25">
      <c r="A130">
        <v>10129</v>
      </c>
      <c r="B130">
        <v>33</v>
      </c>
      <c r="C130" t="s">
        <v>31</v>
      </c>
      <c r="D130" t="s">
        <v>41</v>
      </c>
      <c r="E130" t="s">
        <v>27</v>
      </c>
      <c r="F130" t="s">
        <v>35</v>
      </c>
      <c r="G130" t="s">
        <v>23</v>
      </c>
      <c r="H130">
        <v>77833</v>
      </c>
      <c r="I130">
        <v>28228</v>
      </c>
      <c r="J130">
        <v>2</v>
      </c>
      <c r="K130">
        <v>6</v>
      </c>
      <c r="L130">
        <v>2</v>
      </c>
      <c r="M130" t="s">
        <v>25</v>
      </c>
      <c r="N130">
        <v>3</v>
      </c>
      <c r="O130">
        <v>25</v>
      </c>
      <c r="P130">
        <v>25</v>
      </c>
      <c r="Q130">
        <v>4</v>
      </c>
      <c r="R130">
        <v>3</v>
      </c>
      <c r="S130" t="s">
        <v>25</v>
      </c>
    </row>
    <row r="131" spans="1:19" x14ac:dyDescent="0.25">
      <c r="A131">
        <v>10130</v>
      </c>
      <c r="B131">
        <v>52</v>
      </c>
      <c r="C131" t="s">
        <v>19</v>
      </c>
      <c r="D131" t="s">
        <v>20</v>
      </c>
      <c r="E131" t="s">
        <v>33</v>
      </c>
      <c r="F131" t="s">
        <v>39</v>
      </c>
      <c r="G131" t="s">
        <v>38</v>
      </c>
      <c r="H131">
        <v>40352</v>
      </c>
      <c r="I131">
        <v>7521</v>
      </c>
      <c r="J131">
        <v>10</v>
      </c>
      <c r="K131">
        <v>8</v>
      </c>
      <c r="L131">
        <v>4</v>
      </c>
      <c r="M131" t="s">
        <v>25</v>
      </c>
      <c r="N131">
        <v>3</v>
      </c>
      <c r="O131">
        <v>6</v>
      </c>
      <c r="P131">
        <v>38</v>
      </c>
      <c r="Q131">
        <v>4</v>
      </c>
      <c r="R131">
        <v>3</v>
      </c>
      <c r="S131" t="s">
        <v>25</v>
      </c>
    </row>
    <row r="132" spans="1:19" x14ac:dyDescent="0.25">
      <c r="A132">
        <v>10131</v>
      </c>
      <c r="B132">
        <v>58</v>
      </c>
      <c r="C132" t="s">
        <v>31</v>
      </c>
      <c r="D132" t="s">
        <v>20</v>
      </c>
      <c r="E132" t="s">
        <v>27</v>
      </c>
      <c r="F132" t="s">
        <v>39</v>
      </c>
      <c r="G132" t="s">
        <v>38</v>
      </c>
      <c r="H132">
        <v>60097</v>
      </c>
      <c r="I132">
        <v>24487</v>
      </c>
      <c r="J132">
        <v>5</v>
      </c>
      <c r="K132">
        <v>11</v>
      </c>
      <c r="L132">
        <v>3</v>
      </c>
      <c r="M132" t="s">
        <v>25</v>
      </c>
      <c r="N132">
        <v>4</v>
      </c>
      <c r="O132">
        <v>32</v>
      </c>
      <c r="P132">
        <v>11</v>
      </c>
      <c r="Q132">
        <v>4</v>
      </c>
      <c r="R132">
        <v>4</v>
      </c>
      <c r="S132" t="s">
        <v>25</v>
      </c>
    </row>
    <row r="133" spans="1:19" x14ac:dyDescent="0.25">
      <c r="A133">
        <v>10132</v>
      </c>
      <c r="B133">
        <v>41</v>
      </c>
      <c r="C133" t="s">
        <v>31</v>
      </c>
      <c r="D133" t="s">
        <v>32</v>
      </c>
      <c r="E133" t="s">
        <v>27</v>
      </c>
      <c r="F133" t="s">
        <v>22</v>
      </c>
      <c r="G133" t="s">
        <v>38</v>
      </c>
      <c r="H133">
        <v>70983</v>
      </c>
      <c r="I133">
        <v>27624</v>
      </c>
      <c r="J133">
        <v>7</v>
      </c>
      <c r="K133">
        <v>9</v>
      </c>
      <c r="L133">
        <v>4</v>
      </c>
      <c r="M133" t="s">
        <v>25</v>
      </c>
      <c r="N133">
        <v>2</v>
      </c>
      <c r="O133">
        <v>3</v>
      </c>
      <c r="P133">
        <v>12</v>
      </c>
      <c r="Q133">
        <v>3</v>
      </c>
      <c r="R133">
        <v>2</v>
      </c>
      <c r="S133" t="s">
        <v>24</v>
      </c>
    </row>
    <row r="134" spans="1:19" x14ac:dyDescent="0.25">
      <c r="A134">
        <v>10133</v>
      </c>
      <c r="B134">
        <v>38</v>
      </c>
      <c r="C134" t="s">
        <v>19</v>
      </c>
      <c r="D134" t="s">
        <v>28</v>
      </c>
      <c r="E134" t="s">
        <v>33</v>
      </c>
      <c r="F134" t="s">
        <v>39</v>
      </c>
      <c r="G134" t="s">
        <v>38</v>
      </c>
      <c r="H134">
        <v>43810</v>
      </c>
      <c r="I134">
        <v>6411</v>
      </c>
      <c r="J134">
        <v>9</v>
      </c>
      <c r="K134">
        <v>7</v>
      </c>
      <c r="L134">
        <v>3</v>
      </c>
      <c r="M134" t="s">
        <v>25</v>
      </c>
      <c r="N134">
        <v>3</v>
      </c>
      <c r="O134">
        <v>21</v>
      </c>
      <c r="P134">
        <v>12</v>
      </c>
      <c r="Q134">
        <v>3</v>
      </c>
      <c r="R134">
        <v>3</v>
      </c>
      <c r="S134" t="s">
        <v>25</v>
      </c>
    </row>
    <row r="135" spans="1:19" x14ac:dyDescent="0.25">
      <c r="A135">
        <v>10134</v>
      </c>
      <c r="B135">
        <v>26</v>
      </c>
      <c r="C135" t="s">
        <v>19</v>
      </c>
      <c r="D135" t="s">
        <v>28</v>
      </c>
      <c r="E135" t="s">
        <v>36</v>
      </c>
      <c r="F135" t="s">
        <v>39</v>
      </c>
      <c r="G135" t="s">
        <v>38</v>
      </c>
      <c r="H135">
        <v>64909</v>
      </c>
      <c r="I135">
        <v>282</v>
      </c>
      <c r="J135">
        <v>17</v>
      </c>
      <c r="K135">
        <v>10</v>
      </c>
      <c r="L135">
        <v>5</v>
      </c>
      <c r="M135" t="s">
        <v>24</v>
      </c>
      <c r="N135">
        <v>2</v>
      </c>
      <c r="O135">
        <v>8</v>
      </c>
      <c r="P135">
        <v>41</v>
      </c>
      <c r="Q135">
        <v>4</v>
      </c>
      <c r="R135">
        <v>3</v>
      </c>
      <c r="S135" t="s">
        <v>25</v>
      </c>
    </row>
    <row r="136" spans="1:19" x14ac:dyDescent="0.25">
      <c r="A136">
        <v>10135</v>
      </c>
      <c r="B136">
        <v>31</v>
      </c>
      <c r="C136" t="s">
        <v>31</v>
      </c>
      <c r="D136" t="s">
        <v>34</v>
      </c>
      <c r="E136" t="s">
        <v>27</v>
      </c>
      <c r="F136" t="s">
        <v>35</v>
      </c>
      <c r="G136" t="s">
        <v>38</v>
      </c>
      <c r="H136">
        <v>65906</v>
      </c>
      <c r="I136">
        <v>25150</v>
      </c>
      <c r="J136">
        <v>12</v>
      </c>
      <c r="K136">
        <v>6</v>
      </c>
      <c r="L136">
        <v>2</v>
      </c>
      <c r="M136" t="s">
        <v>25</v>
      </c>
      <c r="N136">
        <v>3</v>
      </c>
      <c r="O136">
        <v>28</v>
      </c>
      <c r="P136">
        <v>42</v>
      </c>
      <c r="Q136">
        <v>4</v>
      </c>
      <c r="R136">
        <v>4</v>
      </c>
      <c r="S136" t="s">
        <v>25</v>
      </c>
    </row>
    <row r="137" spans="1:19" x14ac:dyDescent="0.25">
      <c r="A137">
        <v>10136</v>
      </c>
      <c r="B137">
        <v>53</v>
      </c>
      <c r="C137" t="s">
        <v>19</v>
      </c>
      <c r="D137" t="s">
        <v>41</v>
      </c>
      <c r="E137" t="s">
        <v>27</v>
      </c>
      <c r="F137" t="s">
        <v>39</v>
      </c>
      <c r="G137" t="s">
        <v>38</v>
      </c>
      <c r="H137">
        <v>86819</v>
      </c>
      <c r="I137">
        <v>32994</v>
      </c>
      <c r="J137">
        <v>8</v>
      </c>
      <c r="K137">
        <v>3</v>
      </c>
      <c r="L137">
        <v>5</v>
      </c>
      <c r="M137" t="s">
        <v>24</v>
      </c>
      <c r="N137">
        <v>3</v>
      </c>
      <c r="O137">
        <v>11</v>
      </c>
      <c r="P137">
        <v>6</v>
      </c>
      <c r="Q137">
        <v>3</v>
      </c>
      <c r="R137">
        <v>4</v>
      </c>
      <c r="S137" t="s">
        <v>24</v>
      </c>
    </row>
    <row r="138" spans="1:19" x14ac:dyDescent="0.25">
      <c r="A138">
        <v>10137</v>
      </c>
      <c r="B138">
        <v>40</v>
      </c>
      <c r="C138" t="s">
        <v>19</v>
      </c>
      <c r="D138" t="s">
        <v>32</v>
      </c>
      <c r="E138" t="s">
        <v>36</v>
      </c>
      <c r="F138" t="s">
        <v>22</v>
      </c>
      <c r="G138" t="s">
        <v>38</v>
      </c>
      <c r="H138">
        <v>57763</v>
      </c>
      <c r="I138">
        <v>30112</v>
      </c>
      <c r="J138">
        <v>20</v>
      </c>
      <c r="K138">
        <v>2</v>
      </c>
      <c r="L138">
        <v>2</v>
      </c>
      <c r="M138" t="s">
        <v>25</v>
      </c>
      <c r="N138">
        <v>3</v>
      </c>
      <c r="O138">
        <v>11</v>
      </c>
      <c r="P138">
        <v>27</v>
      </c>
      <c r="Q138">
        <v>3</v>
      </c>
      <c r="R138">
        <v>3</v>
      </c>
      <c r="S138" t="s">
        <v>25</v>
      </c>
    </row>
    <row r="139" spans="1:19" x14ac:dyDescent="0.25">
      <c r="A139">
        <v>10138</v>
      </c>
      <c r="B139">
        <v>35</v>
      </c>
      <c r="C139" t="s">
        <v>19</v>
      </c>
      <c r="D139" t="s">
        <v>28</v>
      </c>
      <c r="E139" t="s">
        <v>36</v>
      </c>
      <c r="F139" t="s">
        <v>22</v>
      </c>
      <c r="G139" t="s">
        <v>38</v>
      </c>
      <c r="H139">
        <v>54122</v>
      </c>
      <c r="I139">
        <v>10487</v>
      </c>
      <c r="J139">
        <v>14</v>
      </c>
      <c r="K139">
        <v>6</v>
      </c>
      <c r="L139">
        <v>2</v>
      </c>
      <c r="M139" t="s">
        <v>25</v>
      </c>
      <c r="N139">
        <v>4</v>
      </c>
      <c r="O139">
        <v>23</v>
      </c>
      <c r="P139">
        <v>7</v>
      </c>
      <c r="Q139">
        <v>1</v>
      </c>
      <c r="R139">
        <v>3</v>
      </c>
      <c r="S139" t="s">
        <v>25</v>
      </c>
    </row>
    <row r="140" spans="1:19" x14ac:dyDescent="0.25">
      <c r="A140">
        <v>10139</v>
      </c>
      <c r="B140">
        <v>33</v>
      </c>
      <c r="C140" t="s">
        <v>19</v>
      </c>
      <c r="D140" t="s">
        <v>32</v>
      </c>
      <c r="E140" t="s">
        <v>33</v>
      </c>
      <c r="F140" t="s">
        <v>35</v>
      </c>
      <c r="G140" t="s">
        <v>38</v>
      </c>
      <c r="H140">
        <v>42332</v>
      </c>
      <c r="I140">
        <v>33160</v>
      </c>
      <c r="J140">
        <v>2</v>
      </c>
      <c r="K140">
        <v>11</v>
      </c>
      <c r="L140">
        <v>3</v>
      </c>
      <c r="M140" t="s">
        <v>25</v>
      </c>
      <c r="N140">
        <v>4</v>
      </c>
      <c r="O140">
        <v>27</v>
      </c>
      <c r="P140">
        <v>27</v>
      </c>
      <c r="Q140">
        <v>2</v>
      </c>
      <c r="R140">
        <v>2</v>
      </c>
      <c r="S140" t="s">
        <v>24</v>
      </c>
    </row>
    <row r="141" spans="1:19" x14ac:dyDescent="0.25">
      <c r="A141">
        <v>10140</v>
      </c>
      <c r="B141">
        <v>49</v>
      </c>
      <c r="C141" t="s">
        <v>19</v>
      </c>
      <c r="D141" t="s">
        <v>28</v>
      </c>
      <c r="E141" t="s">
        <v>33</v>
      </c>
      <c r="F141" t="s">
        <v>35</v>
      </c>
      <c r="G141" t="s">
        <v>30</v>
      </c>
      <c r="H141">
        <v>40037</v>
      </c>
      <c r="I141">
        <v>42864</v>
      </c>
      <c r="J141">
        <v>24</v>
      </c>
      <c r="K141">
        <v>7</v>
      </c>
      <c r="L141">
        <v>4</v>
      </c>
      <c r="M141" t="s">
        <v>25</v>
      </c>
      <c r="N141">
        <v>2</v>
      </c>
      <c r="O141">
        <v>19</v>
      </c>
      <c r="P141">
        <v>50</v>
      </c>
      <c r="Q141">
        <v>3</v>
      </c>
      <c r="R141">
        <v>4</v>
      </c>
      <c r="S141" t="s">
        <v>25</v>
      </c>
    </row>
    <row r="142" spans="1:19" x14ac:dyDescent="0.25">
      <c r="A142">
        <v>10141</v>
      </c>
      <c r="B142">
        <v>38</v>
      </c>
      <c r="C142" t="s">
        <v>19</v>
      </c>
      <c r="D142" t="s">
        <v>34</v>
      </c>
      <c r="E142" t="s">
        <v>40</v>
      </c>
      <c r="F142" t="s">
        <v>35</v>
      </c>
      <c r="G142" t="s">
        <v>38</v>
      </c>
      <c r="H142">
        <v>17230</v>
      </c>
      <c r="I142">
        <v>34228</v>
      </c>
      <c r="J142">
        <v>3</v>
      </c>
      <c r="K142">
        <v>7</v>
      </c>
      <c r="L142">
        <v>3</v>
      </c>
      <c r="M142" t="s">
        <v>24</v>
      </c>
      <c r="N142">
        <v>3</v>
      </c>
      <c r="O142">
        <v>25</v>
      </c>
      <c r="P142">
        <v>18</v>
      </c>
      <c r="Q142">
        <v>3</v>
      </c>
      <c r="R142">
        <v>3</v>
      </c>
      <c r="S142" t="s">
        <v>25</v>
      </c>
    </row>
    <row r="143" spans="1:19" x14ac:dyDescent="0.25">
      <c r="A143">
        <v>10142</v>
      </c>
      <c r="B143">
        <v>21</v>
      </c>
      <c r="C143" t="s">
        <v>19</v>
      </c>
      <c r="D143" t="s">
        <v>20</v>
      </c>
      <c r="E143" t="s">
        <v>27</v>
      </c>
      <c r="F143" t="s">
        <v>39</v>
      </c>
      <c r="G143" t="s">
        <v>30</v>
      </c>
      <c r="H143">
        <v>68259</v>
      </c>
      <c r="I143">
        <v>5374</v>
      </c>
      <c r="J143">
        <v>22</v>
      </c>
      <c r="K143">
        <v>12</v>
      </c>
      <c r="L143">
        <v>4</v>
      </c>
      <c r="M143" t="s">
        <v>24</v>
      </c>
      <c r="N143">
        <v>2</v>
      </c>
      <c r="O143">
        <v>11</v>
      </c>
      <c r="P143">
        <v>50</v>
      </c>
      <c r="Q143">
        <v>3</v>
      </c>
      <c r="R143">
        <v>4</v>
      </c>
      <c r="S143" t="s">
        <v>24</v>
      </c>
    </row>
    <row r="144" spans="1:19" x14ac:dyDescent="0.25">
      <c r="A144">
        <v>10143</v>
      </c>
      <c r="B144">
        <v>28</v>
      </c>
      <c r="C144" t="s">
        <v>19</v>
      </c>
      <c r="D144" t="s">
        <v>32</v>
      </c>
      <c r="E144" t="s">
        <v>21</v>
      </c>
      <c r="F144" t="s">
        <v>35</v>
      </c>
      <c r="G144" t="s">
        <v>30</v>
      </c>
      <c r="H144">
        <v>106288</v>
      </c>
      <c r="I144">
        <v>9168</v>
      </c>
      <c r="J144">
        <v>1</v>
      </c>
      <c r="K144">
        <v>7</v>
      </c>
      <c r="L144">
        <v>5</v>
      </c>
      <c r="M144" t="s">
        <v>24</v>
      </c>
      <c r="N144">
        <v>3</v>
      </c>
      <c r="O144">
        <v>12</v>
      </c>
      <c r="P144">
        <v>58</v>
      </c>
      <c r="Q144">
        <v>4</v>
      </c>
      <c r="R144">
        <v>3</v>
      </c>
      <c r="S144" t="s">
        <v>25</v>
      </c>
    </row>
    <row r="145" spans="1:19" x14ac:dyDescent="0.25">
      <c r="A145">
        <v>10144</v>
      </c>
      <c r="B145">
        <v>57</v>
      </c>
      <c r="C145" t="s">
        <v>19</v>
      </c>
      <c r="D145" t="s">
        <v>34</v>
      </c>
      <c r="E145" t="s">
        <v>21</v>
      </c>
      <c r="F145" t="s">
        <v>39</v>
      </c>
      <c r="G145" t="s">
        <v>30</v>
      </c>
      <c r="H145">
        <v>104567</v>
      </c>
      <c r="I145">
        <v>28803</v>
      </c>
      <c r="J145">
        <v>22</v>
      </c>
      <c r="K145">
        <v>6</v>
      </c>
      <c r="L145">
        <v>2</v>
      </c>
      <c r="M145" t="s">
        <v>25</v>
      </c>
      <c r="N145">
        <v>4</v>
      </c>
      <c r="O145">
        <v>3</v>
      </c>
      <c r="P145">
        <v>26</v>
      </c>
      <c r="Q145">
        <v>4</v>
      </c>
      <c r="R145">
        <v>2</v>
      </c>
      <c r="S145" t="s">
        <v>25</v>
      </c>
    </row>
    <row r="146" spans="1:19" x14ac:dyDescent="0.25">
      <c r="A146">
        <v>10145</v>
      </c>
      <c r="B146">
        <v>44</v>
      </c>
      <c r="C146" t="s">
        <v>19</v>
      </c>
      <c r="D146" t="s">
        <v>20</v>
      </c>
      <c r="E146" t="s">
        <v>29</v>
      </c>
      <c r="F146" t="s">
        <v>22</v>
      </c>
      <c r="G146" t="s">
        <v>38</v>
      </c>
      <c r="H146">
        <v>140389</v>
      </c>
      <c r="I146">
        <v>28933</v>
      </c>
      <c r="J146">
        <v>7</v>
      </c>
      <c r="K146">
        <v>2</v>
      </c>
      <c r="L146">
        <v>3</v>
      </c>
      <c r="M146" t="s">
        <v>25</v>
      </c>
      <c r="N146">
        <v>3</v>
      </c>
      <c r="O146">
        <v>35</v>
      </c>
      <c r="P146">
        <v>44</v>
      </c>
      <c r="Q146">
        <v>1</v>
      </c>
      <c r="R146">
        <v>3</v>
      </c>
      <c r="S146" t="s">
        <v>25</v>
      </c>
    </row>
    <row r="147" spans="1:19" x14ac:dyDescent="0.25">
      <c r="A147">
        <v>10146</v>
      </c>
      <c r="B147">
        <v>27</v>
      </c>
      <c r="C147" t="s">
        <v>19</v>
      </c>
      <c r="D147" t="s">
        <v>28</v>
      </c>
      <c r="E147" t="s">
        <v>36</v>
      </c>
      <c r="F147" t="s">
        <v>22</v>
      </c>
      <c r="G147" t="s">
        <v>38</v>
      </c>
      <c r="H147">
        <v>55288</v>
      </c>
      <c r="I147">
        <v>37465</v>
      </c>
      <c r="J147">
        <v>6</v>
      </c>
      <c r="K147">
        <v>4</v>
      </c>
      <c r="L147">
        <v>3</v>
      </c>
      <c r="M147" t="s">
        <v>25</v>
      </c>
      <c r="N147">
        <v>3</v>
      </c>
      <c r="O147">
        <v>9</v>
      </c>
      <c r="P147">
        <v>28</v>
      </c>
      <c r="Q147">
        <v>1</v>
      </c>
      <c r="R147">
        <v>1</v>
      </c>
      <c r="S147" t="s">
        <v>25</v>
      </c>
    </row>
    <row r="148" spans="1:19" x14ac:dyDescent="0.25">
      <c r="A148">
        <v>10147</v>
      </c>
      <c r="B148">
        <v>30</v>
      </c>
      <c r="C148" t="s">
        <v>19</v>
      </c>
      <c r="D148" t="s">
        <v>41</v>
      </c>
      <c r="E148" t="s">
        <v>36</v>
      </c>
      <c r="F148" t="s">
        <v>22</v>
      </c>
      <c r="G148" t="s">
        <v>30</v>
      </c>
      <c r="H148">
        <v>48112</v>
      </c>
      <c r="I148">
        <v>44199</v>
      </c>
      <c r="J148">
        <v>11</v>
      </c>
      <c r="K148">
        <v>2</v>
      </c>
      <c r="L148">
        <v>3</v>
      </c>
      <c r="M148" t="s">
        <v>25</v>
      </c>
      <c r="N148">
        <v>4</v>
      </c>
      <c r="O148">
        <v>12</v>
      </c>
      <c r="P148">
        <v>52</v>
      </c>
      <c r="Q148">
        <v>1</v>
      </c>
      <c r="R148">
        <v>2</v>
      </c>
      <c r="S148" t="s">
        <v>25</v>
      </c>
    </row>
    <row r="149" spans="1:19" x14ac:dyDescent="0.25">
      <c r="A149">
        <v>10148</v>
      </c>
      <c r="B149">
        <v>42</v>
      </c>
      <c r="C149" t="s">
        <v>31</v>
      </c>
      <c r="D149" t="s">
        <v>41</v>
      </c>
      <c r="E149" t="s">
        <v>27</v>
      </c>
      <c r="F149" t="s">
        <v>22</v>
      </c>
      <c r="G149" t="s">
        <v>30</v>
      </c>
      <c r="H149">
        <v>84749</v>
      </c>
      <c r="I149">
        <v>46737</v>
      </c>
      <c r="J149">
        <v>1</v>
      </c>
      <c r="K149">
        <v>3</v>
      </c>
      <c r="L149">
        <v>3</v>
      </c>
      <c r="M149" t="s">
        <v>25</v>
      </c>
      <c r="N149">
        <v>3</v>
      </c>
      <c r="O149">
        <v>19</v>
      </c>
      <c r="P149">
        <v>51</v>
      </c>
      <c r="Q149">
        <v>1</v>
      </c>
      <c r="R149">
        <v>3</v>
      </c>
      <c r="S149" t="s">
        <v>25</v>
      </c>
    </row>
    <row r="150" spans="1:19" x14ac:dyDescent="0.25">
      <c r="A150">
        <v>10149</v>
      </c>
      <c r="B150">
        <v>29</v>
      </c>
      <c r="C150" t="s">
        <v>31</v>
      </c>
      <c r="D150" t="s">
        <v>34</v>
      </c>
      <c r="E150" t="s">
        <v>40</v>
      </c>
      <c r="F150" t="s">
        <v>39</v>
      </c>
      <c r="G150" t="s">
        <v>30</v>
      </c>
      <c r="H150">
        <v>15889</v>
      </c>
      <c r="I150">
        <v>9101</v>
      </c>
      <c r="J150">
        <v>17</v>
      </c>
      <c r="K150">
        <v>2</v>
      </c>
      <c r="L150">
        <v>5</v>
      </c>
      <c r="M150" t="s">
        <v>25</v>
      </c>
      <c r="N150">
        <v>4</v>
      </c>
      <c r="O150">
        <v>20</v>
      </c>
      <c r="P150">
        <v>10</v>
      </c>
      <c r="Q150">
        <v>3</v>
      </c>
      <c r="R150">
        <v>1</v>
      </c>
      <c r="S150" t="s">
        <v>25</v>
      </c>
    </row>
    <row r="151" spans="1:19" x14ac:dyDescent="0.25">
      <c r="A151">
        <v>10150</v>
      </c>
      <c r="B151">
        <v>31</v>
      </c>
      <c r="C151" t="s">
        <v>19</v>
      </c>
      <c r="D151" t="s">
        <v>26</v>
      </c>
      <c r="E151" t="s">
        <v>36</v>
      </c>
      <c r="F151" t="s">
        <v>39</v>
      </c>
      <c r="G151" t="s">
        <v>30</v>
      </c>
      <c r="H151">
        <v>58392</v>
      </c>
      <c r="I151">
        <v>24364</v>
      </c>
      <c r="J151">
        <v>14</v>
      </c>
      <c r="K151">
        <v>9</v>
      </c>
      <c r="L151">
        <v>5</v>
      </c>
      <c r="M151" t="s">
        <v>25</v>
      </c>
      <c r="N151">
        <v>1</v>
      </c>
      <c r="O151">
        <v>25</v>
      </c>
      <c r="P151">
        <v>27</v>
      </c>
      <c r="Q151">
        <v>2</v>
      </c>
      <c r="R151">
        <v>4</v>
      </c>
      <c r="S151" t="s">
        <v>24</v>
      </c>
    </row>
    <row r="152" spans="1:19" x14ac:dyDescent="0.25">
      <c r="A152">
        <v>10151</v>
      </c>
      <c r="B152">
        <v>57</v>
      </c>
      <c r="C152" t="s">
        <v>19</v>
      </c>
      <c r="D152" t="s">
        <v>20</v>
      </c>
      <c r="E152" t="s">
        <v>21</v>
      </c>
      <c r="F152" t="s">
        <v>35</v>
      </c>
      <c r="G152" t="s">
        <v>38</v>
      </c>
      <c r="H152">
        <v>126268</v>
      </c>
      <c r="I152">
        <v>42849</v>
      </c>
      <c r="J152">
        <v>2</v>
      </c>
      <c r="K152">
        <v>2</v>
      </c>
      <c r="L152">
        <v>4</v>
      </c>
      <c r="M152" t="s">
        <v>25</v>
      </c>
      <c r="N152">
        <v>3</v>
      </c>
      <c r="O152">
        <v>11</v>
      </c>
      <c r="P152">
        <v>52</v>
      </c>
      <c r="Q152">
        <v>2</v>
      </c>
      <c r="R152">
        <v>1</v>
      </c>
      <c r="S152" t="s">
        <v>25</v>
      </c>
    </row>
    <row r="153" spans="1:19" x14ac:dyDescent="0.25">
      <c r="A153">
        <v>10152</v>
      </c>
      <c r="B153">
        <v>56</v>
      </c>
      <c r="C153" t="s">
        <v>31</v>
      </c>
      <c r="D153" t="s">
        <v>28</v>
      </c>
      <c r="E153" t="s">
        <v>33</v>
      </c>
      <c r="F153" t="s">
        <v>39</v>
      </c>
      <c r="G153" t="s">
        <v>38</v>
      </c>
      <c r="H153">
        <v>28361</v>
      </c>
      <c r="I153">
        <v>21312</v>
      </c>
      <c r="J153">
        <v>0</v>
      </c>
      <c r="K153">
        <v>14</v>
      </c>
      <c r="L153">
        <v>2</v>
      </c>
      <c r="M153" t="s">
        <v>24</v>
      </c>
      <c r="N153">
        <v>3</v>
      </c>
      <c r="O153">
        <v>28</v>
      </c>
      <c r="P153">
        <v>39</v>
      </c>
      <c r="Q153">
        <v>2</v>
      </c>
      <c r="R153">
        <v>2</v>
      </c>
      <c r="S153" t="s">
        <v>25</v>
      </c>
    </row>
    <row r="154" spans="1:19" x14ac:dyDescent="0.25">
      <c r="A154">
        <v>10153</v>
      </c>
      <c r="B154">
        <v>31</v>
      </c>
      <c r="C154" t="s">
        <v>19</v>
      </c>
      <c r="D154" t="s">
        <v>20</v>
      </c>
      <c r="E154" t="s">
        <v>33</v>
      </c>
      <c r="F154" t="s">
        <v>39</v>
      </c>
      <c r="G154" t="s">
        <v>38</v>
      </c>
      <c r="H154">
        <v>38703</v>
      </c>
      <c r="I154">
        <v>5744</v>
      </c>
      <c r="J154">
        <v>12</v>
      </c>
      <c r="K154">
        <v>1</v>
      </c>
      <c r="L154">
        <v>3</v>
      </c>
      <c r="M154" t="s">
        <v>24</v>
      </c>
      <c r="N154">
        <v>3</v>
      </c>
      <c r="O154">
        <v>11</v>
      </c>
      <c r="P154">
        <v>49</v>
      </c>
      <c r="Q154">
        <v>3</v>
      </c>
      <c r="R154">
        <v>2</v>
      </c>
      <c r="S154" t="s">
        <v>25</v>
      </c>
    </row>
    <row r="155" spans="1:19" x14ac:dyDescent="0.25">
      <c r="A155">
        <v>10154</v>
      </c>
      <c r="B155">
        <v>34</v>
      </c>
      <c r="C155" t="s">
        <v>19</v>
      </c>
      <c r="D155" t="s">
        <v>20</v>
      </c>
      <c r="E155" t="s">
        <v>33</v>
      </c>
      <c r="F155" t="s">
        <v>39</v>
      </c>
      <c r="G155" t="s">
        <v>38</v>
      </c>
      <c r="H155">
        <v>43693</v>
      </c>
      <c r="I155">
        <v>2169</v>
      </c>
      <c r="J155">
        <v>4</v>
      </c>
      <c r="K155">
        <v>9</v>
      </c>
      <c r="L155">
        <v>3</v>
      </c>
      <c r="M155" t="s">
        <v>25</v>
      </c>
      <c r="N155">
        <v>3</v>
      </c>
      <c r="O155">
        <v>18</v>
      </c>
      <c r="P155">
        <v>13</v>
      </c>
      <c r="Q155">
        <v>4</v>
      </c>
      <c r="R155">
        <v>4</v>
      </c>
      <c r="S155" t="s">
        <v>25</v>
      </c>
    </row>
    <row r="156" spans="1:19" x14ac:dyDescent="0.25">
      <c r="A156">
        <v>10155</v>
      </c>
      <c r="B156">
        <v>24</v>
      </c>
      <c r="C156" t="s">
        <v>31</v>
      </c>
      <c r="D156" t="s">
        <v>20</v>
      </c>
      <c r="E156" t="s">
        <v>33</v>
      </c>
      <c r="F156" t="s">
        <v>22</v>
      </c>
      <c r="G156" t="s">
        <v>30</v>
      </c>
      <c r="H156">
        <v>32151</v>
      </c>
      <c r="I156">
        <v>10913</v>
      </c>
      <c r="J156">
        <v>12</v>
      </c>
      <c r="K156">
        <v>5</v>
      </c>
      <c r="L156">
        <v>3</v>
      </c>
      <c r="M156" t="s">
        <v>25</v>
      </c>
      <c r="N156">
        <v>3</v>
      </c>
      <c r="O156">
        <v>34</v>
      </c>
      <c r="P156">
        <v>36</v>
      </c>
      <c r="Q156">
        <v>4</v>
      </c>
      <c r="R156">
        <v>3</v>
      </c>
      <c r="S156" t="s">
        <v>25</v>
      </c>
    </row>
    <row r="157" spans="1:19" x14ac:dyDescent="0.25">
      <c r="A157">
        <v>10156</v>
      </c>
      <c r="B157">
        <v>20</v>
      </c>
      <c r="C157" t="s">
        <v>19</v>
      </c>
      <c r="D157" t="s">
        <v>20</v>
      </c>
      <c r="E157" t="s">
        <v>36</v>
      </c>
      <c r="F157" t="s">
        <v>39</v>
      </c>
      <c r="G157" t="s">
        <v>38</v>
      </c>
      <c r="H157">
        <v>45138</v>
      </c>
      <c r="I157">
        <v>37772</v>
      </c>
      <c r="J157">
        <v>14</v>
      </c>
      <c r="K157">
        <v>1</v>
      </c>
      <c r="L157">
        <v>3</v>
      </c>
      <c r="M157" t="s">
        <v>25</v>
      </c>
      <c r="N157">
        <v>4</v>
      </c>
      <c r="O157">
        <v>18</v>
      </c>
      <c r="P157">
        <v>44</v>
      </c>
      <c r="Q157">
        <v>3</v>
      </c>
      <c r="R157">
        <v>2</v>
      </c>
      <c r="S157" t="s">
        <v>25</v>
      </c>
    </row>
    <row r="158" spans="1:19" x14ac:dyDescent="0.25">
      <c r="A158">
        <v>10157</v>
      </c>
      <c r="B158">
        <v>55</v>
      </c>
      <c r="C158" t="s">
        <v>19</v>
      </c>
      <c r="D158" t="s">
        <v>34</v>
      </c>
      <c r="E158" t="s">
        <v>27</v>
      </c>
      <c r="F158" t="s">
        <v>35</v>
      </c>
      <c r="G158" t="s">
        <v>38</v>
      </c>
      <c r="H158">
        <v>74852</v>
      </c>
      <c r="I158">
        <v>1140</v>
      </c>
      <c r="J158">
        <v>1</v>
      </c>
      <c r="K158">
        <v>10</v>
      </c>
      <c r="L158">
        <v>3</v>
      </c>
      <c r="M158" t="s">
        <v>25</v>
      </c>
      <c r="N158">
        <v>1</v>
      </c>
      <c r="O158">
        <v>11</v>
      </c>
      <c r="P158">
        <v>43</v>
      </c>
      <c r="Q158">
        <v>3</v>
      </c>
      <c r="R158">
        <v>1</v>
      </c>
      <c r="S158" t="s">
        <v>25</v>
      </c>
    </row>
    <row r="159" spans="1:19" x14ac:dyDescent="0.25">
      <c r="A159">
        <v>10158</v>
      </c>
      <c r="B159">
        <v>45</v>
      </c>
      <c r="C159" t="s">
        <v>31</v>
      </c>
      <c r="D159" t="s">
        <v>34</v>
      </c>
      <c r="E159" t="s">
        <v>21</v>
      </c>
      <c r="F159" t="s">
        <v>37</v>
      </c>
      <c r="G159" t="s">
        <v>30</v>
      </c>
      <c r="H159">
        <v>122272</v>
      </c>
      <c r="I159">
        <v>29535</v>
      </c>
      <c r="J159">
        <v>5</v>
      </c>
      <c r="K159">
        <v>14</v>
      </c>
      <c r="L159">
        <v>3</v>
      </c>
      <c r="M159" t="s">
        <v>25</v>
      </c>
      <c r="N159">
        <v>3</v>
      </c>
      <c r="O159">
        <v>24</v>
      </c>
      <c r="P159">
        <v>27</v>
      </c>
      <c r="Q159">
        <v>4</v>
      </c>
      <c r="R159">
        <v>2</v>
      </c>
      <c r="S159" t="s">
        <v>25</v>
      </c>
    </row>
    <row r="160" spans="1:19" x14ac:dyDescent="0.25">
      <c r="A160">
        <v>10159</v>
      </c>
      <c r="B160">
        <v>47</v>
      </c>
      <c r="C160" t="s">
        <v>19</v>
      </c>
      <c r="D160" t="s">
        <v>32</v>
      </c>
      <c r="E160" t="s">
        <v>36</v>
      </c>
      <c r="F160" t="s">
        <v>35</v>
      </c>
      <c r="G160" t="s">
        <v>30</v>
      </c>
      <c r="H160">
        <v>60309</v>
      </c>
      <c r="I160">
        <v>41862</v>
      </c>
      <c r="J160">
        <v>12</v>
      </c>
      <c r="K160">
        <v>2</v>
      </c>
      <c r="L160">
        <v>3</v>
      </c>
      <c r="M160" t="s">
        <v>24</v>
      </c>
      <c r="N160">
        <v>4</v>
      </c>
      <c r="O160">
        <v>17</v>
      </c>
      <c r="P160">
        <v>21</v>
      </c>
      <c r="Q160">
        <v>3</v>
      </c>
      <c r="R160">
        <v>4</v>
      </c>
      <c r="S160" t="s">
        <v>25</v>
      </c>
    </row>
    <row r="161" spans="1:19" x14ac:dyDescent="0.25">
      <c r="A161">
        <v>10160</v>
      </c>
      <c r="B161">
        <v>50</v>
      </c>
      <c r="C161" t="s">
        <v>31</v>
      </c>
      <c r="D161" t="s">
        <v>34</v>
      </c>
      <c r="E161" t="s">
        <v>21</v>
      </c>
      <c r="F161" t="s">
        <v>35</v>
      </c>
      <c r="G161" t="s">
        <v>30</v>
      </c>
      <c r="H161">
        <v>115518</v>
      </c>
      <c r="I161">
        <v>36188</v>
      </c>
      <c r="J161">
        <v>21</v>
      </c>
      <c r="K161">
        <v>10</v>
      </c>
      <c r="L161">
        <v>4</v>
      </c>
      <c r="M161" t="s">
        <v>25</v>
      </c>
      <c r="N161">
        <v>3</v>
      </c>
      <c r="O161">
        <v>21</v>
      </c>
      <c r="P161">
        <v>20</v>
      </c>
      <c r="Q161">
        <v>3</v>
      </c>
      <c r="R161">
        <v>4</v>
      </c>
      <c r="S161" t="s">
        <v>25</v>
      </c>
    </row>
    <row r="162" spans="1:19" x14ac:dyDescent="0.25">
      <c r="A162">
        <v>10161</v>
      </c>
      <c r="B162">
        <v>45</v>
      </c>
      <c r="C162" t="s">
        <v>31</v>
      </c>
      <c r="D162" t="s">
        <v>20</v>
      </c>
      <c r="E162" t="s">
        <v>36</v>
      </c>
      <c r="F162" t="s">
        <v>35</v>
      </c>
      <c r="G162" t="s">
        <v>38</v>
      </c>
      <c r="H162">
        <v>57306</v>
      </c>
      <c r="I162">
        <v>10886</v>
      </c>
      <c r="J162">
        <v>2</v>
      </c>
      <c r="K162">
        <v>0</v>
      </c>
      <c r="L162">
        <v>3</v>
      </c>
      <c r="M162" t="s">
        <v>25</v>
      </c>
      <c r="N162">
        <v>1</v>
      </c>
      <c r="O162">
        <v>13</v>
      </c>
      <c r="P162">
        <v>44</v>
      </c>
      <c r="Q162">
        <v>2</v>
      </c>
      <c r="R162">
        <v>4</v>
      </c>
      <c r="S162" t="s">
        <v>25</v>
      </c>
    </row>
    <row r="163" spans="1:19" x14ac:dyDescent="0.25">
      <c r="A163">
        <v>10162</v>
      </c>
      <c r="B163">
        <v>28</v>
      </c>
      <c r="C163" t="s">
        <v>19</v>
      </c>
      <c r="D163" t="s">
        <v>34</v>
      </c>
      <c r="E163" t="s">
        <v>21</v>
      </c>
      <c r="F163" t="s">
        <v>35</v>
      </c>
      <c r="G163" t="s">
        <v>38</v>
      </c>
      <c r="H163">
        <v>105038</v>
      </c>
      <c r="I163">
        <v>8605</v>
      </c>
      <c r="J163">
        <v>5</v>
      </c>
      <c r="K163">
        <v>10</v>
      </c>
      <c r="L163">
        <v>3</v>
      </c>
      <c r="M163" t="s">
        <v>24</v>
      </c>
      <c r="N163">
        <v>4</v>
      </c>
      <c r="O163">
        <v>32</v>
      </c>
      <c r="P163">
        <v>38</v>
      </c>
      <c r="Q163">
        <v>1</v>
      </c>
      <c r="R163">
        <v>1</v>
      </c>
      <c r="S163" t="s">
        <v>25</v>
      </c>
    </row>
    <row r="164" spans="1:19" x14ac:dyDescent="0.25">
      <c r="A164">
        <v>10163</v>
      </c>
      <c r="B164">
        <v>35</v>
      </c>
      <c r="C164" t="s">
        <v>31</v>
      </c>
      <c r="D164" t="s">
        <v>20</v>
      </c>
      <c r="E164" t="s">
        <v>36</v>
      </c>
      <c r="F164" t="s">
        <v>39</v>
      </c>
      <c r="G164" t="s">
        <v>38</v>
      </c>
      <c r="H164">
        <v>57449</v>
      </c>
      <c r="I164">
        <v>46092</v>
      </c>
      <c r="J164">
        <v>23</v>
      </c>
      <c r="K164">
        <v>14</v>
      </c>
      <c r="L164">
        <v>3</v>
      </c>
      <c r="M164" t="s">
        <v>25</v>
      </c>
      <c r="N164">
        <v>2</v>
      </c>
      <c r="O164">
        <v>23</v>
      </c>
      <c r="P164">
        <v>18</v>
      </c>
      <c r="Q164">
        <v>3</v>
      </c>
      <c r="R164">
        <v>2</v>
      </c>
      <c r="S164" t="s">
        <v>24</v>
      </c>
    </row>
    <row r="165" spans="1:19" x14ac:dyDescent="0.25">
      <c r="A165">
        <v>10164</v>
      </c>
      <c r="B165">
        <v>32</v>
      </c>
      <c r="C165" t="s">
        <v>19</v>
      </c>
      <c r="D165" t="s">
        <v>20</v>
      </c>
      <c r="E165" t="s">
        <v>36</v>
      </c>
      <c r="F165" t="s">
        <v>39</v>
      </c>
      <c r="G165" t="s">
        <v>38</v>
      </c>
      <c r="H165">
        <v>60592</v>
      </c>
      <c r="I165">
        <v>23864</v>
      </c>
      <c r="J165">
        <v>24</v>
      </c>
      <c r="K165">
        <v>5</v>
      </c>
      <c r="L165">
        <v>2</v>
      </c>
      <c r="M165" t="s">
        <v>25</v>
      </c>
      <c r="N165">
        <v>4</v>
      </c>
      <c r="O165">
        <v>10</v>
      </c>
      <c r="P165">
        <v>14</v>
      </c>
      <c r="Q165">
        <v>2</v>
      </c>
      <c r="R165">
        <v>4</v>
      </c>
      <c r="S165" t="s">
        <v>25</v>
      </c>
    </row>
    <row r="166" spans="1:19" x14ac:dyDescent="0.25">
      <c r="A166">
        <v>10165</v>
      </c>
      <c r="B166">
        <v>43</v>
      </c>
      <c r="C166" t="s">
        <v>19</v>
      </c>
      <c r="D166" t="s">
        <v>41</v>
      </c>
      <c r="E166" t="s">
        <v>27</v>
      </c>
      <c r="F166" t="s">
        <v>39</v>
      </c>
      <c r="G166" t="s">
        <v>30</v>
      </c>
      <c r="H166">
        <v>76237</v>
      </c>
      <c r="I166">
        <v>18691</v>
      </c>
      <c r="J166">
        <v>12</v>
      </c>
      <c r="K166">
        <v>10</v>
      </c>
      <c r="L166">
        <v>4</v>
      </c>
      <c r="M166" t="s">
        <v>25</v>
      </c>
      <c r="N166">
        <v>3</v>
      </c>
      <c r="O166">
        <v>14</v>
      </c>
      <c r="P166">
        <v>38</v>
      </c>
      <c r="Q166">
        <v>4</v>
      </c>
      <c r="R166">
        <v>1</v>
      </c>
      <c r="S166" t="s">
        <v>25</v>
      </c>
    </row>
    <row r="167" spans="1:19" x14ac:dyDescent="0.25">
      <c r="A167">
        <v>10166</v>
      </c>
      <c r="B167">
        <v>48</v>
      </c>
      <c r="C167" t="s">
        <v>19</v>
      </c>
      <c r="D167" t="s">
        <v>41</v>
      </c>
      <c r="E167" t="s">
        <v>27</v>
      </c>
      <c r="F167" t="s">
        <v>22</v>
      </c>
      <c r="G167" t="s">
        <v>38</v>
      </c>
      <c r="H167">
        <v>81470</v>
      </c>
      <c r="I167">
        <v>26917</v>
      </c>
      <c r="J167">
        <v>16</v>
      </c>
      <c r="K167">
        <v>6</v>
      </c>
      <c r="L167">
        <v>3</v>
      </c>
      <c r="M167" t="s">
        <v>25</v>
      </c>
      <c r="N167">
        <v>3</v>
      </c>
      <c r="O167">
        <v>29</v>
      </c>
      <c r="P167">
        <v>32</v>
      </c>
      <c r="Q167">
        <v>2</v>
      </c>
      <c r="R167">
        <v>1</v>
      </c>
      <c r="S167" t="s">
        <v>25</v>
      </c>
    </row>
    <row r="168" spans="1:19" x14ac:dyDescent="0.25">
      <c r="A168">
        <v>10167</v>
      </c>
      <c r="B168">
        <v>32</v>
      </c>
      <c r="C168" t="s">
        <v>31</v>
      </c>
      <c r="D168" t="s">
        <v>28</v>
      </c>
      <c r="E168" t="s">
        <v>27</v>
      </c>
      <c r="F168" t="s">
        <v>39</v>
      </c>
      <c r="G168" t="s">
        <v>38</v>
      </c>
      <c r="H168">
        <v>76209</v>
      </c>
      <c r="I168">
        <v>48695</v>
      </c>
      <c r="J168">
        <v>11</v>
      </c>
      <c r="K168">
        <v>2</v>
      </c>
      <c r="L168">
        <v>2</v>
      </c>
      <c r="M168" t="s">
        <v>25</v>
      </c>
      <c r="N168">
        <v>3</v>
      </c>
      <c r="O168">
        <v>33</v>
      </c>
      <c r="P168">
        <v>31</v>
      </c>
      <c r="Q168">
        <v>4</v>
      </c>
      <c r="R168">
        <v>4</v>
      </c>
      <c r="S168" t="s">
        <v>25</v>
      </c>
    </row>
    <row r="169" spans="1:19" x14ac:dyDescent="0.25">
      <c r="A169">
        <v>10168</v>
      </c>
      <c r="B169">
        <v>36</v>
      </c>
      <c r="C169" t="s">
        <v>19</v>
      </c>
      <c r="D169" t="s">
        <v>41</v>
      </c>
      <c r="E169" t="s">
        <v>33</v>
      </c>
      <c r="F169" t="s">
        <v>39</v>
      </c>
      <c r="G169" t="s">
        <v>23</v>
      </c>
      <c r="H169">
        <v>44991</v>
      </c>
      <c r="I169">
        <v>5832</v>
      </c>
      <c r="J169">
        <v>20</v>
      </c>
      <c r="K169">
        <v>3</v>
      </c>
      <c r="L169">
        <v>4</v>
      </c>
      <c r="M169" t="s">
        <v>25</v>
      </c>
      <c r="N169">
        <v>1</v>
      </c>
      <c r="O169">
        <v>37</v>
      </c>
      <c r="P169">
        <v>58</v>
      </c>
      <c r="Q169">
        <v>4</v>
      </c>
      <c r="R169">
        <v>4</v>
      </c>
      <c r="S169" t="s">
        <v>25</v>
      </c>
    </row>
    <row r="170" spans="1:19" x14ac:dyDescent="0.25">
      <c r="A170">
        <v>10169</v>
      </c>
      <c r="B170">
        <v>26</v>
      </c>
      <c r="C170" t="s">
        <v>19</v>
      </c>
      <c r="D170" t="s">
        <v>32</v>
      </c>
      <c r="E170" t="s">
        <v>36</v>
      </c>
      <c r="F170" t="s">
        <v>35</v>
      </c>
      <c r="G170" t="s">
        <v>38</v>
      </c>
      <c r="H170">
        <v>51093</v>
      </c>
      <c r="I170">
        <v>24972</v>
      </c>
      <c r="J170">
        <v>3</v>
      </c>
      <c r="K170">
        <v>14</v>
      </c>
      <c r="L170">
        <v>4</v>
      </c>
      <c r="M170" t="s">
        <v>25</v>
      </c>
      <c r="N170">
        <v>4</v>
      </c>
      <c r="O170">
        <v>22</v>
      </c>
      <c r="P170">
        <v>37</v>
      </c>
      <c r="Q170">
        <v>4</v>
      </c>
      <c r="R170">
        <v>3</v>
      </c>
      <c r="S170" t="s">
        <v>25</v>
      </c>
    </row>
    <row r="171" spans="1:19" x14ac:dyDescent="0.25">
      <c r="A171">
        <v>10170</v>
      </c>
      <c r="B171">
        <v>25</v>
      </c>
      <c r="C171" t="s">
        <v>31</v>
      </c>
      <c r="D171" t="s">
        <v>34</v>
      </c>
      <c r="E171" t="s">
        <v>33</v>
      </c>
      <c r="F171" t="s">
        <v>39</v>
      </c>
      <c r="G171" t="s">
        <v>38</v>
      </c>
      <c r="H171">
        <v>39609</v>
      </c>
      <c r="I171">
        <v>47591</v>
      </c>
      <c r="J171">
        <v>21</v>
      </c>
      <c r="K171">
        <v>5</v>
      </c>
      <c r="L171">
        <v>3</v>
      </c>
      <c r="M171" t="s">
        <v>24</v>
      </c>
      <c r="N171">
        <v>1</v>
      </c>
      <c r="O171">
        <v>13</v>
      </c>
      <c r="P171">
        <v>53</v>
      </c>
      <c r="Q171">
        <v>4</v>
      </c>
      <c r="R171">
        <v>1</v>
      </c>
      <c r="S171" t="s">
        <v>25</v>
      </c>
    </row>
    <row r="172" spans="1:19" x14ac:dyDescent="0.25">
      <c r="A172">
        <v>10171</v>
      </c>
      <c r="B172">
        <v>21</v>
      </c>
      <c r="C172" t="s">
        <v>19</v>
      </c>
      <c r="D172" t="s">
        <v>32</v>
      </c>
      <c r="E172" t="s">
        <v>21</v>
      </c>
      <c r="F172" t="s">
        <v>22</v>
      </c>
      <c r="G172" t="s">
        <v>38</v>
      </c>
      <c r="H172">
        <v>110132</v>
      </c>
      <c r="I172">
        <v>31881</v>
      </c>
      <c r="J172">
        <v>2</v>
      </c>
      <c r="K172">
        <v>8</v>
      </c>
      <c r="L172">
        <v>4</v>
      </c>
      <c r="M172" t="s">
        <v>25</v>
      </c>
      <c r="N172">
        <v>4</v>
      </c>
      <c r="O172">
        <v>24</v>
      </c>
      <c r="P172">
        <v>33</v>
      </c>
      <c r="Q172">
        <v>4</v>
      </c>
      <c r="R172">
        <v>3</v>
      </c>
      <c r="S172" t="s">
        <v>24</v>
      </c>
    </row>
    <row r="173" spans="1:19" x14ac:dyDescent="0.25">
      <c r="A173">
        <v>10172</v>
      </c>
      <c r="B173">
        <v>36</v>
      </c>
      <c r="C173" t="s">
        <v>19</v>
      </c>
      <c r="D173" t="s">
        <v>26</v>
      </c>
      <c r="E173" t="s">
        <v>27</v>
      </c>
      <c r="F173" t="s">
        <v>39</v>
      </c>
      <c r="G173" t="s">
        <v>23</v>
      </c>
      <c r="H173">
        <v>79611</v>
      </c>
      <c r="I173">
        <v>3866</v>
      </c>
      <c r="J173">
        <v>21</v>
      </c>
      <c r="K173">
        <v>4</v>
      </c>
      <c r="L173">
        <v>2</v>
      </c>
      <c r="M173" t="s">
        <v>25</v>
      </c>
      <c r="N173">
        <v>3</v>
      </c>
      <c r="O173">
        <v>37</v>
      </c>
      <c r="P173">
        <v>10</v>
      </c>
      <c r="Q173">
        <v>2</v>
      </c>
      <c r="R173">
        <v>3</v>
      </c>
      <c r="S173" t="s">
        <v>25</v>
      </c>
    </row>
    <row r="174" spans="1:19" x14ac:dyDescent="0.25">
      <c r="A174">
        <v>10173</v>
      </c>
      <c r="B174">
        <v>35</v>
      </c>
      <c r="C174" t="s">
        <v>19</v>
      </c>
      <c r="D174" t="s">
        <v>20</v>
      </c>
      <c r="E174" t="s">
        <v>27</v>
      </c>
      <c r="F174" t="s">
        <v>39</v>
      </c>
      <c r="G174" t="s">
        <v>30</v>
      </c>
      <c r="H174">
        <v>88472</v>
      </c>
      <c r="I174">
        <v>20936</v>
      </c>
      <c r="J174">
        <v>10</v>
      </c>
      <c r="K174">
        <v>7</v>
      </c>
      <c r="L174">
        <v>4</v>
      </c>
      <c r="M174" t="s">
        <v>25</v>
      </c>
      <c r="N174">
        <v>3</v>
      </c>
      <c r="O174">
        <v>22</v>
      </c>
      <c r="P174">
        <v>8</v>
      </c>
      <c r="Q174">
        <v>3</v>
      </c>
      <c r="R174">
        <v>4</v>
      </c>
      <c r="S174" t="s">
        <v>25</v>
      </c>
    </row>
    <row r="175" spans="1:19" x14ac:dyDescent="0.25">
      <c r="A175">
        <v>10174</v>
      </c>
      <c r="B175">
        <v>45</v>
      </c>
      <c r="C175" t="s">
        <v>31</v>
      </c>
      <c r="D175" t="s">
        <v>41</v>
      </c>
      <c r="E175" t="s">
        <v>27</v>
      </c>
      <c r="F175" t="s">
        <v>39</v>
      </c>
      <c r="G175" t="s">
        <v>23</v>
      </c>
      <c r="H175">
        <v>65243</v>
      </c>
      <c r="I175">
        <v>33398</v>
      </c>
      <c r="J175">
        <v>4</v>
      </c>
      <c r="K175">
        <v>7</v>
      </c>
      <c r="L175">
        <v>5</v>
      </c>
      <c r="M175" t="s">
        <v>25</v>
      </c>
      <c r="N175">
        <v>4</v>
      </c>
      <c r="O175">
        <v>28</v>
      </c>
      <c r="P175">
        <v>26</v>
      </c>
      <c r="Q175">
        <v>3</v>
      </c>
      <c r="R175">
        <v>2</v>
      </c>
      <c r="S175" t="s">
        <v>25</v>
      </c>
    </row>
    <row r="176" spans="1:19" x14ac:dyDescent="0.25">
      <c r="A176">
        <v>10175</v>
      </c>
      <c r="B176">
        <v>38</v>
      </c>
      <c r="C176" t="s">
        <v>19</v>
      </c>
      <c r="D176" t="s">
        <v>20</v>
      </c>
      <c r="E176" t="s">
        <v>33</v>
      </c>
      <c r="F176" t="s">
        <v>22</v>
      </c>
      <c r="G176" t="s">
        <v>30</v>
      </c>
      <c r="H176">
        <v>38705</v>
      </c>
      <c r="I176">
        <v>13379</v>
      </c>
      <c r="J176">
        <v>14</v>
      </c>
      <c r="K176">
        <v>14</v>
      </c>
      <c r="L176">
        <v>3</v>
      </c>
      <c r="M176" t="s">
        <v>24</v>
      </c>
      <c r="N176">
        <v>3</v>
      </c>
      <c r="O176">
        <v>38</v>
      </c>
      <c r="P176">
        <v>28</v>
      </c>
      <c r="Q176">
        <v>3</v>
      </c>
      <c r="R176">
        <v>3</v>
      </c>
      <c r="S176" t="s">
        <v>25</v>
      </c>
    </row>
    <row r="177" spans="1:19" x14ac:dyDescent="0.25">
      <c r="A177">
        <v>10176</v>
      </c>
      <c r="B177">
        <v>30</v>
      </c>
      <c r="C177" t="s">
        <v>19</v>
      </c>
      <c r="D177" t="s">
        <v>32</v>
      </c>
      <c r="E177" t="s">
        <v>27</v>
      </c>
      <c r="F177" t="s">
        <v>22</v>
      </c>
      <c r="G177" t="s">
        <v>38</v>
      </c>
      <c r="H177">
        <v>76241</v>
      </c>
      <c r="I177">
        <v>27045</v>
      </c>
      <c r="J177">
        <v>1</v>
      </c>
      <c r="K177">
        <v>14</v>
      </c>
      <c r="L177">
        <v>3</v>
      </c>
      <c r="M177" t="s">
        <v>25</v>
      </c>
      <c r="N177">
        <v>4</v>
      </c>
      <c r="O177">
        <v>6</v>
      </c>
      <c r="P177">
        <v>42</v>
      </c>
      <c r="Q177">
        <v>1</v>
      </c>
      <c r="R177">
        <v>4</v>
      </c>
      <c r="S177" t="s">
        <v>25</v>
      </c>
    </row>
    <row r="178" spans="1:19" x14ac:dyDescent="0.25">
      <c r="A178">
        <v>10177</v>
      </c>
      <c r="B178">
        <v>27</v>
      </c>
      <c r="C178" t="s">
        <v>19</v>
      </c>
      <c r="D178" t="s">
        <v>34</v>
      </c>
      <c r="E178" t="s">
        <v>33</v>
      </c>
      <c r="F178" t="s">
        <v>39</v>
      </c>
      <c r="G178" t="s">
        <v>38</v>
      </c>
      <c r="H178">
        <v>30085</v>
      </c>
      <c r="I178">
        <v>27808</v>
      </c>
      <c r="J178">
        <v>16</v>
      </c>
      <c r="K178">
        <v>10</v>
      </c>
      <c r="L178">
        <v>4</v>
      </c>
      <c r="M178" t="s">
        <v>25</v>
      </c>
      <c r="N178">
        <v>2</v>
      </c>
      <c r="O178">
        <v>6</v>
      </c>
      <c r="P178">
        <v>45</v>
      </c>
      <c r="Q178">
        <v>4</v>
      </c>
      <c r="R178">
        <v>2</v>
      </c>
      <c r="S178" t="s">
        <v>25</v>
      </c>
    </row>
    <row r="179" spans="1:19" x14ac:dyDescent="0.25">
      <c r="A179">
        <v>10178</v>
      </c>
      <c r="B179">
        <v>56</v>
      </c>
      <c r="C179" t="s">
        <v>31</v>
      </c>
      <c r="D179" t="s">
        <v>26</v>
      </c>
      <c r="E179" t="s">
        <v>27</v>
      </c>
      <c r="F179" t="s">
        <v>39</v>
      </c>
      <c r="G179" t="s">
        <v>30</v>
      </c>
      <c r="H179">
        <v>83544</v>
      </c>
      <c r="I179">
        <v>31030</v>
      </c>
      <c r="J179">
        <v>5</v>
      </c>
      <c r="K179">
        <v>5</v>
      </c>
      <c r="L179">
        <v>1</v>
      </c>
      <c r="M179" t="s">
        <v>24</v>
      </c>
      <c r="N179">
        <v>4</v>
      </c>
      <c r="O179">
        <v>29</v>
      </c>
      <c r="P179">
        <v>38</v>
      </c>
      <c r="Q179">
        <v>2</v>
      </c>
      <c r="R179">
        <v>3</v>
      </c>
      <c r="S179" t="s">
        <v>25</v>
      </c>
    </row>
    <row r="180" spans="1:19" x14ac:dyDescent="0.25">
      <c r="A180">
        <v>10179</v>
      </c>
      <c r="B180">
        <v>51</v>
      </c>
      <c r="C180" t="s">
        <v>19</v>
      </c>
      <c r="D180" t="s">
        <v>28</v>
      </c>
      <c r="E180" t="s">
        <v>29</v>
      </c>
      <c r="F180" t="s">
        <v>39</v>
      </c>
      <c r="G180" t="s">
        <v>38</v>
      </c>
      <c r="H180">
        <v>138793</v>
      </c>
      <c r="I180">
        <v>21542</v>
      </c>
      <c r="J180">
        <v>16</v>
      </c>
      <c r="K180">
        <v>10</v>
      </c>
      <c r="L180">
        <v>5</v>
      </c>
      <c r="M180" t="s">
        <v>25</v>
      </c>
      <c r="N180">
        <v>4</v>
      </c>
      <c r="O180">
        <v>9</v>
      </c>
      <c r="P180">
        <v>41</v>
      </c>
      <c r="Q180">
        <v>3</v>
      </c>
      <c r="R180">
        <v>1</v>
      </c>
      <c r="S180" t="s">
        <v>25</v>
      </c>
    </row>
    <row r="181" spans="1:19" x14ac:dyDescent="0.25">
      <c r="A181">
        <v>10180</v>
      </c>
      <c r="B181">
        <v>21</v>
      </c>
      <c r="C181" t="s">
        <v>19</v>
      </c>
      <c r="D181" t="s">
        <v>28</v>
      </c>
      <c r="E181" t="s">
        <v>33</v>
      </c>
      <c r="F181" t="s">
        <v>39</v>
      </c>
      <c r="G181" t="s">
        <v>30</v>
      </c>
      <c r="H181">
        <v>43601</v>
      </c>
      <c r="I181">
        <v>27413</v>
      </c>
      <c r="J181">
        <v>4</v>
      </c>
      <c r="K181">
        <v>10</v>
      </c>
      <c r="L181">
        <v>1</v>
      </c>
      <c r="M181" t="s">
        <v>25</v>
      </c>
      <c r="N181">
        <v>3</v>
      </c>
      <c r="O181">
        <v>10</v>
      </c>
      <c r="P181">
        <v>40</v>
      </c>
      <c r="Q181">
        <v>3</v>
      </c>
      <c r="R181">
        <v>2</v>
      </c>
      <c r="S181" t="s">
        <v>25</v>
      </c>
    </row>
    <row r="182" spans="1:19" x14ac:dyDescent="0.25">
      <c r="A182">
        <v>10181</v>
      </c>
      <c r="B182">
        <v>22</v>
      </c>
      <c r="C182" t="s">
        <v>19</v>
      </c>
      <c r="D182" t="s">
        <v>28</v>
      </c>
      <c r="E182" t="s">
        <v>29</v>
      </c>
      <c r="F182" t="s">
        <v>39</v>
      </c>
      <c r="G182" t="s">
        <v>30</v>
      </c>
      <c r="H182">
        <v>147228</v>
      </c>
      <c r="I182">
        <v>40546</v>
      </c>
      <c r="J182">
        <v>16</v>
      </c>
      <c r="K182">
        <v>6</v>
      </c>
      <c r="L182">
        <v>3</v>
      </c>
      <c r="M182" t="s">
        <v>25</v>
      </c>
      <c r="N182">
        <v>3</v>
      </c>
      <c r="O182">
        <v>29</v>
      </c>
      <c r="P182">
        <v>24</v>
      </c>
      <c r="Q182">
        <v>2</v>
      </c>
      <c r="R182">
        <v>3</v>
      </c>
      <c r="S182" t="s">
        <v>24</v>
      </c>
    </row>
    <row r="183" spans="1:19" x14ac:dyDescent="0.25">
      <c r="A183">
        <v>10182</v>
      </c>
      <c r="B183">
        <v>29</v>
      </c>
      <c r="C183" t="s">
        <v>19</v>
      </c>
      <c r="D183" t="s">
        <v>28</v>
      </c>
      <c r="E183" t="s">
        <v>21</v>
      </c>
      <c r="F183" t="s">
        <v>35</v>
      </c>
      <c r="G183" t="s">
        <v>30</v>
      </c>
      <c r="H183">
        <v>120099</v>
      </c>
      <c r="I183">
        <v>46980</v>
      </c>
      <c r="J183">
        <v>0</v>
      </c>
      <c r="K183">
        <v>0</v>
      </c>
      <c r="L183">
        <v>2</v>
      </c>
      <c r="M183" t="s">
        <v>25</v>
      </c>
      <c r="N183">
        <v>2</v>
      </c>
      <c r="O183">
        <v>4</v>
      </c>
      <c r="P183">
        <v>9</v>
      </c>
      <c r="Q183">
        <v>2</v>
      </c>
      <c r="R183">
        <v>3</v>
      </c>
      <c r="S183" t="s">
        <v>25</v>
      </c>
    </row>
    <row r="184" spans="1:19" x14ac:dyDescent="0.25">
      <c r="A184">
        <v>10183</v>
      </c>
      <c r="B184">
        <v>26</v>
      </c>
      <c r="C184" t="s">
        <v>19</v>
      </c>
      <c r="D184" t="s">
        <v>41</v>
      </c>
      <c r="E184" t="s">
        <v>36</v>
      </c>
      <c r="F184" t="s">
        <v>35</v>
      </c>
      <c r="G184" t="s">
        <v>38</v>
      </c>
      <c r="H184">
        <v>46132</v>
      </c>
      <c r="I184">
        <v>4557</v>
      </c>
      <c r="J184">
        <v>3</v>
      </c>
      <c r="K184">
        <v>6</v>
      </c>
      <c r="L184">
        <v>3</v>
      </c>
      <c r="M184" t="s">
        <v>25</v>
      </c>
      <c r="N184">
        <v>2</v>
      </c>
      <c r="O184">
        <v>29</v>
      </c>
      <c r="P184">
        <v>12</v>
      </c>
      <c r="Q184">
        <v>3</v>
      </c>
      <c r="R184">
        <v>2</v>
      </c>
      <c r="S184" t="s">
        <v>25</v>
      </c>
    </row>
    <row r="185" spans="1:19" x14ac:dyDescent="0.25">
      <c r="A185">
        <v>10184</v>
      </c>
      <c r="B185">
        <v>20</v>
      </c>
      <c r="C185" t="s">
        <v>31</v>
      </c>
      <c r="D185" t="s">
        <v>20</v>
      </c>
      <c r="E185" t="s">
        <v>33</v>
      </c>
      <c r="F185" t="s">
        <v>39</v>
      </c>
      <c r="G185" t="s">
        <v>30</v>
      </c>
      <c r="H185">
        <v>41654</v>
      </c>
      <c r="I185">
        <v>45095</v>
      </c>
      <c r="J185">
        <v>3</v>
      </c>
      <c r="K185">
        <v>1</v>
      </c>
      <c r="L185">
        <v>4</v>
      </c>
      <c r="M185" t="s">
        <v>25</v>
      </c>
      <c r="N185">
        <v>3</v>
      </c>
      <c r="O185">
        <v>34</v>
      </c>
      <c r="P185">
        <v>53</v>
      </c>
      <c r="Q185">
        <v>3</v>
      </c>
      <c r="R185">
        <v>3</v>
      </c>
      <c r="S185" t="s">
        <v>24</v>
      </c>
    </row>
    <row r="186" spans="1:19" x14ac:dyDescent="0.25">
      <c r="A186">
        <v>10185</v>
      </c>
      <c r="B186">
        <v>25</v>
      </c>
      <c r="C186" t="s">
        <v>19</v>
      </c>
      <c r="D186" t="s">
        <v>20</v>
      </c>
      <c r="E186" t="s">
        <v>40</v>
      </c>
      <c r="F186" t="s">
        <v>22</v>
      </c>
      <c r="G186" t="s">
        <v>23</v>
      </c>
      <c r="H186">
        <v>17997</v>
      </c>
      <c r="I186">
        <v>22918</v>
      </c>
      <c r="J186">
        <v>6</v>
      </c>
      <c r="K186">
        <v>5</v>
      </c>
      <c r="L186">
        <v>1</v>
      </c>
      <c r="M186" t="s">
        <v>25</v>
      </c>
      <c r="N186">
        <v>4</v>
      </c>
      <c r="O186">
        <v>22</v>
      </c>
      <c r="P186">
        <v>51</v>
      </c>
      <c r="Q186">
        <v>3</v>
      </c>
      <c r="R186">
        <v>2</v>
      </c>
      <c r="S186" t="s">
        <v>25</v>
      </c>
    </row>
    <row r="187" spans="1:19" x14ac:dyDescent="0.25">
      <c r="A187">
        <v>10186</v>
      </c>
      <c r="B187">
        <v>49</v>
      </c>
      <c r="C187" t="s">
        <v>31</v>
      </c>
      <c r="D187" t="s">
        <v>20</v>
      </c>
      <c r="E187" t="s">
        <v>36</v>
      </c>
      <c r="F187" t="s">
        <v>39</v>
      </c>
      <c r="G187" t="s">
        <v>30</v>
      </c>
      <c r="H187">
        <v>67412</v>
      </c>
      <c r="I187">
        <v>30106</v>
      </c>
      <c r="J187">
        <v>18</v>
      </c>
      <c r="K187">
        <v>13</v>
      </c>
      <c r="L187">
        <v>2</v>
      </c>
      <c r="M187" t="s">
        <v>24</v>
      </c>
      <c r="N187">
        <v>4</v>
      </c>
      <c r="O187">
        <v>36</v>
      </c>
      <c r="P187">
        <v>43</v>
      </c>
      <c r="Q187">
        <v>3</v>
      </c>
      <c r="R187">
        <v>2</v>
      </c>
      <c r="S187" t="s">
        <v>25</v>
      </c>
    </row>
    <row r="188" spans="1:19" x14ac:dyDescent="0.25">
      <c r="A188">
        <v>10187</v>
      </c>
      <c r="B188">
        <v>53</v>
      </c>
      <c r="C188" t="s">
        <v>19</v>
      </c>
      <c r="D188" t="s">
        <v>34</v>
      </c>
      <c r="E188" t="s">
        <v>40</v>
      </c>
      <c r="F188" t="s">
        <v>35</v>
      </c>
      <c r="G188" t="s">
        <v>30</v>
      </c>
      <c r="H188">
        <v>13273</v>
      </c>
      <c r="I188">
        <v>3551</v>
      </c>
      <c r="J188">
        <v>9</v>
      </c>
      <c r="K188">
        <v>5</v>
      </c>
      <c r="L188">
        <v>3</v>
      </c>
      <c r="M188" t="s">
        <v>25</v>
      </c>
      <c r="N188">
        <v>2</v>
      </c>
      <c r="O188">
        <v>25</v>
      </c>
      <c r="P188">
        <v>25</v>
      </c>
      <c r="Q188">
        <v>1</v>
      </c>
      <c r="R188">
        <v>3</v>
      </c>
      <c r="S188" t="s">
        <v>25</v>
      </c>
    </row>
    <row r="189" spans="1:19" x14ac:dyDescent="0.25">
      <c r="A189">
        <v>10188</v>
      </c>
      <c r="B189">
        <v>25</v>
      </c>
      <c r="C189" t="s">
        <v>19</v>
      </c>
      <c r="D189" t="s">
        <v>34</v>
      </c>
      <c r="E189" t="s">
        <v>33</v>
      </c>
      <c r="F189" t="s">
        <v>35</v>
      </c>
      <c r="G189" t="s">
        <v>30</v>
      </c>
      <c r="H189">
        <v>32263</v>
      </c>
      <c r="I189">
        <v>32934</v>
      </c>
      <c r="J189">
        <v>24</v>
      </c>
      <c r="K189">
        <v>0</v>
      </c>
      <c r="L189">
        <v>1</v>
      </c>
      <c r="M189" t="s">
        <v>24</v>
      </c>
      <c r="N189">
        <v>2</v>
      </c>
      <c r="O189">
        <v>6</v>
      </c>
      <c r="P189">
        <v>10</v>
      </c>
      <c r="Q189">
        <v>1</v>
      </c>
      <c r="R189">
        <v>3</v>
      </c>
      <c r="S189" t="s">
        <v>25</v>
      </c>
    </row>
    <row r="190" spans="1:19" x14ac:dyDescent="0.25">
      <c r="A190">
        <v>10189</v>
      </c>
      <c r="B190">
        <v>20</v>
      </c>
      <c r="C190" t="s">
        <v>19</v>
      </c>
      <c r="D190" t="s">
        <v>20</v>
      </c>
      <c r="E190" t="s">
        <v>27</v>
      </c>
      <c r="F190" t="s">
        <v>39</v>
      </c>
      <c r="G190" t="s">
        <v>30</v>
      </c>
      <c r="H190">
        <v>86732</v>
      </c>
      <c r="I190">
        <v>19555</v>
      </c>
      <c r="J190">
        <v>3</v>
      </c>
      <c r="K190">
        <v>1</v>
      </c>
      <c r="L190">
        <v>1</v>
      </c>
      <c r="M190" t="s">
        <v>25</v>
      </c>
      <c r="N190">
        <v>2</v>
      </c>
      <c r="O190">
        <v>14</v>
      </c>
      <c r="P190">
        <v>37</v>
      </c>
      <c r="Q190">
        <v>4</v>
      </c>
      <c r="R190">
        <v>4</v>
      </c>
      <c r="S190" t="s">
        <v>25</v>
      </c>
    </row>
    <row r="191" spans="1:19" x14ac:dyDescent="0.25">
      <c r="A191">
        <v>10190</v>
      </c>
      <c r="B191">
        <v>59</v>
      </c>
      <c r="C191" t="s">
        <v>31</v>
      </c>
      <c r="D191" t="s">
        <v>28</v>
      </c>
      <c r="E191" t="s">
        <v>27</v>
      </c>
      <c r="F191" t="s">
        <v>22</v>
      </c>
      <c r="G191" t="s">
        <v>30</v>
      </c>
      <c r="H191">
        <v>83416</v>
      </c>
      <c r="I191">
        <v>39194</v>
      </c>
      <c r="J191">
        <v>15</v>
      </c>
      <c r="K191">
        <v>5</v>
      </c>
      <c r="L191">
        <v>2</v>
      </c>
      <c r="M191" t="s">
        <v>25</v>
      </c>
      <c r="N191">
        <v>4</v>
      </c>
      <c r="O191">
        <v>19</v>
      </c>
      <c r="P191">
        <v>16</v>
      </c>
      <c r="Q191">
        <v>3</v>
      </c>
      <c r="R191">
        <v>2</v>
      </c>
      <c r="S191" t="s">
        <v>25</v>
      </c>
    </row>
    <row r="192" spans="1:19" x14ac:dyDescent="0.25">
      <c r="A192">
        <v>10191</v>
      </c>
      <c r="B192">
        <v>56</v>
      </c>
      <c r="C192" t="s">
        <v>19</v>
      </c>
      <c r="D192" t="s">
        <v>34</v>
      </c>
      <c r="E192" t="s">
        <v>27</v>
      </c>
      <c r="F192" t="s">
        <v>22</v>
      </c>
      <c r="G192" t="s">
        <v>38</v>
      </c>
      <c r="H192">
        <v>86113</v>
      </c>
      <c r="I192">
        <v>41334</v>
      </c>
      <c r="J192">
        <v>2</v>
      </c>
      <c r="K192">
        <v>1</v>
      </c>
      <c r="L192">
        <v>4</v>
      </c>
      <c r="M192" t="s">
        <v>25</v>
      </c>
      <c r="N192">
        <v>1</v>
      </c>
      <c r="O192">
        <v>16</v>
      </c>
      <c r="P192">
        <v>12</v>
      </c>
      <c r="Q192">
        <v>4</v>
      </c>
      <c r="R192">
        <v>1</v>
      </c>
      <c r="S192" t="s">
        <v>25</v>
      </c>
    </row>
    <row r="193" spans="1:19" x14ac:dyDescent="0.25">
      <c r="A193">
        <v>10192</v>
      </c>
      <c r="B193">
        <v>24</v>
      </c>
      <c r="C193" t="s">
        <v>19</v>
      </c>
      <c r="D193" t="s">
        <v>32</v>
      </c>
      <c r="E193" t="s">
        <v>36</v>
      </c>
      <c r="F193" t="s">
        <v>35</v>
      </c>
      <c r="G193" t="s">
        <v>38</v>
      </c>
      <c r="H193">
        <v>46424</v>
      </c>
      <c r="I193">
        <v>39029</v>
      </c>
      <c r="J193">
        <v>23</v>
      </c>
      <c r="K193">
        <v>10</v>
      </c>
      <c r="L193">
        <v>3</v>
      </c>
      <c r="M193" t="s">
        <v>24</v>
      </c>
      <c r="N193">
        <v>3</v>
      </c>
      <c r="O193">
        <v>22</v>
      </c>
      <c r="P193">
        <v>9</v>
      </c>
      <c r="Q193">
        <v>4</v>
      </c>
      <c r="R193">
        <v>1</v>
      </c>
      <c r="S193" t="s">
        <v>25</v>
      </c>
    </row>
    <row r="194" spans="1:19" x14ac:dyDescent="0.25">
      <c r="A194">
        <v>10193</v>
      </c>
      <c r="B194">
        <v>33</v>
      </c>
      <c r="C194" t="s">
        <v>19</v>
      </c>
      <c r="D194" t="s">
        <v>20</v>
      </c>
      <c r="E194" t="s">
        <v>29</v>
      </c>
      <c r="F194" t="s">
        <v>35</v>
      </c>
      <c r="G194" t="s">
        <v>30</v>
      </c>
      <c r="H194">
        <v>171590</v>
      </c>
      <c r="I194">
        <v>37623</v>
      </c>
      <c r="J194">
        <v>19</v>
      </c>
      <c r="K194">
        <v>12</v>
      </c>
      <c r="L194">
        <v>3</v>
      </c>
      <c r="M194" t="s">
        <v>25</v>
      </c>
      <c r="N194">
        <v>4</v>
      </c>
      <c r="O194">
        <v>8</v>
      </c>
      <c r="P194">
        <v>30</v>
      </c>
      <c r="Q194">
        <v>3</v>
      </c>
      <c r="R194">
        <v>3</v>
      </c>
      <c r="S194" t="s">
        <v>25</v>
      </c>
    </row>
    <row r="195" spans="1:19" x14ac:dyDescent="0.25">
      <c r="A195">
        <v>10194</v>
      </c>
      <c r="B195">
        <v>39</v>
      </c>
      <c r="C195" t="s">
        <v>19</v>
      </c>
      <c r="D195" t="s">
        <v>26</v>
      </c>
      <c r="E195" t="s">
        <v>36</v>
      </c>
      <c r="F195" t="s">
        <v>39</v>
      </c>
      <c r="G195" t="s">
        <v>38</v>
      </c>
      <c r="H195">
        <v>46988</v>
      </c>
      <c r="I195">
        <v>28230</v>
      </c>
      <c r="J195">
        <v>2</v>
      </c>
      <c r="K195">
        <v>9</v>
      </c>
      <c r="L195">
        <v>3</v>
      </c>
      <c r="M195" t="s">
        <v>25</v>
      </c>
      <c r="N195">
        <v>3</v>
      </c>
      <c r="O195">
        <v>24</v>
      </c>
      <c r="P195">
        <v>14</v>
      </c>
      <c r="Q195">
        <v>2</v>
      </c>
      <c r="R195">
        <v>3</v>
      </c>
      <c r="S195" t="s">
        <v>25</v>
      </c>
    </row>
    <row r="196" spans="1:19" x14ac:dyDescent="0.25">
      <c r="A196">
        <v>10195</v>
      </c>
      <c r="B196">
        <v>39</v>
      </c>
      <c r="C196" t="s">
        <v>19</v>
      </c>
      <c r="D196" t="s">
        <v>20</v>
      </c>
      <c r="E196" t="s">
        <v>33</v>
      </c>
      <c r="F196" t="s">
        <v>39</v>
      </c>
      <c r="G196" t="s">
        <v>30</v>
      </c>
      <c r="H196">
        <v>41346</v>
      </c>
      <c r="I196">
        <v>26990</v>
      </c>
      <c r="J196">
        <v>1</v>
      </c>
      <c r="K196">
        <v>13</v>
      </c>
      <c r="L196">
        <v>3</v>
      </c>
      <c r="M196" t="s">
        <v>25</v>
      </c>
      <c r="N196">
        <v>3</v>
      </c>
      <c r="O196">
        <v>27</v>
      </c>
      <c r="P196">
        <v>14</v>
      </c>
      <c r="Q196">
        <v>3</v>
      </c>
      <c r="R196">
        <v>3</v>
      </c>
      <c r="S196" t="s">
        <v>25</v>
      </c>
    </row>
    <row r="197" spans="1:19" x14ac:dyDescent="0.25">
      <c r="A197">
        <v>10196</v>
      </c>
      <c r="B197">
        <v>20</v>
      </c>
      <c r="C197" t="s">
        <v>19</v>
      </c>
      <c r="D197" t="s">
        <v>41</v>
      </c>
      <c r="E197" t="s">
        <v>27</v>
      </c>
      <c r="F197" t="s">
        <v>22</v>
      </c>
      <c r="G197" t="s">
        <v>38</v>
      </c>
      <c r="H197">
        <v>78689</v>
      </c>
      <c r="I197">
        <v>15438</v>
      </c>
      <c r="J197">
        <v>21</v>
      </c>
      <c r="K197">
        <v>2</v>
      </c>
      <c r="L197">
        <v>4</v>
      </c>
      <c r="M197" t="s">
        <v>25</v>
      </c>
      <c r="N197">
        <v>3</v>
      </c>
      <c r="O197">
        <v>34</v>
      </c>
      <c r="P197">
        <v>34</v>
      </c>
      <c r="Q197">
        <v>4</v>
      </c>
      <c r="R197">
        <v>3</v>
      </c>
      <c r="S197" t="s">
        <v>25</v>
      </c>
    </row>
    <row r="198" spans="1:19" x14ac:dyDescent="0.25">
      <c r="A198">
        <v>10197</v>
      </c>
      <c r="B198">
        <v>29</v>
      </c>
      <c r="C198" t="s">
        <v>31</v>
      </c>
      <c r="D198" t="s">
        <v>28</v>
      </c>
      <c r="E198" t="s">
        <v>36</v>
      </c>
      <c r="F198" t="s">
        <v>39</v>
      </c>
      <c r="G198" t="s">
        <v>30</v>
      </c>
      <c r="H198">
        <v>68715</v>
      </c>
      <c r="I198">
        <v>12905</v>
      </c>
      <c r="J198">
        <v>5</v>
      </c>
      <c r="K198">
        <v>5</v>
      </c>
      <c r="L198">
        <v>2</v>
      </c>
      <c r="M198" t="s">
        <v>24</v>
      </c>
      <c r="N198">
        <v>3</v>
      </c>
      <c r="O198">
        <v>35</v>
      </c>
      <c r="P198">
        <v>56</v>
      </c>
      <c r="Q198">
        <v>4</v>
      </c>
      <c r="R198">
        <v>3</v>
      </c>
      <c r="S198" t="s">
        <v>25</v>
      </c>
    </row>
    <row r="199" spans="1:19" x14ac:dyDescent="0.25">
      <c r="A199">
        <v>10198</v>
      </c>
      <c r="B199">
        <v>36</v>
      </c>
      <c r="C199" t="s">
        <v>19</v>
      </c>
      <c r="D199" t="s">
        <v>26</v>
      </c>
      <c r="E199" t="s">
        <v>33</v>
      </c>
      <c r="F199" t="s">
        <v>39</v>
      </c>
      <c r="G199" t="s">
        <v>30</v>
      </c>
      <c r="H199">
        <v>27962</v>
      </c>
      <c r="I199">
        <v>4017</v>
      </c>
      <c r="J199">
        <v>19</v>
      </c>
      <c r="K199">
        <v>12</v>
      </c>
      <c r="L199">
        <v>2</v>
      </c>
      <c r="M199" t="s">
        <v>24</v>
      </c>
      <c r="N199">
        <v>4</v>
      </c>
      <c r="O199">
        <v>32</v>
      </c>
      <c r="P199">
        <v>56</v>
      </c>
      <c r="Q199">
        <v>3</v>
      </c>
      <c r="R199">
        <v>1</v>
      </c>
      <c r="S199" t="s">
        <v>25</v>
      </c>
    </row>
    <row r="200" spans="1:19" x14ac:dyDescent="0.25">
      <c r="A200">
        <v>10199</v>
      </c>
      <c r="B200">
        <v>22</v>
      </c>
      <c r="C200" t="s">
        <v>19</v>
      </c>
      <c r="D200" t="s">
        <v>20</v>
      </c>
      <c r="E200" t="s">
        <v>33</v>
      </c>
      <c r="F200" t="s">
        <v>39</v>
      </c>
      <c r="G200" t="s">
        <v>30</v>
      </c>
      <c r="H200">
        <v>39631</v>
      </c>
      <c r="I200">
        <v>1551</v>
      </c>
      <c r="J200">
        <v>17</v>
      </c>
      <c r="K200">
        <v>13</v>
      </c>
      <c r="L200">
        <v>5</v>
      </c>
      <c r="M200" t="s">
        <v>25</v>
      </c>
      <c r="N200">
        <v>4</v>
      </c>
      <c r="O200">
        <v>19</v>
      </c>
      <c r="P200">
        <v>40</v>
      </c>
      <c r="Q200">
        <v>3</v>
      </c>
      <c r="R200">
        <v>4</v>
      </c>
      <c r="S200" t="s">
        <v>25</v>
      </c>
    </row>
    <row r="201" spans="1:19" x14ac:dyDescent="0.25">
      <c r="A201">
        <v>10200</v>
      </c>
      <c r="B201">
        <v>27</v>
      </c>
      <c r="C201" t="s">
        <v>19</v>
      </c>
      <c r="D201" t="s">
        <v>32</v>
      </c>
      <c r="E201" t="s">
        <v>27</v>
      </c>
      <c r="F201" t="s">
        <v>22</v>
      </c>
      <c r="G201" t="s">
        <v>38</v>
      </c>
      <c r="H201">
        <v>70103</v>
      </c>
      <c r="I201">
        <v>23624</v>
      </c>
      <c r="J201">
        <v>5</v>
      </c>
      <c r="K201">
        <v>10</v>
      </c>
      <c r="L201">
        <v>3</v>
      </c>
      <c r="M201" t="s">
        <v>25</v>
      </c>
      <c r="N201">
        <v>3</v>
      </c>
      <c r="O201">
        <v>37</v>
      </c>
      <c r="P201">
        <v>13</v>
      </c>
      <c r="Q201">
        <v>4</v>
      </c>
      <c r="R201">
        <v>1</v>
      </c>
      <c r="S201" t="s">
        <v>25</v>
      </c>
    </row>
    <row r="202" spans="1:19" x14ac:dyDescent="0.25">
      <c r="A202">
        <v>10201</v>
      </c>
      <c r="B202">
        <v>56</v>
      </c>
      <c r="C202" t="s">
        <v>19</v>
      </c>
      <c r="D202" t="s">
        <v>34</v>
      </c>
      <c r="E202" t="s">
        <v>21</v>
      </c>
      <c r="F202" t="s">
        <v>35</v>
      </c>
      <c r="G202" t="s">
        <v>38</v>
      </c>
      <c r="H202">
        <v>108425</v>
      </c>
      <c r="I202">
        <v>16446</v>
      </c>
      <c r="J202">
        <v>21</v>
      </c>
      <c r="K202">
        <v>10</v>
      </c>
      <c r="L202">
        <v>3</v>
      </c>
      <c r="M202" t="s">
        <v>25</v>
      </c>
      <c r="N202">
        <v>3</v>
      </c>
      <c r="O202">
        <v>7</v>
      </c>
      <c r="P202">
        <v>47</v>
      </c>
      <c r="Q202">
        <v>3</v>
      </c>
      <c r="R202">
        <v>3</v>
      </c>
      <c r="S202" t="s">
        <v>25</v>
      </c>
    </row>
    <row r="203" spans="1:19" x14ac:dyDescent="0.25">
      <c r="A203">
        <v>10202</v>
      </c>
      <c r="B203">
        <v>57</v>
      </c>
      <c r="C203" t="s">
        <v>19</v>
      </c>
      <c r="D203" t="s">
        <v>26</v>
      </c>
      <c r="E203" t="s">
        <v>27</v>
      </c>
      <c r="F203" t="s">
        <v>22</v>
      </c>
      <c r="G203" t="s">
        <v>30</v>
      </c>
      <c r="H203">
        <v>68312</v>
      </c>
      <c r="I203">
        <v>34800</v>
      </c>
      <c r="J203">
        <v>9</v>
      </c>
      <c r="K203">
        <v>11</v>
      </c>
      <c r="L203">
        <v>3</v>
      </c>
      <c r="M203" t="s">
        <v>25</v>
      </c>
      <c r="N203">
        <v>4</v>
      </c>
      <c r="O203">
        <v>20</v>
      </c>
      <c r="P203">
        <v>23</v>
      </c>
      <c r="Q203">
        <v>2</v>
      </c>
      <c r="R203">
        <v>1</v>
      </c>
      <c r="S203" t="s">
        <v>25</v>
      </c>
    </row>
    <row r="204" spans="1:19" x14ac:dyDescent="0.25">
      <c r="A204">
        <v>10203</v>
      </c>
      <c r="B204">
        <v>43</v>
      </c>
      <c r="C204" t="s">
        <v>19</v>
      </c>
      <c r="D204" t="s">
        <v>20</v>
      </c>
      <c r="E204" t="s">
        <v>33</v>
      </c>
      <c r="F204" t="s">
        <v>35</v>
      </c>
      <c r="G204" t="s">
        <v>38</v>
      </c>
      <c r="H204">
        <v>28606</v>
      </c>
      <c r="I204">
        <v>2591</v>
      </c>
      <c r="J204">
        <v>22</v>
      </c>
      <c r="K204">
        <v>4</v>
      </c>
      <c r="L204">
        <v>3</v>
      </c>
      <c r="M204" t="s">
        <v>25</v>
      </c>
      <c r="N204">
        <v>3</v>
      </c>
      <c r="O204">
        <v>39</v>
      </c>
      <c r="P204">
        <v>20</v>
      </c>
      <c r="Q204">
        <v>2</v>
      </c>
      <c r="R204">
        <v>4</v>
      </c>
      <c r="S204" t="s">
        <v>25</v>
      </c>
    </row>
    <row r="205" spans="1:19" x14ac:dyDescent="0.25">
      <c r="A205">
        <v>10204</v>
      </c>
      <c r="B205">
        <v>24</v>
      </c>
      <c r="C205" t="s">
        <v>19</v>
      </c>
      <c r="D205" t="s">
        <v>20</v>
      </c>
      <c r="E205" t="s">
        <v>36</v>
      </c>
      <c r="F205" t="s">
        <v>39</v>
      </c>
      <c r="G205" t="s">
        <v>30</v>
      </c>
      <c r="H205">
        <v>45661</v>
      </c>
      <c r="I205">
        <v>24527</v>
      </c>
      <c r="J205">
        <v>2</v>
      </c>
      <c r="K205">
        <v>13</v>
      </c>
      <c r="L205">
        <v>3</v>
      </c>
      <c r="M205" t="s">
        <v>25</v>
      </c>
      <c r="N205">
        <v>2</v>
      </c>
      <c r="O205">
        <v>37</v>
      </c>
      <c r="P205">
        <v>27</v>
      </c>
      <c r="Q205">
        <v>3</v>
      </c>
      <c r="R205">
        <v>2</v>
      </c>
      <c r="S205" t="s">
        <v>25</v>
      </c>
    </row>
    <row r="206" spans="1:19" x14ac:dyDescent="0.25">
      <c r="A206">
        <v>10205</v>
      </c>
      <c r="B206">
        <v>56</v>
      </c>
      <c r="C206" t="s">
        <v>19</v>
      </c>
      <c r="D206" t="s">
        <v>41</v>
      </c>
      <c r="E206" t="s">
        <v>33</v>
      </c>
      <c r="F206" t="s">
        <v>35</v>
      </c>
      <c r="G206" t="s">
        <v>30</v>
      </c>
      <c r="H206">
        <v>28687</v>
      </c>
      <c r="I206">
        <v>4757</v>
      </c>
      <c r="J206">
        <v>21</v>
      </c>
      <c r="K206">
        <v>0</v>
      </c>
      <c r="L206">
        <v>3</v>
      </c>
      <c r="M206" t="s">
        <v>25</v>
      </c>
      <c r="N206">
        <v>3</v>
      </c>
      <c r="O206">
        <v>14</v>
      </c>
      <c r="P206">
        <v>14</v>
      </c>
      <c r="Q206">
        <v>3</v>
      </c>
      <c r="R206">
        <v>3</v>
      </c>
      <c r="S206" t="s">
        <v>24</v>
      </c>
    </row>
    <row r="207" spans="1:19" x14ac:dyDescent="0.25">
      <c r="A207">
        <v>10206</v>
      </c>
      <c r="B207">
        <v>38</v>
      </c>
      <c r="C207" t="s">
        <v>19</v>
      </c>
      <c r="D207" t="s">
        <v>41</v>
      </c>
      <c r="E207" t="s">
        <v>33</v>
      </c>
      <c r="F207" t="s">
        <v>39</v>
      </c>
      <c r="G207" t="s">
        <v>30</v>
      </c>
      <c r="H207">
        <v>27294</v>
      </c>
      <c r="I207">
        <v>43370</v>
      </c>
      <c r="J207">
        <v>8</v>
      </c>
      <c r="K207">
        <v>14</v>
      </c>
      <c r="L207">
        <v>4</v>
      </c>
      <c r="M207" t="s">
        <v>25</v>
      </c>
      <c r="N207">
        <v>3</v>
      </c>
      <c r="O207">
        <v>1</v>
      </c>
      <c r="P207">
        <v>33</v>
      </c>
      <c r="Q207">
        <v>2</v>
      </c>
      <c r="R207">
        <v>3</v>
      </c>
      <c r="S207" t="s">
        <v>25</v>
      </c>
    </row>
    <row r="208" spans="1:19" x14ac:dyDescent="0.25">
      <c r="A208">
        <v>10207</v>
      </c>
      <c r="B208">
        <v>48</v>
      </c>
      <c r="C208" t="s">
        <v>19</v>
      </c>
      <c r="D208" t="s">
        <v>28</v>
      </c>
      <c r="E208" t="s">
        <v>36</v>
      </c>
      <c r="F208" t="s">
        <v>39</v>
      </c>
      <c r="G208" t="s">
        <v>23</v>
      </c>
      <c r="H208">
        <v>45204</v>
      </c>
      <c r="I208">
        <v>6160</v>
      </c>
      <c r="J208">
        <v>6</v>
      </c>
      <c r="K208">
        <v>12</v>
      </c>
      <c r="L208">
        <v>3</v>
      </c>
      <c r="M208" t="s">
        <v>25</v>
      </c>
      <c r="N208">
        <v>2</v>
      </c>
      <c r="O208">
        <v>39</v>
      </c>
      <c r="P208">
        <v>57</v>
      </c>
      <c r="Q208">
        <v>3</v>
      </c>
      <c r="R208">
        <v>3</v>
      </c>
      <c r="S208" t="s">
        <v>25</v>
      </c>
    </row>
    <row r="209" spans="1:19" x14ac:dyDescent="0.25">
      <c r="A209">
        <v>10208</v>
      </c>
      <c r="B209">
        <v>45</v>
      </c>
      <c r="C209" t="s">
        <v>31</v>
      </c>
      <c r="D209" t="s">
        <v>41</v>
      </c>
      <c r="E209" t="s">
        <v>27</v>
      </c>
      <c r="F209" t="s">
        <v>39</v>
      </c>
      <c r="G209" t="s">
        <v>38</v>
      </c>
      <c r="H209">
        <v>63700</v>
      </c>
      <c r="I209">
        <v>39579</v>
      </c>
      <c r="J209">
        <v>8</v>
      </c>
      <c r="K209">
        <v>7</v>
      </c>
      <c r="L209">
        <v>4</v>
      </c>
      <c r="M209" t="s">
        <v>25</v>
      </c>
      <c r="N209">
        <v>4</v>
      </c>
      <c r="O209">
        <v>7</v>
      </c>
      <c r="P209">
        <v>18</v>
      </c>
      <c r="Q209">
        <v>2</v>
      </c>
      <c r="R209">
        <v>3</v>
      </c>
      <c r="S209" t="s">
        <v>25</v>
      </c>
    </row>
    <row r="210" spans="1:19" x14ac:dyDescent="0.25">
      <c r="A210">
        <v>10209</v>
      </c>
      <c r="B210">
        <v>59</v>
      </c>
      <c r="C210" t="s">
        <v>19</v>
      </c>
      <c r="D210" t="s">
        <v>34</v>
      </c>
      <c r="E210" t="s">
        <v>36</v>
      </c>
      <c r="F210" t="s">
        <v>22</v>
      </c>
      <c r="G210" t="s">
        <v>38</v>
      </c>
      <c r="H210">
        <v>56181</v>
      </c>
      <c r="I210">
        <v>41153</v>
      </c>
      <c r="J210">
        <v>7</v>
      </c>
      <c r="K210">
        <v>5</v>
      </c>
      <c r="L210">
        <v>3</v>
      </c>
      <c r="M210" t="s">
        <v>24</v>
      </c>
      <c r="N210">
        <v>3</v>
      </c>
      <c r="O210">
        <v>15</v>
      </c>
      <c r="P210">
        <v>32</v>
      </c>
      <c r="Q210">
        <v>1</v>
      </c>
      <c r="R210">
        <v>3</v>
      </c>
      <c r="S210" t="s">
        <v>24</v>
      </c>
    </row>
    <row r="211" spans="1:19" x14ac:dyDescent="0.25">
      <c r="A211">
        <v>10210</v>
      </c>
      <c r="B211">
        <v>48</v>
      </c>
      <c r="C211" t="s">
        <v>19</v>
      </c>
      <c r="D211" t="s">
        <v>26</v>
      </c>
      <c r="E211" t="s">
        <v>36</v>
      </c>
      <c r="F211" t="s">
        <v>39</v>
      </c>
      <c r="G211" t="s">
        <v>38</v>
      </c>
      <c r="H211">
        <v>61915</v>
      </c>
      <c r="I211">
        <v>8397</v>
      </c>
      <c r="J211">
        <v>7</v>
      </c>
      <c r="K211">
        <v>10</v>
      </c>
      <c r="L211">
        <v>4</v>
      </c>
      <c r="M211" t="s">
        <v>25</v>
      </c>
      <c r="N211">
        <v>3</v>
      </c>
      <c r="O211">
        <v>11</v>
      </c>
      <c r="P211">
        <v>35</v>
      </c>
      <c r="Q211">
        <v>4</v>
      </c>
      <c r="R211">
        <v>3</v>
      </c>
      <c r="S211" t="s">
        <v>25</v>
      </c>
    </row>
    <row r="212" spans="1:19" x14ac:dyDescent="0.25">
      <c r="A212">
        <v>10211</v>
      </c>
      <c r="B212">
        <v>53</v>
      </c>
      <c r="C212" t="s">
        <v>19</v>
      </c>
      <c r="D212" t="s">
        <v>20</v>
      </c>
      <c r="E212" t="s">
        <v>36</v>
      </c>
      <c r="F212" t="s">
        <v>35</v>
      </c>
      <c r="G212" t="s">
        <v>30</v>
      </c>
      <c r="H212">
        <v>59683</v>
      </c>
      <c r="I212">
        <v>48536</v>
      </c>
      <c r="J212">
        <v>3</v>
      </c>
      <c r="K212">
        <v>7</v>
      </c>
      <c r="L212">
        <v>3</v>
      </c>
      <c r="M212" t="s">
        <v>25</v>
      </c>
      <c r="N212">
        <v>3</v>
      </c>
      <c r="O212">
        <v>39</v>
      </c>
      <c r="P212">
        <v>36</v>
      </c>
      <c r="Q212">
        <v>3</v>
      </c>
      <c r="R212">
        <v>3</v>
      </c>
      <c r="S212" t="s">
        <v>25</v>
      </c>
    </row>
    <row r="213" spans="1:19" x14ac:dyDescent="0.25">
      <c r="A213">
        <v>10212</v>
      </c>
      <c r="B213">
        <v>47</v>
      </c>
      <c r="C213" t="s">
        <v>19</v>
      </c>
      <c r="D213" t="s">
        <v>20</v>
      </c>
      <c r="E213" t="s">
        <v>36</v>
      </c>
      <c r="F213" t="s">
        <v>39</v>
      </c>
      <c r="G213" t="s">
        <v>38</v>
      </c>
      <c r="H213">
        <v>66062</v>
      </c>
      <c r="I213">
        <v>28047</v>
      </c>
      <c r="J213">
        <v>22</v>
      </c>
      <c r="K213">
        <v>14</v>
      </c>
      <c r="L213">
        <v>3</v>
      </c>
      <c r="M213" t="s">
        <v>25</v>
      </c>
      <c r="N213">
        <v>4</v>
      </c>
      <c r="O213">
        <v>37</v>
      </c>
      <c r="P213">
        <v>57</v>
      </c>
      <c r="Q213">
        <v>3</v>
      </c>
      <c r="R213">
        <v>3</v>
      </c>
      <c r="S213" t="s">
        <v>25</v>
      </c>
    </row>
    <row r="214" spans="1:19" x14ac:dyDescent="0.25">
      <c r="A214">
        <v>10213</v>
      </c>
      <c r="B214">
        <v>59</v>
      </c>
      <c r="C214" t="s">
        <v>19</v>
      </c>
      <c r="D214" t="s">
        <v>20</v>
      </c>
      <c r="E214" t="s">
        <v>27</v>
      </c>
      <c r="F214" t="s">
        <v>39</v>
      </c>
      <c r="G214" t="s">
        <v>30</v>
      </c>
      <c r="H214">
        <v>88167</v>
      </c>
      <c r="I214">
        <v>10973</v>
      </c>
      <c r="J214">
        <v>11</v>
      </c>
      <c r="K214">
        <v>9</v>
      </c>
      <c r="L214">
        <v>3</v>
      </c>
      <c r="M214" t="s">
        <v>24</v>
      </c>
      <c r="N214">
        <v>1</v>
      </c>
      <c r="O214">
        <v>2</v>
      </c>
      <c r="P214">
        <v>54</v>
      </c>
      <c r="Q214">
        <v>3</v>
      </c>
      <c r="R214">
        <v>2</v>
      </c>
      <c r="S214" t="s">
        <v>25</v>
      </c>
    </row>
    <row r="215" spans="1:19" x14ac:dyDescent="0.25">
      <c r="A215">
        <v>10214</v>
      </c>
      <c r="B215">
        <v>22</v>
      </c>
      <c r="C215" t="s">
        <v>19</v>
      </c>
      <c r="D215" t="s">
        <v>34</v>
      </c>
      <c r="E215" t="s">
        <v>27</v>
      </c>
      <c r="F215" t="s">
        <v>35</v>
      </c>
      <c r="G215" t="s">
        <v>30</v>
      </c>
      <c r="H215">
        <v>88453</v>
      </c>
      <c r="I215">
        <v>13440</v>
      </c>
      <c r="J215">
        <v>12</v>
      </c>
      <c r="K215">
        <v>11</v>
      </c>
      <c r="L215">
        <v>3</v>
      </c>
      <c r="M215" t="s">
        <v>25</v>
      </c>
      <c r="N215">
        <v>3</v>
      </c>
      <c r="O215">
        <v>7</v>
      </c>
      <c r="P215">
        <v>26</v>
      </c>
      <c r="Q215">
        <v>3</v>
      </c>
      <c r="R215">
        <v>1</v>
      </c>
      <c r="S215" t="s">
        <v>25</v>
      </c>
    </row>
    <row r="216" spans="1:19" x14ac:dyDescent="0.25">
      <c r="A216">
        <v>10215</v>
      </c>
      <c r="B216">
        <v>56</v>
      </c>
      <c r="C216" t="s">
        <v>19</v>
      </c>
      <c r="D216" t="s">
        <v>34</v>
      </c>
      <c r="E216" t="s">
        <v>36</v>
      </c>
      <c r="F216" t="s">
        <v>35</v>
      </c>
      <c r="G216" t="s">
        <v>38</v>
      </c>
      <c r="H216">
        <v>59295</v>
      </c>
      <c r="I216">
        <v>29063</v>
      </c>
      <c r="J216">
        <v>0</v>
      </c>
      <c r="K216">
        <v>4</v>
      </c>
      <c r="L216">
        <v>3</v>
      </c>
      <c r="M216" t="s">
        <v>24</v>
      </c>
      <c r="N216">
        <v>4</v>
      </c>
      <c r="O216">
        <v>35</v>
      </c>
      <c r="P216">
        <v>19</v>
      </c>
      <c r="Q216">
        <v>1</v>
      </c>
      <c r="R216">
        <v>3</v>
      </c>
      <c r="S216" t="s">
        <v>25</v>
      </c>
    </row>
    <row r="217" spans="1:19" x14ac:dyDescent="0.25">
      <c r="A217">
        <v>10216</v>
      </c>
      <c r="B217">
        <v>48</v>
      </c>
      <c r="C217" t="s">
        <v>19</v>
      </c>
      <c r="D217" t="s">
        <v>20</v>
      </c>
      <c r="E217" t="s">
        <v>33</v>
      </c>
      <c r="F217" t="s">
        <v>39</v>
      </c>
      <c r="G217" t="s">
        <v>30</v>
      </c>
      <c r="H217">
        <v>39010</v>
      </c>
      <c r="I217">
        <v>32001</v>
      </c>
      <c r="J217">
        <v>7</v>
      </c>
      <c r="K217">
        <v>10</v>
      </c>
      <c r="L217">
        <v>4</v>
      </c>
      <c r="M217" t="s">
        <v>25</v>
      </c>
      <c r="N217">
        <v>4</v>
      </c>
      <c r="O217">
        <v>27</v>
      </c>
      <c r="P217">
        <v>24</v>
      </c>
      <c r="Q217">
        <v>3</v>
      </c>
      <c r="R217">
        <v>4</v>
      </c>
      <c r="S217" t="s">
        <v>25</v>
      </c>
    </row>
    <row r="218" spans="1:19" x14ac:dyDescent="0.25">
      <c r="A218">
        <v>10217</v>
      </c>
      <c r="B218">
        <v>34</v>
      </c>
      <c r="C218" t="s">
        <v>31</v>
      </c>
      <c r="D218" t="s">
        <v>26</v>
      </c>
      <c r="E218" t="s">
        <v>27</v>
      </c>
      <c r="F218" t="s">
        <v>39</v>
      </c>
      <c r="G218" t="s">
        <v>38</v>
      </c>
      <c r="H218">
        <v>83386</v>
      </c>
      <c r="I218">
        <v>35618</v>
      </c>
      <c r="J218">
        <v>19</v>
      </c>
      <c r="K218">
        <v>10</v>
      </c>
      <c r="L218">
        <v>3</v>
      </c>
      <c r="M218" t="s">
        <v>25</v>
      </c>
      <c r="N218">
        <v>2</v>
      </c>
      <c r="O218">
        <v>35</v>
      </c>
      <c r="P218">
        <v>26</v>
      </c>
      <c r="Q218">
        <v>1</v>
      </c>
      <c r="R218">
        <v>1</v>
      </c>
      <c r="S218" t="s">
        <v>24</v>
      </c>
    </row>
    <row r="219" spans="1:19" x14ac:dyDescent="0.25">
      <c r="A219">
        <v>10218</v>
      </c>
      <c r="B219">
        <v>54</v>
      </c>
      <c r="C219" t="s">
        <v>19</v>
      </c>
      <c r="D219" t="s">
        <v>34</v>
      </c>
      <c r="E219" t="s">
        <v>27</v>
      </c>
      <c r="F219" t="s">
        <v>35</v>
      </c>
      <c r="G219" t="s">
        <v>38</v>
      </c>
      <c r="H219">
        <v>63839</v>
      </c>
      <c r="I219">
        <v>27772</v>
      </c>
      <c r="J219">
        <v>9</v>
      </c>
      <c r="K219">
        <v>2</v>
      </c>
      <c r="L219">
        <v>3</v>
      </c>
      <c r="M219" t="s">
        <v>25</v>
      </c>
      <c r="N219">
        <v>3</v>
      </c>
      <c r="O219">
        <v>2</v>
      </c>
      <c r="P219">
        <v>14</v>
      </c>
      <c r="Q219">
        <v>2</v>
      </c>
      <c r="R219">
        <v>1</v>
      </c>
      <c r="S219" t="s">
        <v>24</v>
      </c>
    </row>
    <row r="220" spans="1:19" x14ac:dyDescent="0.25">
      <c r="A220">
        <v>10219</v>
      </c>
      <c r="B220">
        <v>24</v>
      </c>
      <c r="C220" t="s">
        <v>19</v>
      </c>
      <c r="D220" t="s">
        <v>41</v>
      </c>
      <c r="E220" t="s">
        <v>21</v>
      </c>
      <c r="F220" t="s">
        <v>37</v>
      </c>
      <c r="G220" t="s">
        <v>23</v>
      </c>
      <c r="H220">
        <v>96838</v>
      </c>
      <c r="I220">
        <v>14211</v>
      </c>
      <c r="J220">
        <v>21</v>
      </c>
      <c r="K220">
        <v>0</v>
      </c>
      <c r="L220">
        <v>3</v>
      </c>
      <c r="M220" t="s">
        <v>25</v>
      </c>
      <c r="N220">
        <v>3</v>
      </c>
      <c r="O220">
        <v>32</v>
      </c>
      <c r="P220">
        <v>15</v>
      </c>
      <c r="Q220">
        <v>3</v>
      </c>
      <c r="R220">
        <v>4</v>
      </c>
      <c r="S220" t="s">
        <v>25</v>
      </c>
    </row>
    <row r="221" spans="1:19" x14ac:dyDescent="0.25">
      <c r="A221">
        <v>10220</v>
      </c>
      <c r="B221">
        <v>44</v>
      </c>
      <c r="C221" t="s">
        <v>19</v>
      </c>
      <c r="D221" t="s">
        <v>28</v>
      </c>
      <c r="E221" t="s">
        <v>33</v>
      </c>
      <c r="F221" t="s">
        <v>39</v>
      </c>
      <c r="G221" t="s">
        <v>38</v>
      </c>
      <c r="H221">
        <v>28716</v>
      </c>
      <c r="I221">
        <v>10066</v>
      </c>
      <c r="J221">
        <v>0</v>
      </c>
      <c r="K221">
        <v>6</v>
      </c>
      <c r="L221">
        <v>3</v>
      </c>
      <c r="M221" t="s">
        <v>24</v>
      </c>
      <c r="N221">
        <v>4</v>
      </c>
      <c r="O221">
        <v>22</v>
      </c>
      <c r="P221">
        <v>54</v>
      </c>
      <c r="Q221">
        <v>1</v>
      </c>
      <c r="R221">
        <v>3</v>
      </c>
      <c r="S221" t="s">
        <v>25</v>
      </c>
    </row>
    <row r="222" spans="1:19" x14ac:dyDescent="0.25">
      <c r="A222">
        <v>10221</v>
      </c>
      <c r="B222">
        <v>34</v>
      </c>
      <c r="C222" t="s">
        <v>31</v>
      </c>
      <c r="D222" t="s">
        <v>34</v>
      </c>
      <c r="E222" t="s">
        <v>40</v>
      </c>
      <c r="F222" t="s">
        <v>35</v>
      </c>
      <c r="G222" t="s">
        <v>30</v>
      </c>
      <c r="H222">
        <v>18566</v>
      </c>
      <c r="I222">
        <v>47269</v>
      </c>
      <c r="J222">
        <v>2</v>
      </c>
      <c r="K222">
        <v>11</v>
      </c>
      <c r="L222">
        <v>3</v>
      </c>
      <c r="M222" t="s">
        <v>25</v>
      </c>
      <c r="N222">
        <v>2</v>
      </c>
      <c r="O222">
        <v>37</v>
      </c>
      <c r="P222">
        <v>53</v>
      </c>
      <c r="Q222">
        <v>2</v>
      </c>
      <c r="R222">
        <v>2</v>
      </c>
      <c r="S222" t="s">
        <v>25</v>
      </c>
    </row>
    <row r="223" spans="1:19" x14ac:dyDescent="0.25">
      <c r="A223">
        <v>10222</v>
      </c>
      <c r="B223">
        <v>48</v>
      </c>
      <c r="C223" t="s">
        <v>31</v>
      </c>
      <c r="D223" t="s">
        <v>26</v>
      </c>
      <c r="E223" t="s">
        <v>36</v>
      </c>
      <c r="F223" t="s">
        <v>39</v>
      </c>
      <c r="G223" t="s">
        <v>38</v>
      </c>
      <c r="H223">
        <v>56413</v>
      </c>
      <c r="I223">
        <v>21119</v>
      </c>
      <c r="J223">
        <v>19</v>
      </c>
      <c r="K223">
        <v>3</v>
      </c>
      <c r="L223">
        <v>3</v>
      </c>
      <c r="M223" t="s">
        <v>25</v>
      </c>
      <c r="N223">
        <v>3</v>
      </c>
      <c r="O223">
        <v>16</v>
      </c>
      <c r="P223">
        <v>49</v>
      </c>
      <c r="Q223">
        <v>4</v>
      </c>
      <c r="R223">
        <v>4</v>
      </c>
      <c r="S223" t="s">
        <v>25</v>
      </c>
    </row>
    <row r="224" spans="1:19" x14ac:dyDescent="0.25">
      <c r="A224">
        <v>10223</v>
      </c>
      <c r="B224">
        <v>39</v>
      </c>
      <c r="C224" t="s">
        <v>19</v>
      </c>
      <c r="D224" t="s">
        <v>41</v>
      </c>
      <c r="E224" t="s">
        <v>21</v>
      </c>
      <c r="F224" t="s">
        <v>39</v>
      </c>
      <c r="G224" t="s">
        <v>30</v>
      </c>
      <c r="H224">
        <v>119768</v>
      </c>
      <c r="I224">
        <v>39542</v>
      </c>
      <c r="J224">
        <v>24</v>
      </c>
      <c r="K224">
        <v>7</v>
      </c>
      <c r="L224">
        <v>5</v>
      </c>
      <c r="M224" t="s">
        <v>25</v>
      </c>
      <c r="N224">
        <v>2</v>
      </c>
      <c r="O224">
        <v>39</v>
      </c>
      <c r="P224">
        <v>57</v>
      </c>
      <c r="Q224">
        <v>4</v>
      </c>
      <c r="R224">
        <v>4</v>
      </c>
      <c r="S224" t="s">
        <v>25</v>
      </c>
    </row>
    <row r="225" spans="1:19" x14ac:dyDescent="0.25">
      <c r="A225">
        <v>10224</v>
      </c>
      <c r="B225">
        <v>26</v>
      </c>
      <c r="C225" t="s">
        <v>19</v>
      </c>
      <c r="D225" t="s">
        <v>34</v>
      </c>
      <c r="E225" t="s">
        <v>21</v>
      </c>
      <c r="F225" t="s">
        <v>39</v>
      </c>
      <c r="G225" t="s">
        <v>38</v>
      </c>
      <c r="H225">
        <v>124314</v>
      </c>
      <c r="I225">
        <v>26899</v>
      </c>
      <c r="J225">
        <v>17</v>
      </c>
      <c r="K225">
        <v>5</v>
      </c>
      <c r="L225">
        <v>5</v>
      </c>
      <c r="M225" t="s">
        <v>24</v>
      </c>
      <c r="N225">
        <v>2</v>
      </c>
      <c r="O225">
        <v>20</v>
      </c>
      <c r="P225">
        <v>7</v>
      </c>
      <c r="Q225">
        <v>3</v>
      </c>
      <c r="R225">
        <v>4</v>
      </c>
      <c r="S225" t="s">
        <v>24</v>
      </c>
    </row>
    <row r="226" spans="1:19" x14ac:dyDescent="0.25">
      <c r="A226">
        <v>10225</v>
      </c>
      <c r="B226">
        <v>27</v>
      </c>
      <c r="C226" t="s">
        <v>19</v>
      </c>
      <c r="D226" t="s">
        <v>20</v>
      </c>
      <c r="E226" t="s">
        <v>40</v>
      </c>
      <c r="F226" t="s">
        <v>39</v>
      </c>
      <c r="G226" t="s">
        <v>38</v>
      </c>
      <c r="H226">
        <v>16026</v>
      </c>
      <c r="I226">
        <v>17033</v>
      </c>
      <c r="J226">
        <v>6</v>
      </c>
      <c r="K226">
        <v>11</v>
      </c>
      <c r="L226">
        <v>3</v>
      </c>
      <c r="M226" t="s">
        <v>25</v>
      </c>
      <c r="N226">
        <v>1</v>
      </c>
      <c r="O226">
        <v>37</v>
      </c>
      <c r="P226">
        <v>30</v>
      </c>
      <c r="Q226">
        <v>3</v>
      </c>
      <c r="R226">
        <v>4</v>
      </c>
      <c r="S226" t="s">
        <v>25</v>
      </c>
    </row>
    <row r="227" spans="1:19" x14ac:dyDescent="0.25">
      <c r="A227">
        <v>10226</v>
      </c>
      <c r="B227">
        <v>50</v>
      </c>
      <c r="C227" t="s">
        <v>19</v>
      </c>
      <c r="D227" t="s">
        <v>20</v>
      </c>
      <c r="E227" t="s">
        <v>21</v>
      </c>
      <c r="F227" t="s">
        <v>39</v>
      </c>
      <c r="G227" t="s">
        <v>30</v>
      </c>
      <c r="H227">
        <v>105830</v>
      </c>
      <c r="I227">
        <v>10335</v>
      </c>
      <c r="J227">
        <v>4</v>
      </c>
      <c r="K227">
        <v>5</v>
      </c>
      <c r="L227">
        <v>4</v>
      </c>
      <c r="M227" t="s">
        <v>24</v>
      </c>
      <c r="N227">
        <v>3</v>
      </c>
      <c r="O227">
        <v>23</v>
      </c>
      <c r="P227">
        <v>21</v>
      </c>
      <c r="Q227">
        <v>1</v>
      </c>
      <c r="R227">
        <v>3</v>
      </c>
      <c r="S227" t="s">
        <v>25</v>
      </c>
    </row>
    <row r="228" spans="1:19" x14ac:dyDescent="0.25">
      <c r="A228">
        <v>10227</v>
      </c>
      <c r="B228">
        <v>32</v>
      </c>
      <c r="C228" t="s">
        <v>19</v>
      </c>
      <c r="D228" t="s">
        <v>26</v>
      </c>
      <c r="E228" t="s">
        <v>27</v>
      </c>
      <c r="F228" t="s">
        <v>39</v>
      </c>
      <c r="G228" t="s">
        <v>30</v>
      </c>
      <c r="H228">
        <v>68417</v>
      </c>
      <c r="I228">
        <v>45991</v>
      </c>
      <c r="J228">
        <v>16</v>
      </c>
      <c r="K228">
        <v>14</v>
      </c>
      <c r="L228">
        <v>2</v>
      </c>
      <c r="M228" t="s">
        <v>24</v>
      </c>
      <c r="N228">
        <v>2</v>
      </c>
      <c r="O228">
        <v>13</v>
      </c>
      <c r="P228">
        <v>21</v>
      </c>
      <c r="Q228">
        <v>3</v>
      </c>
      <c r="R228">
        <v>3</v>
      </c>
      <c r="S228" t="s">
        <v>25</v>
      </c>
    </row>
    <row r="229" spans="1:19" x14ac:dyDescent="0.25">
      <c r="A229">
        <v>10228</v>
      </c>
      <c r="B229">
        <v>57</v>
      </c>
      <c r="C229" t="s">
        <v>19</v>
      </c>
      <c r="D229" t="s">
        <v>26</v>
      </c>
      <c r="E229" t="s">
        <v>36</v>
      </c>
      <c r="F229" t="s">
        <v>35</v>
      </c>
      <c r="G229" t="s">
        <v>38</v>
      </c>
      <c r="H229">
        <v>59536</v>
      </c>
      <c r="I229">
        <v>32994</v>
      </c>
      <c r="J229">
        <v>15</v>
      </c>
      <c r="K229">
        <v>1</v>
      </c>
      <c r="L229">
        <v>2</v>
      </c>
      <c r="M229" t="s">
        <v>25</v>
      </c>
      <c r="N229">
        <v>3</v>
      </c>
      <c r="O229">
        <v>32</v>
      </c>
      <c r="P229">
        <v>44</v>
      </c>
      <c r="Q229">
        <v>3</v>
      </c>
      <c r="R229">
        <v>2</v>
      </c>
      <c r="S229" t="s">
        <v>25</v>
      </c>
    </row>
    <row r="230" spans="1:19" x14ac:dyDescent="0.25">
      <c r="A230">
        <v>10229</v>
      </c>
      <c r="B230">
        <v>23</v>
      </c>
      <c r="C230" t="s">
        <v>19</v>
      </c>
      <c r="D230" t="s">
        <v>26</v>
      </c>
      <c r="E230" t="s">
        <v>36</v>
      </c>
      <c r="F230" t="s">
        <v>37</v>
      </c>
      <c r="G230" t="s">
        <v>23</v>
      </c>
      <c r="H230">
        <v>46881</v>
      </c>
      <c r="I230">
        <v>43852</v>
      </c>
      <c r="J230">
        <v>5</v>
      </c>
      <c r="K230">
        <v>14</v>
      </c>
      <c r="L230">
        <v>3</v>
      </c>
      <c r="M230" t="s">
        <v>24</v>
      </c>
      <c r="N230">
        <v>2</v>
      </c>
      <c r="O230">
        <v>28</v>
      </c>
      <c r="P230">
        <v>7</v>
      </c>
      <c r="Q230">
        <v>4</v>
      </c>
      <c r="R230">
        <v>2</v>
      </c>
      <c r="S230" t="s">
        <v>25</v>
      </c>
    </row>
    <row r="231" spans="1:19" x14ac:dyDescent="0.25">
      <c r="A231">
        <v>10230</v>
      </c>
      <c r="B231">
        <v>25</v>
      </c>
      <c r="C231" t="s">
        <v>31</v>
      </c>
      <c r="D231" t="s">
        <v>34</v>
      </c>
      <c r="E231" t="s">
        <v>21</v>
      </c>
      <c r="F231" t="s">
        <v>39</v>
      </c>
      <c r="G231" t="s">
        <v>30</v>
      </c>
      <c r="H231">
        <v>98263</v>
      </c>
      <c r="I231">
        <v>20866</v>
      </c>
      <c r="J231">
        <v>11</v>
      </c>
      <c r="K231">
        <v>0</v>
      </c>
      <c r="L231">
        <v>4</v>
      </c>
      <c r="M231" t="s">
        <v>25</v>
      </c>
      <c r="N231">
        <v>3</v>
      </c>
      <c r="O231">
        <v>25</v>
      </c>
      <c r="P231">
        <v>45</v>
      </c>
      <c r="Q231">
        <v>3</v>
      </c>
      <c r="R231">
        <v>2</v>
      </c>
      <c r="S231" t="s">
        <v>25</v>
      </c>
    </row>
    <row r="232" spans="1:19" x14ac:dyDescent="0.25">
      <c r="A232">
        <v>10231</v>
      </c>
      <c r="B232">
        <v>39</v>
      </c>
      <c r="C232" t="s">
        <v>19</v>
      </c>
      <c r="D232" t="s">
        <v>32</v>
      </c>
      <c r="E232" t="s">
        <v>36</v>
      </c>
      <c r="F232" t="s">
        <v>39</v>
      </c>
      <c r="G232" t="s">
        <v>38</v>
      </c>
      <c r="H232">
        <v>60916</v>
      </c>
      <c r="I232">
        <v>19363</v>
      </c>
      <c r="J232">
        <v>0</v>
      </c>
      <c r="K232">
        <v>0</v>
      </c>
      <c r="L232">
        <v>3</v>
      </c>
      <c r="M232" t="s">
        <v>24</v>
      </c>
      <c r="N232">
        <v>3</v>
      </c>
      <c r="O232">
        <v>27</v>
      </c>
      <c r="P232">
        <v>49</v>
      </c>
      <c r="Q232">
        <v>4</v>
      </c>
      <c r="R232">
        <v>4</v>
      </c>
      <c r="S232" t="s">
        <v>25</v>
      </c>
    </row>
    <row r="233" spans="1:19" x14ac:dyDescent="0.25">
      <c r="A233">
        <v>10232</v>
      </c>
      <c r="B233">
        <v>44</v>
      </c>
      <c r="C233" t="s">
        <v>31</v>
      </c>
      <c r="D233" t="s">
        <v>41</v>
      </c>
      <c r="E233" t="s">
        <v>27</v>
      </c>
      <c r="F233" t="s">
        <v>35</v>
      </c>
      <c r="G233" t="s">
        <v>30</v>
      </c>
      <c r="H233">
        <v>75588</v>
      </c>
      <c r="I233">
        <v>10997</v>
      </c>
      <c r="J233">
        <v>17</v>
      </c>
      <c r="K233">
        <v>14</v>
      </c>
      <c r="L233">
        <v>3</v>
      </c>
      <c r="M233" t="s">
        <v>25</v>
      </c>
      <c r="N233">
        <v>4</v>
      </c>
      <c r="O233">
        <v>29</v>
      </c>
      <c r="P233">
        <v>50</v>
      </c>
      <c r="Q233">
        <v>3</v>
      </c>
      <c r="R233">
        <v>4</v>
      </c>
      <c r="S233" t="s">
        <v>25</v>
      </c>
    </row>
    <row r="234" spans="1:19" x14ac:dyDescent="0.25">
      <c r="A234">
        <v>10233</v>
      </c>
      <c r="B234">
        <v>28</v>
      </c>
      <c r="C234" t="s">
        <v>19</v>
      </c>
      <c r="D234" t="s">
        <v>20</v>
      </c>
      <c r="E234" t="s">
        <v>33</v>
      </c>
      <c r="F234" t="s">
        <v>39</v>
      </c>
      <c r="G234" t="s">
        <v>30</v>
      </c>
      <c r="H234">
        <v>38778</v>
      </c>
      <c r="I234">
        <v>12852</v>
      </c>
      <c r="J234">
        <v>22</v>
      </c>
      <c r="K234">
        <v>3</v>
      </c>
      <c r="L234">
        <v>3</v>
      </c>
      <c r="M234" t="s">
        <v>25</v>
      </c>
      <c r="N234">
        <v>4</v>
      </c>
      <c r="O234">
        <v>1</v>
      </c>
      <c r="P234">
        <v>48</v>
      </c>
      <c r="Q234">
        <v>3</v>
      </c>
      <c r="R234">
        <v>1</v>
      </c>
      <c r="S234" t="s">
        <v>25</v>
      </c>
    </row>
    <row r="235" spans="1:19" x14ac:dyDescent="0.25">
      <c r="A235">
        <v>10234</v>
      </c>
      <c r="B235">
        <v>27</v>
      </c>
      <c r="C235" t="s">
        <v>31</v>
      </c>
      <c r="D235" t="s">
        <v>28</v>
      </c>
      <c r="E235" t="s">
        <v>40</v>
      </c>
      <c r="F235" t="s">
        <v>39</v>
      </c>
      <c r="G235" t="s">
        <v>38</v>
      </c>
      <c r="H235">
        <v>17117</v>
      </c>
      <c r="I235">
        <v>25920</v>
      </c>
      <c r="J235">
        <v>10</v>
      </c>
      <c r="K235">
        <v>7</v>
      </c>
      <c r="L235">
        <v>2</v>
      </c>
      <c r="M235" t="s">
        <v>24</v>
      </c>
      <c r="N235">
        <v>3</v>
      </c>
      <c r="O235">
        <v>31</v>
      </c>
      <c r="P235">
        <v>21</v>
      </c>
      <c r="Q235">
        <v>4</v>
      </c>
      <c r="R235">
        <v>2</v>
      </c>
      <c r="S235" t="s">
        <v>25</v>
      </c>
    </row>
    <row r="236" spans="1:19" x14ac:dyDescent="0.25">
      <c r="A236">
        <v>10235</v>
      </c>
      <c r="B236">
        <v>27</v>
      </c>
      <c r="C236" t="s">
        <v>31</v>
      </c>
      <c r="D236" t="s">
        <v>41</v>
      </c>
      <c r="E236" t="s">
        <v>21</v>
      </c>
      <c r="F236" t="s">
        <v>35</v>
      </c>
      <c r="G236" t="s">
        <v>38</v>
      </c>
      <c r="H236">
        <v>103233</v>
      </c>
      <c r="I236">
        <v>26762</v>
      </c>
      <c r="J236">
        <v>23</v>
      </c>
      <c r="K236">
        <v>0</v>
      </c>
      <c r="L236">
        <v>3</v>
      </c>
      <c r="M236" t="s">
        <v>25</v>
      </c>
      <c r="N236">
        <v>1</v>
      </c>
      <c r="O236">
        <v>39</v>
      </c>
      <c r="P236">
        <v>32</v>
      </c>
      <c r="Q236">
        <v>3</v>
      </c>
      <c r="R236">
        <v>3</v>
      </c>
      <c r="S236" t="s">
        <v>25</v>
      </c>
    </row>
    <row r="237" spans="1:19" x14ac:dyDescent="0.25">
      <c r="A237">
        <v>10236</v>
      </c>
      <c r="B237">
        <v>23</v>
      </c>
      <c r="C237" t="s">
        <v>19</v>
      </c>
      <c r="D237" t="s">
        <v>41</v>
      </c>
      <c r="E237" t="s">
        <v>33</v>
      </c>
      <c r="F237" t="s">
        <v>39</v>
      </c>
      <c r="G237" t="s">
        <v>23</v>
      </c>
      <c r="H237">
        <v>37580</v>
      </c>
      <c r="I237">
        <v>11939</v>
      </c>
      <c r="J237">
        <v>12</v>
      </c>
      <c r="K237">
        <v>3</v>
      </c>
      <c r="L237">
        <v>3</v>
      </c>
      <c r="M237" t="s">
        <v>25</v>
      </c>
      <c r="N237">
        <v>3</v>
      </c>
      <c r="O237">
        <v>19</v>
      </c>
      <c r="P237">
        <v>39</v>
      </c>
      <c r="Q237">
        <v>4</v>
      </c>
      <c r="R237">
        <v>1</v>
      </c>
      <c r="S237" t="s">
        <v>25</v>
      </c>
    </row>
    <row r="238" spans="1:19" x14ac:dyDescent="0.25">
      <c r="A238">
        <v>10237</v>
      </c>
      <c r="B238">
        <v>27</v>
      </c>
      <c r="C238" t="s">
        <v>31</v>
      </c>
      <c r="D238" t="s">
        <v>20</v>
      </c>
      <c r="E238" t="s">
        <v>33</v>
      </c>
      <c r="F238" t="s">
        <v>35</v>
      </c>
      <c r="G238" t="s">
        <v>30</v>
      </c>
      <c r="H238">
        <v>35848</v>
      </c>
      <c r="I238">
        <v>20389</v>
      </c>
      <c r="J238">
        <v>11</v>
      </c>
      <c r="K238">
        <v>10</v>
      </c>
      <c r="L238">
        <v>2</v>
      </c>
      <c r="M238" t="s">
        <v>24</v>
      </c>
      <c r="N238">
        <v>3</v>
      </c>
      <c r="O238">
        <v>24</v>
      </c>
      <c r="P238">
        <v>59</v>
      </c>
      <c r="Q238">
        <v>4</v>
      </c>
      <c r="R238">
        <v>4</v>
      </c>
      <c r="S238" t="s">
        <v>25</v>
      </c>
    </row>
    <row r="239" spans="1:19" x14ac:dyDescent="0.25">
      <c r="A239">
        <v>10238</v>
      </c>
      <c r="B239">
        <v>39</v>
      </c>
      <c r="C239" t="s">
        <v>19</v>
      </c>
      <c r="D239" t="s">
        <v>28</v>
      </c>
      <c r="E239" t="s">
        <v>33</v>
      </c>
      <c r="F239" t="s">
        <v>35</v>
      </c>
      <c r="G239" t="s">
        <v>30</v>
      </c>
      <c r="H239">
        <v>36241</v>
      </c>
      <c r="I239">
        <v>8002</v>
      </c>
      <c r="J239">
        <v>23</v>
      </c>
      <c r="K239">
        <v>4</v>
      </c>
      <c r="L239">
        <v>2</v>
      </c>
      <c r="M239" t="s">
        <v>25</v>
      </c>
      <c r="N239">
        <v>4</v>
      </c>
      <c r="O239">
        <v>35</v>
      </c>
      <c r="P239">
        <v>16</v>
      </c>
      <c r="Q239">
        <v>4</v>
      </c>
      <c r="R239">
        <v>4</v>
      </c>
      <c r="S239" t="s">
        <v>25</v>
      </c>
    </row>
    <row r="240" spans="1:19" x14ac:dyDescent="0.25">
      <c r="A240">
        <v>10239</v>
      </c>
      <c r="B240">
        <v>42</v>
      </c>
      <c r="C240" t="s">
        <v>31</v>
      </c>
      <c r="D240" t="s">
        <v>20</v>
      </c>
      <c r="E240" t="s">
        <v>21</v>
      </c>
      <c r="F240" t="s">
        <v>39</v>
      </c>
      <c r="G240" t="s">
        <v>38</v>
      </c>
      <c r="H240">
        <v>102427</v>
      </c>
      <c r="I240">
        <v>42229</v>
      </c>
      <c r="J240">
        <v>24</v>
      </c>
      <c r="K240">
        <v>1</v>
      </c>
      <c r="L240">
        <v>2</v>
      </c>
      <c r="M240" t="s">
        <v>24</v>
      </c>
      <c r="N240">
        <v>3</v>
      </c>
      <c r="O240">
        <v>22</v>
      </c>
      <c r="P240">
        <v>25</v>
      </c>
      <c r="Q240">
        <v>4</v>
      </c>
      <c r="R240">
        <v>3</v>
      </c>
      <c r="S240" t="s">
        <v>25</v>
      </c>
    </row>
    <row r="241" spans="1:19" x14ac:dyDescent="0.25">
      <c r="A241">
        <v>10240</v>
      </c>
      <c r="B241">
        <v>44</v>
      </c>
      <c r="C241" t="s">
        <v>19</v>
      </c>
      <c r="D241" t="s">
        <v>32</v>
      </c>
      <c r="E241" t="s">
        <v>36</v>
      </c>
      <c r="F241" t="s">
        <v>22</v>
      </c>
      <c r="G241" t="s">
        <v>38</v>
      </c>
      <c r="H241">
        <v>66427</v>
      </c>
      <c r="I241">
        <v>16260</v>
      </c>
      <c r="J241">
        <v>5</v>
      </c>
      <c r="K241">
        <v>0</v>
      </c>
      <c r="L241">
        <v>1</v>
      </c>
      <c r="M241" t="s">
        <v>25</v>
      </c>
      <c r="N241">
        <v>1</v>
      </c>
      <c r="O241">
        <v>27</v>
      </c>
      <c r="P241">
        <v>22</v>
      </c>
      <c r="Q241">
        <v>4</v>
      </c>
      <c r="R241">
        <v>1</v>
      </c>
      <c r="S241" t="s">
        <v>25</v>
      </c>
    </row>
    <row r="242" spans="1:19" x14ac:dyDescent="0.25">
      <c r="A242">
        <v>10241</v>
      </c>
      <c r="B242">
        <v>27</v>
      </c>
      <c r="C242" t="s">
        <v>19</v>
      </c>
      <c r="D242" t="s">
        <v>34</v>
      </c>
      <c r="E242" t="s">
        <v>27</v>
      </c>
      <c r="F242" t="s">
        <v>35</v>
      </c>
      <c r="G242" t="s">
        <v>30</v>
      </c>
      <c r="H242">
        <v>70377</v>
      </c>
      <c r="I242">
        <v>34820</v>
      </c>
      <c r="J242">
        <v>12</v>
      </c>
      <c r="K242">
        <v>4</v>
      </c>
      <c r="L242">
        <v>3</v>
      </c>
      <c r="M242" t="s">
        <v>24</v>
      </c>
      <c r="N242">
        <v>4</v>
      </c>
      <c r="O242">
        <v>29</v>
      </c>
      <c r="P242">
        <v>9</v>
      </c>
      <c r="Q242">
        <v>3</v>
      </c>
      <c r="R242">
        <v>1</v>
      </c>
      <c r="S242" t="s">
        <v>25</v>
      </c>
    </row>
    <row r="243" spans="1:19" x14ac:dyDescent="0.25">
      <c r="A243">
        <v>10242</v>
      </c>
      <c r="B243">
        <v>58</v>
      </c>
      <c r="C243" t="s">
        <v>31</v>
      </c>
      <c r="D243" t="s">
        <v>41</v>
      </c>
      <c r="E243" t="s">
        <v>40</v>
      </c>
      <c r="F243" t="s">
        <v>22</v>
      </c>
      <c r="G243" t="s">
        <v>30</v>
      </c>
      <c r="H243">
        <v>12011</v>
      </c>
      <c r="I243">
        <v>6078</v>
      </c>
      <c r="J243">
        <v>21</v>
      </c>
      <c r="K243">
        <v>11</v>
      </c>
      <c r="L243">
        <v>5</v>
      </c>
      <c r="M243" t="s">
        <v>25</v>
      </c>
      <c r="N243">
        <v>4</v>
      </c>
      <c r="O243">
        <v>21</v>
      </c>
      <c r="P243">
        <v>51</v>
      </c>
      <c r="Q243">
        <v>2</v>
      </c>
      <c r="R243">
        <v>1</v>
      </c>
      <c r="S243" t="s">
        <v>25</v>
      </c>
    </row>
    <row r="244" spans="1:19" x14ac:dyDescent="0.25">
      <c r="A244">
        <v>10243</v>
      </c>
      <c r="B244">
        <v>40</v>
      </c>
      <c r="C244" t="s">
        <v>19</v>
      </c>
      <c r="D244" t="s">
        <v>20</v>
      </c>
      <c r="E244" t="s">
        <v>36</v>
      </c>
      <c r="F244" t="s">
        <v>35</v>
      </c>
      <c r="G244" t="s">
        <v>38</v>
      </c>
      <c r="H244">
        <v>55350</v>
      </c>
      <c r="I244">
        <v>43618</v>
      </c>
      <c r="J244">
        <v>12</v>
      </c>
      <c r="K244">
        <v>7</v>
      </c>
      <c r="L244">
        <v>2</v>
      </c>
      <c r="M244" t="s">
        <v>24</v>
      </c>
      <c r="N244">
        <v>3</v>
      </c>
      <c r="O244">
        <v>13</v>
      </c>
      <c r="P244">
        <v>21</v>
      </c>
      <c r="Q244">
        <v>3</v>
      </c>
      <c r="R244">
        <v>4</v>
      </c>
      <c r="S244" t="s">
        <v>25</v>
      </c>
    </row>
    <row r="245" spans="1:19" x14ac:dyDescent="0.25">
      <c r="A245">
        <v>10244</v>
      </c>
      <c r="B245">
        <v>46</v>
      </c>
      <c r="C245" t="s">
        <v>19</v>
      </c>
      <c r="D245" t="s">
        <v>28</v>
      </c>
      <c r="E245" t="s">
        <v>36</v>
      </c>
      <c r="F245" t="s">
        <v>35</v>
      </c>
      <c r="G245" t="s">
        <v>38</v>
      </c>
      <c r="H245">
        <v>61455</v>
      </c>
      <c r="I245">
        <v>33783</v>
      </c>
      <c r="J245">
        <v>2</v>
      </c>
      <c r="K245">
        <v>11</v>
      </c>
      <c r="L245">
        <v>2</v>
      </c>
      <c r="M245" t="s">
        <v>25</v>
      </c>
      <c r="N245">
        <v>3</v>
      </c>
      <c r="O245">
        <v>25</v>
      </c>
      <c r="P245">
        <v>38</v>
      </c>
      <c r="Q245">
        <v>4</v>
      </c>
      <c r="R245">
        <v>1</v>
      </c>
      <c r="S245" t="s">
        <v>25</v>
      </c>
    </row>
    <row r="246" spans="1:19" x14ac:dyDescent="0.25">
      <c r="A246">
        <v>10245</v>
      </c>
      <c r="B246">
        <v>33</v>
      </c>
      <c r="C246" t="s">
        <v>19</v>
      </c>
      <c r="D246" t="s">
        <v>32</v>
      </c>
      <c r="E246" t="s">
        <v>33</v>
      </c>
      <c r="F246" t="s">
        <v>35</v>
      </c>
      <c r="G246" t="s">
        <v>38</v>
      </c>
      <c r="H246">
        <v>34603</v>
      </c>
      <c r="I246">
        <v>29227</v>
      </c>
      <c r="J246">
        <v>22</v>
      </c>
      <c r="K246">
        <v>14</v>
      </c>
      <c r="L246">
        <v>3</v>
      </c>
      <c r="M246" t="s">
        <v>25</v>
      </c>
      <c r="N246">
        <v>3</v>
      </c>
      <c r="O246">
        <v>17</v>
      </c>
      <c r="P246">
        <v>39</v>
      </c>
      <c r="Q246">
        <v>3</v>
      </c>
      <c r="R246">
        <v>2</v>
      </c>
      <c r="S246" t="s">
        <v>25</v>
      </c>
    </row>
    <row r="247" spans="1:19" x14ac:dyDescent="0.25">
      <c r="A247">
        <v>10246</v>
      </c>
      <c r="B247">
        <v>20</v>
      </c>
      <c r="C247" t="s">
        <v>19</v>
      </c>
      <c r="D247" t="s">
        <v>41</v>
      </c>
      <c r="E247" t="s">
        <v>21</v>
      </c>
      <c r="F247" t="s">
        <v>39</v>
      </c>
      <c r="G247" t="s">
        <v>30</v>
      </c>
      <c r="H247">
        <v>112908</v>
      </c>
      <c r="I247">
        <v>47929</v>
      </c>
      <c r="J247">
        <v>13</v>
      </c>
      <c r="K247">
        <v>4</v>
      </c>
      <c r="L247">
        <v>2</v>
      </c>
      <c r="M247" t="s">
        <v>25</v>
      </c>
      <c r="N247">
        <v>2</v>
      </c>
      <c r="O247">
        <v>16</v>
      </c>
      <c r="P247">
        <v>32</v>
      </c>
      <c r="Q247">
        <v>3</v>
      </c>
      <c r="R247">
        <v>4</v>
      </c>
      <c r="S247" t="s">
        <v>25</v>
      </c>
    </row>
    <row r="248" spans="1:19" x14ac:dyDescent="0.25">
      <c r="A248">
        <v>10247</v>
      </c>
      <c r="B248">
        <v>43</v>
      </c>
      <c r="C248" t="s">
        <v>19</v>
      </c>
      <c r="D248" t="s">
        <v>20</v>
      </c>
      <c r="E248" t="s">
        <v>36</v>
      </c>
      <c r="F248" t="s">
        <v>37</v>
      </c>
      <c r="G248" t="s">
        <v>38</v>
      </c>
      <c r="H248">
        <v>58058</v>
      </c>
      <c r="I248">
        <v>3558</v>
      </c>
      <c r="J248">
        <v>12</v>
      </c>
      <c r="K248">
        <v>1</v>
      </c>
      <c r="L248">
        <v>4</v>
      </c>
      <c r="M248" t="s">
        <v>25</v>
      </c>
      <c r="N248">
        <v>4</v>
      </c>
      <c r="O248">
        <v>16</v>
      </c>
      <c r="P248">
        <v>39</v>
      </c>
      <c r="Q248">
        <v>2</v>
      </c>
      <c r="R248">
        <v>1</v>
      </c>
      <c r="S248" t="s">
        <v>25</v>
      </c>
    </row>
    <row r="249" spans="1:19" x14ac:dyDescent="0.25">
      <c r="A249">
        <v>10248</v>
      </c>
      <c r="B249">
        <v>42</v>
      </c>
      <c r="C249" t="s">
        <v>19</v>
      </c>
      <c r="D249" t="s">
        <v>20</v>
      </c>
      <c r="E249" t="s">
        <v>27</v>
      </c>
      <c r="F249" t="s">
        <v>35</v>
      </c>
      <c r="G249" t="s">
        <v>30</v>
      </c>
      <c r="H249">
        <v>71873</v>
      </c>
      <c r="I249">
        <v>1657</v>
      </c>
      <c r="J249">
        <v>13</v>
      </c>
      <c r="K249">
        <v>11</v>
      </c>
      <c r="L249">
        <v>3</v>
      </c>
      <c r="M249" t="s">
        <v>25</v>
      </c>
      <c r="N249">
        <v>2</v>
      </c>
      <c r="O249">
        <v>18</v>
      </c>
      <c r="P249">
        <v>19</v>
      </c>
      <c r="Q249">
        <v>4</v>
      </c>
      <c r="R249">
        <v>3</v>
      </c>
      <c r="S249" t="s">
        <v>25</v>
      </c>
    </row>
    <row r="250" spans="1:19" x14ac:dyDescent="0.25">
      <c r="A250">
        <v>10249</v>
      </c>
      <c r="B250">
        <v>30</v>
      </c>
      <c r="C250" t="s">
        <v>19</v>
      </c>
      <c r="D250" t="s">
        <v>32</v>
      </c>
      <c r="E250" t="s">
        <v>36</v>
      </c>
      <c r="F250" t="s">
        <v>35</v>
      </c>
      <c r="G250" t="s">
        <v>30</v>
      </c>
      <c r="H250">
        <v>48962</v>
      </c>
      <c r="I250">
        <v>21438</v>
      </c>
      <c r="J250">
        <v>3</v>
      </c>
      <c r="K250">
        <v>0</v>
      </c>
      <c r="L250">
        <v>4</v>
      </c>
      <c r="M250" t="s">
        <v>25</v>
      </c>
      <c r="N250">
        <v>3</v>
      </c>
      <c r="O250">
        <v>6</v>
      </c>
      <c r="P250">
        <v>39</v>
      </c>
      <c r="Q250">
        <v>3</v>
      </c>
      <c r="R250">
        <v>4</v>
      </c>
      <c r="S250" t="s">
        <v>25</v>
      </c>
    </row>
    <row r="251" spans="1:19" x14ac:dyDescent="0.25">
      <c r="A251">
        <v>10250</v>
      </c>
      <c r="B251">
        <v>42</v>
      </c>
      <c r="C251" t="s">
        <v>19</v>
      </c>
      <c r="D251" t="s">
        <v>28</v>
      </c>
      <c r="E251" t="s">
        <v>33</v>
      </c>
      <c r="F251" t="s">
        <v>39</v>
      </c>
      <c r="G251" t="s">
        <v>38</v>
      </c>
      <c r="H251">
        <v>38704</v>
      </c>
      <c r="I251">
        <v>14586</v>
      </c>
      <c r="J251">
        <v>8</v>
      </c>
      <c r="K251">
        <v>8</v>
      </c>
      <c r="L251">
        <v>2</v>
      </c>
      <c r="M251" t="s">
        <v>25</v>
      </c>
      <c r="N251">
        <v>2</v>
      </c>
      <c r="O251">
        <v>23</v>
      </c>
      <c r="P251">
        <v>34</v>
      </c>
      <c r="Q251">
        <v>3</v>
      </c>
      <c r="R251">
        <v>3</v>
      </c>
      <c r="S251" t="s">
        <v>25</v>
      </c>
    </row>
    <row r="252" spans="1:19" x14ac:dyDescent="0.25">
      <c r="A252">
        <v>10251</v>
      </c>
      <c r="B252">
        <v>49</v>
      </c>
      <c r="C252" t="s">
        <v>19</v>
      </c>
      <c r="D252" t="s">
        <v>20</v>
      </c>
      <c r="E252" t="s">
        <v>36</v>
      </c>
      <c r="F252" t="s">
        <v>22</v>
      </c>
      <c r="G252" t="s">
        <v>38</v>
      </c>
      <c r="H252">
        <v>64945</v>
      </c>
      <c r="I252">
        <v>25933</v>
      </c>
      <c r="J252">
        <v>2</v>
      </c>
      <c r="K252">
        <v>3</v>
      </c>
      <c r="L252">
        <v>3</v>
      </c>
      <c r="M252" t="s">
        <v>24</v>
      </c>
      <c r="N252">
        <v>2</v>
      </c>
      <c r="O252">
        <v>21</v>
      </c>
      <c r="P252">
        <v>25</v>
      </c>
      <c r="Q252">
        <v>1</v>
      </c>
      <c r="R252">
        <v>4</v>
      </c>
      <c r="S252" t="s">
        <v>25</v>
      </c>
    </row>
    <row r="253" spans="1:19" x14ac:dyDescent="0.25">
      <c r="A253">
        <v>10252</v>
      </c>
      <c r="B253">
        <v>30</v>
      </c>
      <c r="C253" t="s">
        <v>19</v>
      </c>
      <c r="D253" t="s">
        <v>20</v>
      </c>
      <c r="E253" t="s">
        <v>33</v>
      </c>
      <c r="F253" t="s">
        <v>39</v>
      </c>
      <c r="G253" t="s">
        <v>38</v>
      </c>
      <c r="H253">
        <v>39456</v>
      </c>
      <c r="I253">
        <v>8378</v>
      </c>
      <c r="J253">
        <v>15</v>
      </c>
      <c r="K253">
        <v>5</v>
      </c>
      <c r="L253">
        <v>4</v>
      </c>
      <c r="M253" t="s">
        <v>24</v>
      </c>
      <c r="N253">
        <v>2</v>
      </c>
      <c r="O253">
        <v>12</v>
      </c>
      <c r="P253">
        <v>17</v>
      </c>
      <c r="Q253">
        <v>3</v>
      </c>
      <c r="R253">
        <v>3</v>
      </c>
      <c r="S253" t="s">
        <v>25</v>
      </c>
    </row>
    <row r="254" spans="1:19" x14ac:dyDescent="0.25">
      <c r="A254">
        <v>10253</v>
      </c>
      <c r="B254">
        <v>59</v>
      </c>
      <c r="C254" t="s">
        <v>19</v>
      </c>
      <c r="D254" t="s">
        <v>20</v>
      </c>
      <c r="E254" t="s">
        <v>36</v>
      </c>
      <c r="F254" t="s">
        <v>22</v>
      </c>
      <c r="G254" t="s">
        <v>38</v>
      </c>
      <c r="H254">
        <v>59407</v>
      </c>
      <c r="I254">
        <v>28202</v>
      </c>
      <c r="J254">
        <v>16</v>
      </c>
      <c r="K254">
        <v>14</v>
      </c>
      <c r="L254">
        <v>3</v>
      </c>
      <c r="M254" t="s">
        <v>24</v>
      </c>
      <c r="N254">
        <v>4</v>
      </c>
      <c r="O254">
        <v>5</v>
      </c>
      <c r="P254">
        <v>30</v>
      </c>
      <c r="Q254">
        <v>4</v>
      </c>
      <c r="R254">
        <v>1</v>
      </c>
      <c r="S254" t="s">
        <v>25</v>
      </c>
    </row>
    <row r="255" spans="1:19" x14ac:dyDescent="0.25">
      <c r="A255">
        <v>10254</v>
      </c>
      <c r="B255">
        <v>26</v>
      </c>
      <c r="C255" t="s">
        <v>19</v>
      </c>
      <c r="D255" t="s">
        <v>32</v>
      </c>
      <c r="E255" t="s">
        <v>21</v>
      </c>
      <c r="F255" t="s">
        <v>22</v>
      </c>
      <c r="G255" t="s">
        <v>30</v>
      </c>
      <c r="H255">
        <v>112927</v>
      </c>
      <c r="I255">
        <v>23324</v>
      </c>
      <c r="J255">
        <v>2</v>
      </c>
      <c r="K255">
        <v>14</v>
      </c>
      <c r="L255">
        <v>3</v>
      </c>
      <c r="M255" t="s">
        <v>25</v>
      </c>
      <c r="N255">
        <v>2</v>
      </c>
      <c r="O255">
        <v>21</v>
      </c>
      <c r="P255">
        <v>41</v>
      </c>
      <c r="Q255">
        <v>3</v>
      </c>
      <c r="R255">
        <v>3</v>
      </c>
      <c r="S255" t="s">
        <v>25</v>
      </c>
    </row>
    <row r="256" spans="1:19" x14ac:dyDescent="0.25">
      <c r="A256">
        <v>10255</v>
      </c>
      <c r="B256">
        <v>37</v>
      </c>
      <c r="C256" t="s">
        <v>19</v>
      </c>
      <c r="D256" t="s">
        <v>20</v>
      </c>
      <c r="E256" t="s">
        <v>33</v>
      </c>
      <c r="F256" t="s">
        <v>22</v>
      </c>
      <c r="G256" t="s">
        <v>38</v>
      </c>
      <c r="H256">
        <v>27965</v>
      </c>
      <c r="I256">
        <v>16428</v>
      </c>
      <c r="J256">
        <v>18</v>
      </c>
      <c r="K256">
        <v>6</v>
      </c>
      <c r="L256">
        <v>4</v>
      </c>
      <c r="M256" t="s">
        <v>24</v>
      </c>
      <c r="N256">
        <v>4</v>
      </c>
      <c r="O256">
        <v>36</v>
      </c>
      <c r="P256">
        <v>26</v>
      </c>
      <c r="Q256">
        <v>2</v>
      </c>
      <c r="R256">
        <v>2</v>
      </c>
      <c r="S256" t="s">
        <v>25</v>
      </c>
    </row>
    <row r="257" spans="1:19" x14ac:dyDescent="0.25">
      <c r="A257">
        <v>10256</v>
      </c>
      <c r="B257">
        <v>39</v>
      </c>
      <c r="C257" t="s">
        <v>19</v>
      </c>
      <c r="D257" t="s">
        <v>20</v>
      </c>
      <c r="E257" t="s">
        <v>33</v>
      </c>
      <c r="F257" t="s">
        <v>39</v>
      </c>
      <c r="G257" t="s">
        <v>30</v>
      </c>
      <c r="H257">
        <v>40475</v>
      </c>
      <c r="I257">
        <v>18257</v>
      </c>
      <c r="J257">
        <v>4</v>
      </c>
      <c r="K257">
        <v>3</v>
      </c>
      <c r="L257">
        <v>3</v>
      </c>
      <c r="M257" t="s">
        <v>25</v>
      </c>
      <c r="N257">
        <v>1</v>
      </c>
      <c r="O257">
        <v>4</v>
      </c>
      <c r="P257">
        <v>33</v>
      </c>
      <c r="Q257">
        <v>3</v>
      </c>
      <c r="R257">
        <v>4</v>
      </c>
      <c r="S257" t="s">
        <v>25</v>
      </c>
    </row>
    <row r="258" spans="1:19" x14ac:dyDescent="0.25">
      <c r="A258">
        <v>10257</v>
      </c>
      <c r="B258">
        <v>54</v>
      </c>
      <c r="C258" t="s">
        <v>19</v>
      </c>
      <c r="D258" t="s">
        <v>20</v>
      </c>
      <c r="E258" t="s">
        <v>36</v>
      </c>
      <c r="F258" t="s">
        <v>39</v>
      </c>
      <c r="G258" t="s">
        <v>30</v>
      </c>
      <c r="H258">
        <v>53681</v>
      </c>
      <c r="I258">
        <v>46418</v>
      </c>
      <c r="J258">
        <v>20</v>
      </c>
      <c r="K258">
        <v>1</v>
      </c>
      <c r="L258">
        <v>3</v>
      </c>
      <c r="M258" t="s">
        <v>25</v>
      </c>
      <c r="N258">
        <v>2</v>
      </c>
      <c r="O258">
        <v>24</v>
      </c>
      <c r="P258">
        <v>21</v>
      </c>
      <c r="Q258">
        <v>3</v>
      </c>
      <c r="R258">
        <v>3</v>
      </c>
      <c r="S258" t="s">
        <v>24</v>
      </c>
    </row>
    <row r="259" spans="1:19" x14ac:dyDescent="0.25">
      <c r="A259">
        <v>10258</v>
      </c>
      <c r="B259">
        <v>23</v>
      </c>
      <c r="C259" t="s">
        <v>19</v>
      </c>
      <c r="D259" t="s">
        <v>41</v>
      </c>
      <c r="E259" t="s">
        <v>36</v>
      </c>
      <c r="F259" t="s">
        <v>39</v>
      </c>
      <c r="G259" t="s">
        <v>30</v>
      </c>
      <c r="H259">
        <v>50002</v>
      </c>
      <c r="I259">
        <v>35422</v>
      </c>
      <c r="J259">
        <v>16</v>
      </c>
      <c r="K259">
        <v>0</v>
      </c>
      <c r="L259">
        <v>3</v>
      </c>
      <c r="M259" t="s">
        <v>24</v>
      </c>
      <c r="N259">
        <v>3</v>
      </c>
      <c r="O259">
        <v>7</v>
      </c>
      <c r="P259">
        <v>6</v>
      </c>
      <c r="Q259">
        <v>3</v>
      </c>
      <c r="R259">
        <v>3</v>
      </c>
      <c r="S259" t="s">
        <v>25</v>
      </c>
    </row>
    <row r="260" spans="1:19" x14ac:dyDescent="0.25">
      <c r="A260">
        <v>10259</v>
      </c>
      <c r="B260">
        <v>31</v>
      </c>
      <c r="C260" t="s">
        <v>19</v>
      </c>
      <c r="D260" t="s">
        <v>32</v>
      </c>
      <c r="E260" t="s">
        <v>33</v>
      </c>
      <c r="F260" t="s">
        <v>22</v>
      </c>
      <c r="G260" t="s">
        <v>30</v>
      </c>
      <c r="H260">
        <v>32498</v>
      </c>
      <c r="I260">
        <v>18613</v>
      </c>
      <c r="J260">
        <v>1</v>
      </c>
      <c r="K260">
        <v>0</v>
      </c>
      <c r="L260">
        <v>3</v>
      </c>
      <c r="M260" t="s">
        <v>25</v>
      </c>
      <c r="N260">
        <v>3</v>
      </c>
      <c r="O260">
        <v>38</v>
      </c>
      <c r="P260">
        <v>32</v>
      </c>
      <c r="Q260">
        <v>4</v>
      </c>
      <c r="R260">
        <v>3</v>
      </c>
      <c r="S260" t="s">
        <v>25</v>
      </c>
    </row>
    <row r="261" spans="1:19" x14ac:dyDescent="0.25">
      <c r="A261">
        <v>10260</v>
      </c>
      <c r="B261">
        <v>56</v>
      </c>
      <c r="C261" t="s">
        <v>19</v>
      </c>
      <c r="D261" t="s">
        <v>20</v>
      </c>
      <c r="E261" t="s">
        <v>33</v>
      </c>
      <c r="F261" t="s">
        <v>39</v>
      </c>
      <c r="G261" t="s">
        <v>38</v>
      </c>
      <c r="H261">
        <v>26384</v>
      </c>
      <c r="I261">
        <v>20947</v>
      </c>
      <c r="J261">
        <v>17</v>
      </c>
      <c r="K261">
        <v>10</v>
      </c>
      <c r="L261">
        <v>2</v>
      </c>
      <c r="M261" t="s">
        <v>25</v>
      </c>
      <c r="N261">
        <v>2</v>
      </c>
      <c r="O261">
        <v>25</v>
      </c>
      <c r="P261">
        <v>6</v>
      </c>
      <c r="Q261">
        <v>3</v>
      </c>
      <c r="R261">
        <v>3</v>
      </c>
      <c r="S261" t="s">
        <v>25</v>
      </c>
    </row>
    <row r="262" spans="1:19" x14ac:dyDescent="0.25">
      <c r="A262">
        <v>10261</v>
      </c>
      <c r="B262">
        <v>21</v>
      </c>
      <c r="C262" t="s">
        <v>19</v>
      </c>
      <c r="D262" t="s">
        <v>20</v>
      </c>
      <c r="E262" t="s">
        <v>36</v>
      </c>
      <c r="F262" t="s">
        <v>39</v>
      </c>
      <c r="G262" t="s">
        <v>30</v>
      </c>
      <c r="H262">
        <v>67191</v>
      </c>
      <c r="I262">
        <v>44439</v>
      </c>
      <c r="J262">
        <v>21</v>
      </c>
      <c r="K262">
        <v>10</v>
      </c>
      <c r="L262">
        <v>3</v>
      </c>
      <c r="M262" t="s">
        <v>25</v>
      </c>
      <c r="N262">
        <v>3</v>
      </c>
      <c r="O262">
        <v>15</v>
      </c>
      <c r="P262">
        <v>16</v>
      </c>
      <c r="Q262">
        <v>1</v>
      </c>
      <c r="R262">
        <v>3</v>
      </c>
      <c r="S262" t="s">
        <v>25</v>
      </c>
    </row>
    <row r="263" spans="1:19" x14ac:dyDescent="0.25">
      <c r="A263">
        <v>10262</v>
      </c>
      <c r="B263">
        <v>31</v>
      </c>
      <c r="C263" t="s">
        <v>19</v>
      </c>
      <c r="D263" t="s">
        <v>20</v>
      </c>
      <c r="E263" t="s">
        <v>33</v>
      </c>
      <c r="F263" t="s">
        <v>22</v>
      </c>
      <c r="G263" t="s">
        <v>30</v>
      </c>
      <c r="H263">
        <v>28981</v>
      </c>
      <c r="I263">
        <v>13731</v>
      </c>
      <c r="J263">
        <v>21</v>
      </c>
      <c r="K263">
        <v>13</v>
      </c>
      <c r="L263">
        <v>4</v>
      </c>
      <c r="M263" t="s">
        <v>25</v>
      </c>
      <c r="N263">
        <v>3</v>
      </c>
      <c r="O263">
        <v>32</v>
      </c>
      <c r="P263">
        <v>37</v>
      </c>
      <c r="Q263">
        <v>4</v>
      </c>
      <c r="R263">
        <v>4</v>
      </c>
      <c r="S263" t="s">
        <v>25</v>
      </c>
    </row>
    <row r="264" spans="1:19" x14ac:dyDescent="0.25">
      <c r="A264">
        <v>10263</v>
      </c>
      <c r="B264">
        <v>23</v>
      </c>
      <c r="C264" t="s">
        <v>19</v>
      </c>
      <c r="D264" t="s">
        <v>41</v>
      </c>
      <c r="E264" t="s">
        <v>33</v>
      </c>
      <c r="F264" t="s">
        <v>39</v>
      </c>
      <c r="G264" t="s">
        <v>38</v>
      </c>
      <c r="H264">
        <v>34615</v>
      </c>
      <c r="I264">
        <v>34782</v>
      </c>
      <c r="J264">
        <v>13</v>
      </c>
      <c r="K264">
        <v>5</v>
      </c>
      <c r="L264">
        <v>3</v>
      </c>
      <c r="M264" t="s">
        <v>25</v>
      </c>
      <c r="N264">
        <v>4</v>
      </c>
      <c r="O264">
        <v>7</v>
      </c>
      <c r="P264">
        <v>50</v>
      </c>
      <c r="Q264">
        <v>2</v>
      </c>
      <c r="R264">
        <v>1</v>
      </c>
      <c r="S264" t="s">
        <v>25</v>
      </c>
    </row>
    <row r="265" spans="1:19" x14ac:dyDescent="0.25">
      <c r="A265">
        <v>10264</v>
      </c>
      <c r="B265">
        <v>59</v>
      </c>
      <c r="C265" t="s">
        <v>31</v>
      </c>
      <c r="D265" t="s">
        <v>20</v>
      </c>
      <c r="E265" t="s">
        <v>21</v>
      </c>
      <c r="F265" t="s">
        <v>39</v>
      </c>
      <c r="G265" t="s">
        <v>38</v>
      </c>
      <c r="H265">
        <v>126634</v>
      </c>
      <c r="I265">
        <v>45098</v>
      </c>
      <c r="J265">
        <v>0</v>
      </c>
      <c r="K265">
        <v>4</v>
      </c>
      <c r="L265">
        <v>4</v>
      </c>
      <c r="M265" t="s">
        <v>25</v>
      </c>
      <c r="N265">
        <v>2</v>
      </c>
      <c r="O265">
        <v>23</v>
      </c>
      <c r="P265">
        <v>36</v>
      </c>
      <c r="Q265">
        <v>3</v>
      </c>
      <c r="R265">
        <v>4</v>
      </c>
      <c r="S265" t="s">
        <v>25</v>
      </c>
    </row>
    <row r="266" spans="1:19" x14ac:dyDescent="0.25">
      <c r="A266">
        <v>10265</v>
      </c>
      <c r="B266">
        <v>24</v>
      </c>
      <c r="C266" t="s">
        <v>31</v>
      </c>
      <c r="D266" t="s">
        <v>26</v>
      </c>
      <c r="E266" t="s">
        <v>36</v>
      </c>
      <c r="F266" t="s">
        <v>39</v>
      </c>
      <c r="G266" t="s">
        <v>38</v>
      </c>
      <c r="H266">
        <v>52774</v>
      </c>
      <c r="I266">
        <v>42230</v>
      </c>
      <c r="J266">
        <v>0</v>
      </c>
      <c r="K266">
        <v>3</v>
      </c>
      <c r="L266">
        <v>2</v>
      </c>
      <c r="M266" t="s">
        <v>24</v>
      </c>
      <c r="N266">
        <v>3</v>
      </c>
      <c r="O266">
        <v>24</v>
      </c>
      <c r="P266">
        <v>15</v>
      </c>
      <c r="Q266">
        <v>1</v>
      </c>
      <c r="R266">
        <v>3</v>
      </c>
      <c r="S266" t="s">
        <v>24</v>
      </c>
    </row>
    <row r="267" spans="1:19" x14ac:dyDescent="0.25">
      <c r="A267">
        <v>10266</v>
      </c>
      <c r="B267">
        <v>36</v>
      </c>
      <c r="C267" t="s">
        <v>19</v>
      </c>
      <c r="D267" t="s">
        <v>34</v>
      </c>
      <c r="E267" t="s">
        <v>36</v>
      </c>
      <c r="F267" t="s">
        <v>39</v>
      </c>
      <c r="G267" t="s">
        <v>30</v>
      </c>
      <c r="H267">
        <v>68988</v>
      </c>
      <c r="I267">
        <v>4103</v>
      </c>
      <c r="J267">
        <v>15</v>
      </c>
      <c r="K267">
        <v>2</v>
      </c>
      <c r="L267">
        <v>3</v>
      </c>
      <c r="M267" t="s">
        <v>25</v>
      </c>
      <c r="N267">
        <v>3</v>
      </c>
      <c r="O267">
        <v>12</v>
      </c>
      <c r="P267">
        <v>24</v>
      </c>
      <c r="Q267">
        <v>3</v>
      </c>
      <c r="R267">
        <v>3</v>
      </c>
      <c r="S267" t="s">
        <v>25</v>
      </c>
    </row>
    <row r="268" spans="1:19" x14ac:dyDescent="0.25">
      <c r="A268">
        <v>10267</v>
      </c>
      <c r="B268">
        <v>32</v>
      </c>
      <c r="C268" t="s">
        <v>19</v>
      </c>
      <c r="D268" t="s">
        <v>34</v>
      </c>
      <c r="E268" t="s">
        <v>36</v>
      </c>
      <c r="F268" t="s">
        <v>22</v>
      </c>
      <c r="G268" t="s">
        <v>38</v>
      </c>
      <c r="H268">
        <v>51828</v>
      </c>
      <c r="I268">
        <v>43059</v>
      </c>
      <c r="J268">
        <v>14</v>
      </c>
      <c r="K268">
        <v>4</v>
      </c>
      <c r="L268">
        <v>4</v>
      </c>
      <c r="M268" t="s">
        <v>25</v>
      </c>
      <c r="N268">
        <v>2</v>
      </c>
      <c r="O268">
        <v>8</v>
      </c>
      <c r="P268">
        <v>46</v>
      </c>
      <c r="Q268">
        <v>4</v>
      </c>
      <c r="R268">
        <v>3</v>
      </c>
      <c r="S268" t="s">
        <v>25</v>
      </c>
    </row>
    <row r="269" spans="1:19" x14ac:dyDescent="0.25">
      <c r="A269">
        <v>10268</v>
      </c>
      <c r="B269">
        <v>31</v>
      </c>
      <c r="C269" t="s">
        <v>19</v>
      </c>
      <c r="D269" t="s">
        <v>20</v>
      </c>
      <c r="E269" t="s">
        <v>33</v>
      </c>
      <c r="F269" t="s">
        <v>39</v>
      </c>
      <c r="G269" t="s">
        <v>38</v>
      </c>
      <c r="H269">
        <v>44183</v>
      </c>
      <c r="I269">
        <v>10905</v>
      </c>
      <c r="J269">
        <v>9</v>
      </c>
      <c r="K269">
        <v>10</v>
      </c>
      <c r="L269">
        <v>5</v>
      </c>
      <c r="M269" t="s">
        <v>25</v>
      </c>
      <c r="N269">
        <v>2</v>
      </c>
      <c r="O269">
        <v>6</v>
      </c>
      <c r="P269">
        <v>50</v>
      </c>
      <c r="Q269">
        <v>2</v>
      </c>
      <c r="R269">
        <v>3</v>
      </c>
      <c r="S269" t="s">
        <v>25</v>
      </c>
    </row>
    <row r="270" spans="1:19" x14ac:dyDescent="0.25">
      <c r="A270">
        <v>10269</v>
      </c>
      <c r="B270">
        <v>26</v>
      </c>
      <c r="C270" t="s">
        <v>19</v>
      </c>
      <c r="D270" t="s">
        <v>41</v>
      </c>
      <c r="E270" t="s">
        <v>29</v>
      </c>
      <c r="F270" t="s">
        <v>39</v>
      </c>
      <c r="G270" t="s">
        <v>30</v>
      </c>
      <c r="H270">
        <v>150771</v>
      </c>
      <c r="I270">
        <v>42904</v>
      </c>
      <c r="J270">
        <v>11</v>
      </c>
      <c r="K270">
        <v>9</v>
      </c>
      <c r="L270">
        <v>4</v>
      </c>
      <c r="M270" t="s">
        <v>25</v>
      </c>
      <c r="N270">
        <v>4</v>
      </c>
      <c r="O270">
        <v>37</v>
      </c>
      <c r="P270">
        <v>50</v>
      </c>
      <c r="Q270">
        <v>4</v>
      </c>
      <c r="R270">
        <v>3</v>
      </c>
      <c r="S270" t="s">
        <v>25</v>
      </c>
    </row>
    <row r="271" spans="1:19" x14ac:dyDescent="0.25">
      <c r="A271">
        <v>10270</v>
      </c>
      <c r="B271">
        <v>51</v>
      </c>
      <c r="C271" t="s">
        <v>31</v>
      </c>
      <c r="D271" t="s">
        <v>26</v>
      </c>
      <c r="E271" t="s">
        <v>21</v>
      </c>
      <c r="F271" t="s">
        <v>35</v>
      </c>
      <c r="G271" t="s">
        <v>30</v>
      </c>
      <c r="H271">
        <v>105989</v>
      </c>
      <c r="I271">
        <v>10762</v>
      </c>
      <c r="J271">
        <v>21</v>
      </c>
      <c r="K271">
        <v>8</v>
      </c>
      <c r="L271">
        <v>3</v>
      </c>
      <c r="M271" t="s">
        <v>24</v>
      </c>
      <c r="N271">
        <v>3</v>
      </c>
      <c r="O271">
        <v>26</v>
      </c>
      <c r="P271">
        <v>29</v>
      </c>
      <c r="Q271">
        <v>3</v>
      </c>
      <c r="R271">
        <v>1</v>
      </c>
      <c r="S271" t="s">
        <v>25</v>
      </c>
    </row>
    <row r="272" spans="1:19" x14ac:dyDescent="0.25">
      <c r="A272">
        <v>10271</v>
      </c>
      <c r="B272">
        <v>49</v>
      </c>
      <c r="C272" t="s">
        <v>19</v>
      </c>
      <c r="D272" t="s">
        <v>20</v>
      </c>
      <c r="E272" t="s">
        <v>33</v>
      </c>
      <c r="F272" t="s">
        <v>35</v>
      </c>
      <c r="G272" t="s">
        <v>30</v>
      </c>
      <c r="H272">
        <v>25272</v>
      </c>
      <c r="I272">
        <v>14327</v>
      </c>
      <c r="J272">
        <v>24</v>
      </c>
      <c r="K272">
        <v>2</v>
      </c>
      <c r="L272">
        <v>1</v>
      </c>
      <c r="M272" t="s">
        <v>25</v>
      </c>
      <c r="N272">
        <v>3</v>
      </c>
      <c r="O272">
        <v>38</v>
      </c>
      <c r="P272">
        <v>27</v>
      </c>
      <c r="Q272">
        <v>2</v>
      </c>
      <c r="R272">
        <v>3</v>
      </c>
      <c r="S272" t="s">
        <v>25</v>
      </c>
    </row>
    <row r="273" spans="1:19" x14ac:dyDescent="0.25">
      <c r="A273">
        <v>10272</v>
      </c>
      <c r="B273">
        <v>57</v>
      </c>
      <c r="C273" t="s">
        <v>19</v>
      </c>
      <c r="D273" t="s">
        <v>41</v>
      </c>
      <c r="E273" t="s">
        <v>33</v>
      </c>
      <c r="F273" t="s">
        <v>35</v>
      </c>
      <c r="G273" t="s">
        <v>38</v>
      </c>
      <c r="H273">
        <v>42848</v>
      </c>
      <c r="I273">
        <v>5867</v>
      </c>
      <c r="J273">
        <v>20</v>
      </c>
      <c r="K273">
        <v>11</v>
      </c>
      <c r="L273">
        <v>2</v>
      </c>
      <c r="M273" t="s">
        <v>25</v>
      </c>
      <c r="N273">
        <v>1</v>
      </c>
      <c r="O273">
        <v>26</v>
      </c>
      <c r="P273">
        <v>8</v>
      </c>
      <c r="Q273">
        <v>2</v>
      </c>
      <c r="R273">
        <v>3</v>
      </c>
      <c r="S273" t="s">
        <v>24</v>
      </c>
    </row>
    <row r="274" spans="1:19" x14ac:dyDescent="0.25">
      <c r="A274">
        <v>10273</v>
      </c>
      <c r="B274">
        <v>46</v>
      </c>
      <c r="C274" t="s">
        <v>31</v>
      </c>
      <c r="D274" t="s">
        <v>41</v>
      </c>
      <c r="E274" t="s">
        <v>27</v>
      </c>
      <c r="F274" t="s">
        <v>39</v>
      </c>
      <c r="G274" t="s">
        <v>38</v>
      </c>
      <c r="H274">
        <v>72242</v>
      </c>
      <c r="I274">
        <v>507</v>
      </c>
      <c r="J274">
        <v>15</v>
      </c>
      <c r="K274">
        <v>2</v>
      </c>
      <c r="L274">
        <v>2</v>
      </c>
      <c r="M274" t="s">
        <v>25</v>
      </c>
      <c r="N274">
        <v>3</v>
      </c>
      <c r="O274">
        <v>17</v>
      </c>
      <c r="P274">
        <v>43</v>
      </c>
      <c r="Q274">
        <v>2</v>
      </c>
      <c r="R274">
        <v>4</v>
      </c>
      <c r="S274" t="s">
        <v>25</v>
      </c>
    </row>
    <row r="275" spans="1:19" x14ac:dyDescent="0.25">
      <c r="A275">
        <v>10274</v>
      </c>
      <c r="B275">
        <v>31</v>
      </c>
      <c r="C275" t="s">
        <v>19</v>
      </c>
      <c r="D275" t="s">
        <v>34</v>
      </c>
      <c r="E275" t="s">
        <v>21</v>
      </c>
      <c r="F275" t="s">
        <v>35</v>
      </c>
      <c r="G275" t="s">
        <v>30</v>
      </c>
      <c r="H275">
        <v>97370</v>
      </c>
      <c r="I275">
        <v>692</v>
      </c>
      <c r="J275">
        <v>6</v>
      </c>
      <c r="K275">
        <v>12</v>
      </c>
      <c r="L275">
        <v>2</v>
      </c>
      <c r="M275" t="s">
        <v>25</v>
      </c>
      <c r="N275">
        <v>4</v>
      </c>
      <c r="O275">
        <v>6</v>
      </c>
      <c r="P275">
        <v>10</v>
      </c>
      <c r="Q275">
        <v>3</v>
      </c>
      <c r="R275">
        <v>3</v>
      </c>
      <c r="S275" t="s">
        <v>24</v>
      </c>
    </row>
    <row r="276" spans="1:19" x14ac:dyDescent="0.25">
      <c r="A276">
        <v>10275</v>
      </c>
      <c r="B276">
        <v>52</v>
      </c>
      <c r="C276" t="s">
        <v>19</v>
      </c>
      <c r="D276" t="s">
        <v>34</v>
      </c>
      <c r="E276" t="s">
        <v>36</v>
      </c>
      <c r="F276" t="s">
        <v>22</v>
      </c>
      <c r="G276" t="s">
        <v>30</v>
      </c>
      <c r="H276">
        <v>58853</v>
      </c>
      <c r="I276">
        <v>8346</v>
      </c>
      <c r="J276">
        <v>6</v>
      </c>
      <c r="K276">
        <v>8</v>
      </c>
      <c r="L276">
        <v>4</v>
      </c>
      <c r="M276" t="s">
        <v>24</v>
      </c>
      <c r="N276">
        <v>2</v>
      </c>
      <c r="O276">
        <v>15</v>
      </c>
      <c r="P276">
        <v>6</v>
      </c>
      <c r="Q276">
        <v>3</v>
      </c>
      <c r="R276">
        <v>3</v>
      </c>
      <c r="S276" t="s">
        <v>25</v>
      </c>
    </row>
    <row r="277" spans="1:19" x14ac:dyDescent="0.25">
      <c r="A277">
        <v>10276</v>
      </c>
      <c r="B277">
        <v>52</v>
      </c>
      <c r="C277" t="s">
        <v>31</v>
      </c>
      <c r="D277" t="s">
        <v>28</v>
      </c>
      <c r="E277" t="s">
        <v>36</v>
      </c>
      <c r="F277" t="s">
        <v>35</v>
      </c>
      <c r="G277" t="s">
        <v>38</v>
      </c>
      <c r="H277">
        <v>45421</v>
      </c>
      <c r="I277">
        <v>15882</v>
      </c>
      <c r="J277">
        <v>3</v>
      </c>
      <c r="K277">
        <v>10</v>
      </c>
      <c r="L277">
        <v>3</v>
      </c>
      <c r="M277" t="s">
        <v>25</v>
      </c>
      <c r="N277">
        <v>4</v>
      </c>
      <c r="O277">
        <v>22</v>
      </c>
      <c r="P277">
        <v>6</v>
      </c>
      <c r="Q277">
        <v>2</v>
      </c>
      <c r="R277">
        <v>4</v>
      </c>
      <c r="S277" t="s">
        <v>25</v>
      </c>
    </row>
    <row r="278" spans="1:19" x14ac:dyDescent="0.25">
      <c r="A278">
        <v>10277</v>
      </c>
      <c r="B278">
        <v>58</v>
      </c>
      <c r="C278" t="s">
        <v>31</v>
      </c>
      <c r="D278" t="s">
        <v>41</v>
      </c>
      <c r="E278" t="s">
        <v>27</v>
      </c>
      <c r="F278" t="s">
        <v>39</v>
      </c>
      <c r="G278" t="s">
        <v>38</v>
      </c>
      <c r="H278">
        <v>88815</v>
      </c>
      <c r="I278">
        <v>42614</v>
      </c>
      <c r="J278">
        <v>16</v>
      </c>
      <c r="K278">
        <v>8</v>
      </c>
      <c r="L278">
        <v>1</v>
      </c>
      <c r="M278" t="s">
        <v>25</v>
      </c>
      <c r="N278">
        <v>4</v>
      </c>
      <c r="O278">
        <v>5</v>
      </c>
      <c r="P278">
        <v>46</v>
      </c>
      <c r="Q278">
        <v>4</v>
      </c>
      <c r="R278">
        <v>2</v>
      </c>
      <c r="S278" t="s">
        <v>25</v>
      </c>
    </row>
    <row r="279" spans="1:19" x14ac:dyDescent="0.25">
      <c r="A279">
        <v>10278</v>
      </c>
      <c r="B279">
        <v>38</v>
      </c>
      <c r="C279" t="s">
        <v>19</v>
      </c>
      <c r="D279" t="s">
        <v>34</v>
      </c>
      <c r="E279" t="s">
        <v>33</v>
      </c>
      <c r="F279" t="s">
        <v>35</v>
      </c>
      <c r="G279" t="s">
        <v>38</v>
      </c>
      <c r="H279">
        <v>43554</v>
      </c>
      <c r="I279">
        <v>8226</v>
      </c>
      <c r="J279">
        <v>5</v>
      </c>
      <c r="K279">
        <v>11</v>
      </c>
      <c r="L279">
        <v>3</v>
      </c>
      <c r="M279" t="s">
        <v>25</v>
      </c>
      <c r="N279">
        <v>3</v>
      </c>
      <c r="O279">
        <v>8</v>
      </c>
      <c r="P279">
        <v>12</v>
      </c>
      <c r="Q279">
        <v>2</v>
      </c>
      <c r="R279">
        <v>4</v>
      </c>
      <c r="S279" t="s">
        <v>25</v>
      </c>
    </row>
    <row r="280" spans="1:19" x14ac:dyDescent="0.25">
      <c r="A280">
        <v>10279</v>
      </c>
      <c r="B280">
        <v>28</v>
      </c>
      <c r="C280" t="s">
        <v>19</v>
      </c>
      <c r="D280" t="s">
        <v>20</v>
      </c>
      <c r="E280" t="s">
        <v>33</v>
      </c>
      <c r="F280" t="s">
        <v>39</v>
      </c>
      <c r="G280" t="s">
        <v>23</v>
      </c>
      <c r="H280">
        <v>36279</v>
      </c>
      <c r="I280">
        <v>17400</v>
      </c>
      <c r="J280">
        <v>6</v>
      </c>
      <c r="K280">
        <v>14</v>
      </c>
      <c r="L280">
        <v>4</v>
      </c>
      <c r="M280" t="s">
        <v>25</v>
      </c>
      <c r="N280">
        <v>4</v>
      </c>
      <c r="O280">
        <v>37</v>
      </c>
      <c r="P280">
        <v>48</v>
      </c>
      <c r="Q280">
        <v>2</v>
      </c>
      <c r="R280">
        <v>1</v>
      </c>
      <c r="S280" t="s">
        <v>24</v>
      </c>
    </row>
    <row r="281" spans="1:19" x14ac:dyDescent="0.25">
      <c r="A281">
        <v>10280</v>
      </c>
      <c r="B281">
        <v>45</v>
      </c>
      <c r="C281" t="s">
        <v>31</v>
      </c>
      <c r="D281" t="s">
        <v>26</v>
      </c>
      <c r="E281" t="s">
        <v>33</v>
      </c>
      <c r="F281" t="s">
        <v>35</v>
      </c>
      <c r="G281" t="s">
        <v>30</v>
      </c>
      <c r="H281">
        <v>39347</v>
      </c>
      <c r="I281">
        <v>2936</v>
      </c>
      <c r="J281">
        <v>22</v>
      </c>
      <c r="K281">
        <v>10</v>
      </c>
      <c r="L281">
        <v>3</v>
      </c>
      <c r="M281" t="s">
        <v>25</v>
      </c>
      <c r="N281">
        <v>1</v>
      </c>
      <c r="O281">
        <v>13</v>
      </c>
      <c r="P281">
        <v>47</v>
      </c>
      <c r="Q281">
        <v>4</v>
      </c>
      <c r="R281">
        <v>3</v>
      </c>
      <c r="S281" t="s">
        <v>24</v>
      </c>
    </row>
    <row r="282" spans="1:19" x14ac:dyDescent="0.25">
      <c r="A282">
        <v>10281</v>
      </c>
      <c r="B282">
        <v>59</v>
      </c>
      <c r="C282" t="s">
        <v>19</v>
      </c>
      <c r="D282" t="s">
        <v>20</v>
      </c>
      <c r="E282" t="s">
        <v>36</v>
      </c>
      <c r="F282" t="s">
        <v>39</v>
      </c>
      <c r="G282" t="s">
        <v>30</v>
      </c>
      <c r="H282">
        <v>58983</v>
      </c>
      <c r="I282">
        <v>7235</v>
      </c>
      <c r="J282">
        <v>13</v>
      </c>
      <c r="K282">
        <v>8</v>
      </c>
      <c r="L282">
        <v>2</v>
      </c>
      <c r="M282" t="s">
        <v>25</v>
      </c>
      <c r="N282">
        <v>3</v>
      </c>
      <c r="O282">
        <v>16</v>
      </c>
      <c r="P282">
        <v>28</v>
      </c>
      <c r="Q282">
        <v>3</v>
      </c>
      <c r="R282">
        <v>2</v>
      </c>
      <c r="S282" t="s">
        <v>25</v>
      </c>
    </row>
    <row r="283" spans="1:19" x14ac:dyDescent="0.25">
      <c r="A283">
        <v>10282</v>
      </c>
      <c r="B283">
        <v>29</v>
      </c>
      <c r="C283" t="s">
        <v>31</v>
      </c>
      <c r="D283" t="s">
        <v>28</v>
      </c>
      <c r="E283" t="s">
        <v>40</v>
      </c>
      <c r="F283" t="s">
        <v>39</v>
      </c>
      <c r="G283" t="s">
        <v>30</v>
      </c>
      <c r="H283">
        <v>18558</v>
      </c>
      <c r="I283">
        <v>42814</v>
      </c>
      <c r="J283">
        <v>11</v>
      </c>
      <c r="K283">
        <v>14</v>
      </c>
      <c r="L283">
        <v>3</v>
      </c>
      <c r="M283" t="s">
        <v>25</v>
      </c>
      <c r="N283">
        <v>3</v>
      </c>
      <c r="O283">
        <v>19</v>
      </c>
      <c r="P283">
        <v>39</v>
      </c>
      <c r="Q283">
        <v>2</v>
      </c>
      <c r="R283">
        <v>2</v>
      </c>
      <c r="S283" t="s">
        <v>25</v>
      </c>
    </row>
    <row r="284" spans="1:19" x14ac:dyDescent="0.25">
      <c r="A284">
        <v>10283</v>
      </c>
      <c r="B284">
        <v>41</v>
      </c>
      <c r="C284" t="s">
        <v>31</v>
      </c>
      <c r="D284" t="s">
        <v>41</v>
      </c>
      <c r="E284" t="s">
        <v>27</v>
      </c>
      <c r="F284" t="s">
        <v>22</v>
      </c>
      <c r="G284" t="s">
        <v>30</v>
      </c>
      <c r="H284">
        <v>72992</v>
      </c>
      <c r="I284">
        <v>42833</v>
      </c>
      <c r="J284">
        <v>11</v>
      </c>
      <c r="K284">
        <v>6</v>
      </c>
      <c r="L284">
        <v>3</v>
      </c>
      <c r="M284" t="s">
        <v>25</v>
      </c>
      <c r="N284">
        <v>3</v>
      </c>
      <c r="O284">
        <v>28</v>
      </c>
      <c r="P284">
        <v>56</v>
      </c>
      <c r="Q284">
        <v>3</v>
      </c>
      <c r="R284">
        <v>4</v>
      </c>
      <c r="S284" t="s">
        <v>25</v>
      </c>
    </row>
    <row r="285" spans="1:19" x14ac:dyDescent="0.25">
      <c r="A285">
        <v>10284</v>
      </c>
      <c r="B285">
        <v>42</v>
      </c>
      <c r="C285" t="s">
        <v>19</v>
      </c>
      <c r="D285" t="s">
        <v>20</v>
      </c>
      <c r="E285" t="s">
        <v>33</v>
      </c>
      <c r="F285" t="s">
        <v>39</v>
      </c>
      <c r="G285" t="s">
        <v>38</v>
      </c>
      <c r="H285">
        <v>44023</v>
      </c>
      <c r="I285">
        <v>23067</v>
      </c>
      <c r="J285">
        <v>15</v>
      </c>
      <c r="K285">
        <v>2</v>
      </c>
      <c r="L285">
        <v>3</v>
      </c>
      <c r="M285" t="s">
        <v>24</v>
      </c>
      <c r="N285">
        <v>2</v>
      </c>
      <c r="O285">
        <v>22</v>
      </c>
      <c r="P285">
        <v>25</v>
      </c>
      <c r="Q285">
        <v>3</v>
      </c>
      <c r="R285">
        <v>3</v>
      </c>
      <c r="S285" t="s">
        <v>25</v>
      </c>
    </row>
    <row r="286" spans="1:19" x14ac:dyDescent="0.25">
      <c r="A286">
        <v>10285</v>
      </c>
      <c r="B286">
        <v>49</v>
      </c>
      <c r="C286" t="s">
        <v>19</v>
      </c>
      <c r="D286" t="s">
        <v>20</v>
      </c>
      <c r="E286" t="s">
        <v>33</v>
      </c>
      <c r="F286" t="s">
        <v>35</v>
      </c>
      <c r="G286" t="s">
        <v>38</v>
      </c>
      <c r="H286">
        <v>41234</v>
      </c>
      <c r="I286">
        <v>19680</v>
      </c>
      <c r="J286">
        <v>20</v>
      </c>
      <c r="K286">
        <v>8</v>
      </c>
      <c r="L286">
        <v>2</v>
      </c>
      <c r="M286" t="s">
        <v>24</v>
      </c>
      <c r="N286">
        <v>2</v>
      </c>
      <c r="O286">
        <v>24</v>
      </c>
      <c r="P286">
        <v>55</v>
      </c>
      <c r="Q286">
        <v>3</v>
      </c>
      <c r="R286">
        <v>4</v>
      </c>
      <c r="S286" t="s">
        <v>25</v>
      </c>
    </row>
    <row r="287" spans="1:19" x14ac:dyDescent="0.25">
      <c r="A287">
        <v>10286</v>
      </c>
      <c r="B287">
        <v>50</v>
      </c>
      <c r="C287" t="s">
        <v>19</v>
      </c>
      <c r="D287" t="s">
        <v>20</v>
      </c>
      <c r="E287" t="s">
        <v>40</v>
      </c>
      <c r="F287" t="s">
        <v>22</v>
      </c>
      <c r="G287" t="s">
        <v>30</v>
      </c>
      <c r="H287">
        <v>19562</v>
      </c>
      <c r="I287">
        <v>48940</v>
      </c>
      <c r="J287">
        <v>12</v>
      </c>
      <c r="K287">
        <v>0</v>
      </c>
      <c r="L287">
        <v>2</v>
      </c>
      <c r="M287" t="s">
        <v>24</v>
      </c>
      <c r="N287">
        <v>3</v>
      </c>
      <c r="O287">
        <v>17</v>
      </c>
      <c r="P287">
        <v>32</v>
      </c>
      <c r="Q287">
        <v>3</v>
      </c>
      <c r="R287">
        <v>3</v>
      </c>
      <c r="S287" t="s">
        <v>25</v>
      </c>
    </row>
    <row r="288" spans="1:19" x14ac:dyDescent="0.25">
      <c r="A288">
        <v>10287</v>
      </c>
      <c r="B288">
        <v>30</v>
      </c>
      <c r="C288" t="s">
        <v>19</v>
      </c>
      <c r="D288" t="s">
        <v>20</v>
      </c>
      <c r="E288" t="s">
        <v>36</v>
      </c>
      <c r="F288" t="s">
        <v>39</v>
      </c>
      <c r="G288" t="s">
        <v>23</v>
      </c>
      <c r="H288">
        <v>63981</v>
      </c>
      <c r="I288">
        <v>5622</v>
      </c>
      <c r="J288">
        <v>20</v>
      </c>
      <c r="K288">
        <v>2</v>
      </c>
      <c r="L288">
        <v>2</v>
      </c>
      <c r="M288" t="s">
        <v>24</v>
      </c>
      <c r="N288">
        <v>4</v>
      </c>
      <c r="O288">
        <v>24</v>
      </c>
      <c r="P288">
        <v>49</v>
      </c>
      <c r="Q288">
        <v>1</v>
      </c>
      <c r="R288">
        <v>2</v>
      </c>
      <c r="S288" t="s">
        <v>25</v>
      </c>
    </row>
    <row r="289" spans="1:19" x14ac:dyDescent="0.25">
      <c r="A289">
        <v>10288</v>
      </c>
      <c r="B289">
        <v>53</v>
      </c>
      <c r="C289" t="s">
        <v>19</v>
      </c>
      <c r="D289" t="s">
        <v>41</v>
      </c>
      <c r="E289" t="s">
        <v>27</v>
      </c>
      <c r="F289" t="s">
        <v>39</v>
      </c>
      <c r="G289" t="s">
        <v>30</v>
      </c>
      <c r="H289">
        <v>79937</v>
      </c>
      <c r="I289">
        <v>7349</v>
      </c>
      <c r="J289">
        <v>18</v>
      </c>
      <c r="K289">
        <v>8</v>
      </c>
      <c r="L289">
        <v>3</v>
      </c>
      <c r="M289" t="s">
        <v>24</v>
      </c>
      <c r="N289">
        <v>1</v>
      </c>
      <c r="O289">
        <v>18</v>
      </c>
      <c r="P289">
        <v>38</v>
      </c>
      <c r="Q289">
        <v>3</v>
      </c>
      <c r="R289">
        <v>3</v>
      </c>
      <c r="S289" t="s">
        <v>24</v>
      </c>
    </row>
    <row r="290" spans="1:19" x14ac:dyDescent="0.25">
      <c r="A290">
        <v>10289</v>
      </c>
      <c r="B290">
        <v>29</v>
      </c>
      <c r="C290" t="s">
        <v>19</v>
      </c>
      <c r="D290" t="s">
        <v>41</v>
      </c>
      <c r="E290" t="s">
        <v>40</v>
      </c>
      <c r="F290" t="s">
        <v>39</v>
      </c>
      <c r="G290" t="s">
        <v>38</v>
      </c>
      <c r="H290">
        <v>11514</v>
      </c>
      <c r="I290">
        <v>21435</v>
      </c>
      <c r="J290">
        <v>23</v>
      </c>
      <c r="K290">
        <v>3</v>
      </c>
      <c r="L290">
        <v>3</v>
      </c>
      <c r="M290" t="s">
        <v>25</v>
      </c>
      <c r="N290">
        <v>3</v>
      </c>
      <c r="O290">
        <v>9</v>
      </c>
      <c r="P290">
        <v>49</v>
      </c>
      <c r="Q290">
        <v>1</v>
      </c>
      <c r="R290">
        <v>3</v>
      </c>
      <c r="S290" t="s">
        <v>25</v>
      </c>
    </row>
    <row r="291" spans="1:19" x14ac:dyDescent="0.25">
      <c r="A291">
        <v>10290</v>
      </c>
      <c r="B291">
        <v>37</v>
      </c>
      <c r="C291" t="s">
        <v>19</v>
      </c>
      <c r="D291" t="s">
        <v>26</v>
      </c>
      <c r="E291" t="s">
        <v>33</v>
      </c>
      <c r="F291" t="s">
        <v>35</v>
      </c>
      <c r="G291" t="s">
        <v>30</v>
      </c>
      <c r="H291">
        <v>28332</v>
      </c>
      <c r="I291">
        <v>39683</v>
      </c>
      <c r="J291">
        <v>9</v>
      </c>
      <c r="K291">
        <v>12</v>
      </c>
      <c r="L291">
        <v>4</v>
      </c>
      <c r="M291" t="s">
        <v>25</v>
      </c>
      <c r="N291">
        <v>4</v>
      </c>
      <c r="O291">
        <v>9</v>
      </c>
      <c r="P291">
        <v>34</v>
      </c>
      <c r="Q291">
        <v>3</v>
      </c>
      <c r="R291">
        <v>2</v>
      </c>
      <c r="S291" t="s">
        <v>25</v>
      </c>
    </row>
    <row r="292" spans="1:19" x14ac:dyDescent="0.25">
      <c r="A292">
        <v>10291</v>
      </c>
      <c r="B292">
        <v>28</v>
      </c>
      <c r="C292" t="s">
        <v>19</v>
      </c>
      <c r="D292" t="s">
        <v>20</v>
      </c>
      <c r="E292" t="s">
        <v>21</v>
      </c>
      <c r="F292" t="s">
        <v>35</v>
      </c>
      <c r="G292" t="s">
        <v>38</v>
      </c>
      <c r="H292">
        <v>106932</v>
      </c>
      <c r="I292">
        <v>32567</v>
      </c>
      <c r="J292">
        <v>22</v>
      </c>
      <c r="K292">
        <v>6</v>
      </c>
      <c r="L292">
        <v>5</v>
      </c>
      <c r="M292" t="s">
        <v>25</v>
      </c>
      <c r="N292">
        <v>4</v>
      </c>
      <c r="O292">
        <v>14</v>
      </c>
      <c r="P292">
        <v>30</v>
      </c>
      <c r="Q292">
        <v>2</v>
      </c>
      <c r="R292">
        <v>3</v>
      </c>
      <c r="S292" t="s">
        <v>25</v>
      </c>
    </row>
    <row r="293" spans="1:19" x14ac:dyDescent="0.25">
      <c r="A293">
        <v>10292</v>
      </c>
      <c r="B293">
        <v>44</v>
      </c>
      <c r="C293" t="s">
        <v>19</v>
      </c>
      <c r="D293" t="s">
        <v>34</v>
      </c>
      <c r="E293" t="s">
        <v>29</v>
      </c>
      <c r="F293" t="s">
        <v>35</v>
      </c>
      <c r="G293" t="s">
        <v>30</v>
      </c>
      <c r="H293">
        <v>165264</v>
      </c>
      <c r="I293">
        <v>1129</v>
      </c>
      <c r="J293">
        <v>22</v>
      </c>
      <c r="K293">
        <v>5</v>
      </c>
      <c r="L293">
        <v>3</v>
      </c>
      <c r="M293" t="s">
        <v>24</v>
      </c>
      <c r="N293">
        <v>2</v>
      </c>
      <c r="O293">
        <v>20</v>
      </c>
      <c r="P293">
        <v>9</v>
      </c>
      <c r="Q293">
        <v>2</v>
      </c>
      <c r="R293">
        <v>2</v>
      </c>
      <c r="S293" t="s">
        <v>25</v>
      </c>
    </row>
    <row r="294" spans="1:19" x14ac:dyDescent="0.25">
      <c r="A294">
        <v>10293</v>
      </c>
      <c r="B294">
        <v>34</v>
      </c>
      <c r="C294" t="s">
        <v>31</v>
      </c>
      <c r="D294" t="s">
        <v>28</v>
      </c>
      <c r="E294" t="s">
        <v>33</v>
      </c>
      <c r="F294" t="s">
        <v>35</v>
      </c>
      <c r="G294" t="s">
        <v>30</v>
      </c>
      <c r="H294">
        <v>43647</v>
      </c>
      <c r="I294">
        <v>39094</v>
      </c>
      <c r="J294">
        <v>13</v>
      </c>
      <c r="K294">
        <v>0</v>
      </c>
      <c r="L294">
        <v>3</v>
      </c>
      <c r="M294" t="s">
        <v>25</v>
      </c>
      <c r="N294">
        <v>1</v>
      </c>
      <c r="O294">
        <v>25</v>
      </c>
      <c r="P294">
        <v>20</v>
      </c>
      <c r="Q294">
        <v>4</v>
      </c>
      <c r="R294">
        <v>3</v>
      </c>
      <c r="S294" t="s">
        <v>25</v>
      </c>
    </row>
    <row r="295" spans="1:19" x14ac:dyDescent="0.25">
      <c r="A295">
        <v>10294</v>
      </c>
      <c r="B295">
        <v>32</v>
      </c>
      <c r="C295" t="s">
        <v>19</v>
      </c>
      <c r="D295" t="s">
        <v>20</v>
      </c>
      <c r="E295" t="s">
        <v>33</v>
      </c>
      <c r="F295" t="s">
        <v>35</v>
      </c>
      <c r="G295" t="s">
        <v>30</v>
      </c>
      <c r="H295">
        <v>26577</v>
      </c>
      <c r="I295">
        <v>6691</v>
      </c>
      <c r="J295">
        <v>24</v>
      </c>
      <c r="K295">
        <v>5</v>
      </c>
      <c r="L295">
        <v>3</v>
      </c>
      <c r="M295" t="s">
        <v>25</v>
      </c>
      <c r="N295">
        <v>3</v>
      </c>
      <c r="O295">
        <v>25</v>
      </c>
      <c r="P295">
        <v>59</v>
      </c>
      <c r="Q295">
        <v>3</v>
      </c>
      <c r="R295">
        <v>3</v>
      </c>
      <c r="S295" t="s">
        <v>25</v>
      </c>
    </row>
    <row r="296" spans="1:19" x14ac:dyDescent="0.25">
      <c r="A296">
        <v>10295</v>
      </c>
      <c r="B296">
        <v>33</v>
      </c>
      <c r="C296" t="s">
        <v>19</v>
      </c>
      <c r="D296" t="s">
        <v>41</v>
      </c>
      <c r="E296" t="s">
        <v>33</v>
      </c>
      <c r="F296" t="s">
        <v>39</v>
      </c>
      <c r="G296" t="s">
        <v>38</v>
      </c>
      <c r="H296">
        <v>38386</v>
      </c>
      <c r="I296">
        <v>21045</v>
      </c>
      <c r="J296">
        <v>23</v>
      </c>
      <c r="K296">
        <v>6</v>
      </c>
      <c r="L296">
        <v>4</v>
      </c>
      <c r="M296" t="s">
        <v>25</v>
      </c>
      <c r="N296">
        <v>4</v>
      </c>
      <c r="O296">
        <v>32</v>
      </c>
      <c r="P296">
        <v>26</v>
      </c>
      <c r="Q296">
        <v>4</v>
      </c>
      <c r="R296">
        <v>4</v>
      </c>
      <c r="S296" t="s">
        <v>25</v>
      </c>
    </row>
    <row r="297" spans="1:19" x14ac:dyDescent="0.25">
      <c r="A297">
        <v>10296</v>
      </c>
      <c r="B297">
        <v>22</v>
      </c>
      <c r="C297" t="s">
        <v>31</v>
      </c>
      <c r="D297" t="s">
        <v>20</v>
      </c>
      <c r="E297" t="s">
        <v>27</v>
      </c>
      <c r="F297" t="s">
        <v>22</v>
      </c>
      <c r="G297" t="s">
        <v>38</v>
      </c>
      <c r="H297">
        <v>72995</v>
      </c>
      <c r="I297">
        <v>463</v>
      </c>
      <c r="J297">
        <v>5</v>
      </c>
      <c r="K297">
        <v>6</v>
      </c>
      <c r="L297">
        <v>3</v>
      </c>
      <c r="M297" t="s">
        <v>24</v>
      </c>
      <c r="N297">
        <v>4</v>
      </c>
      <c r="O297">
        <v>33</v>
      </c>
      <c r="P297">
        <v>54</v>
      </c>
      <c r="Q297">
        <v>3</v>
      </c>
      <c r="R297">
        <v>3</v>
      </c>
      <c r="S297" t="s">
        <v>25</v>
      </c>
    </row>
    <row r="298" spans="1:19" x14ac:dyDescent="0.25">
      <c r="A298">
        <v>10297</v>
      </c>
      <c r="B298">
        <v>54</v>
      </c>
      <c r="C298" t="s">
        <v>19</v>
      </c>
      <c r="D298" t="s">
        <v>41</v>
      </c>
      <c r="E298" t="s">
        <v>27</v>
      </c>
      <c r="F298" t="s">
        <v>35</v>
      </c>
      <c r="G298" t="s">
        <v>30</v>
      </c>
      <c r="H298">
        <v>69775</v>
      </c>
      <c r="I298">
        <v>11516</v>
      </c>
      <c r="J298">
        <v>16</v>
      </c>
      <c r="K298">
        <v>11</v>
      </c>
      <c r="L298">
        <v>4</v>
      </c>
      <c r="M298" t="s">
        <v>24</v>
      </c>
      <c r="N298">
        <v>3</v>
      </c>
      <c r="O298">
        <v>14</v>
      </c>
      <c r="P298">
        <v>54</v>
      </c>
      <c r="Q298">
        <v>4</v>
      </c>
      <c r="R298">
        <v>1</v>
      </c>
      <c r="S298" t="s">
        <v>25</v>
      </c>
    </row>
    <row r="299" spans="1:19" x14ac:dyDescent="0.25">
      <c r="A299">
        <v>10298</v>
      </c>
      <c r="B299">
        <v>32</v>
      </c>
      <c r="C299" t="s">
        <v>31</v>
      </c>
      <c r="D299" t="s">
        <v>26</v>
      </c>
      <c r="E299" t="s">
        <v>27</v>
      </c>
      <c r="F299" t="s">
        <v>39</v>
      </c>
      <c r="G299" t="s">
        <v>30</v>
      </c>
      <c r="H299">
        <v>80866</v>
      </c>
      <c r="I299">
        <v>41311</v>
      </c>
      <c r="J299">
        <v>19</v>
      </c>
      <c r="K299">
        <v>0</v>
      </c>
      <c r="L299">
        <v>3</v>
      </c>
      <c r="M299" t="s">
        <v>24</v>
      </c>
      <c r="N299">
        <v>2</v>
      </c>
      <c r="O299">
        <v>14</v>
      </c>
      <c r="P299">
        <v>33</v>
      </c>
      <c r="Q299">
        <v>3</v>
      </c>
      <c r="R299">
        <v>3</v>
      </c>
      <c r="S299" t="s">
        <v>25</v>
      </c>
    </row>
    <row r="300" spans="1:19" x14ac:dyDescent="0.25">
      <c r="A300">
        <v>10299</v>
      </c>
      <c r="B300">
        <v>46</v>
      </c>
      <c r="C300" t="s">
        <v>19</v>
      </c>
      <c r="D300" t="s">
        <v>28</v>
      </c>
      <c r="E300" t="s">
        <v>36</v>
      </c>
      <c r="F300" t="s">
        <v>39</v>
      </c>
      <c r="G300" t="s">
        <v>38</v>
      </c>
      <c r="H300">
        <v>66029</v>
      </c>
      <c r="I300">
        <v>15960</v>
      </c>
      <c r="J300">
        <v>23</v>
      </c>
      <c r="K300">
        <v>13</v>
      </c>
      <c r="L300">
        <v>3</v>
      </c>
      <c r="M300" t="s">
        <v>25</v>
      </c>
      <c r="N300">
        <v>4</v>
      </c>
      <c r="O300">
        <v>35</v>
      </c>
      <c r="P300">
        <v>41</v>
      </c>
      <c r="Q300">
        <v>1</v>
      </c>
      <c r="R300">
        <v>4</v>
      </c>
      <c r="S300" t="s">
        <v>25</v>
      </c>
    </row>
    <row r="301" spans="1:19" x14ac:dyDescent="0.25">
      <c r="A301">
        <v>10300</v>
      </c>
      <c r="B301">
        <v>58</v>
      </c>
      <c r="C301" t="s">
        <v>19</v>
      </c>
      <c r="D301" t="s">
        <v>41</v>
      </c>
      <c r="E301" t="s">
        <v>27</v>
      </c>
      <c r="F301" t="s">
        <v>39</v>
      </c>
      <c r="G301" t="s">
        <v>30</v>
      </c>
      <c r="H301">
        <v>64225</v>
      </c>
      <c r="I301">
        <v>29670</v>
      </c>
      <c r="J301">
        <v>24</v>
      </c>
      <c r="K301">
        <v>4</v>
      </c>
      <c r="L301">
        <v>3</v>
      </c>
      <c r="M301" t="s">
        <v>24</v>
      </c>
      <c r="N301">
        <v>3</v>
      </c>
      <c r="O301">
        <v>37</v>
      </c>
      <c r="P301">
        <v>44</v>
      </c>
      <c r="Q301">
        <v>4</v>
      </c>
      <c r="R301">
        <v>3</v>
      </c>
      <c r="S301" t="s">
        <v>25</v>
      </c>
    </row>
    <row r="302" spans="1:19" x14ac:dyDescent="0.25">
      <c r="A302">
        <v>10301</v>
      </c>
      <c r="B302">
        <v>48</v>
      </c>
      <c r="C302" t="s">
        <v>31</v>
      </c>
      <c r="D302" t="s">
        <v>34</v>
      </c>
      <c r="E302" t="s">
        <v>36</v>
      </c>
      <c r="F302" t="s">
        <v>22</v>
      </c>
      <c r="G302" t="s">
        <v>38</v>
      </c>
      <c r="H302">
        <v>69277</v>
      </c>
      <c r="I302">
        <v>26950</v>
      </c>
      <c r="J302">
        <v>0</v>
      </c>
      <c r="K302">
        <v>14</v>
      </c>
      <c r="L302">
        <v>3</v>
      </c>
      <c r="M302" t="s">
        <v>24</v>
      </c>
      <c r="N302">
        <v>3</v>
      </c>
      <c r="O302">
        <v>18</v>
      </c>
      <c r="P302">
        <v>31</v>
      </c>
      <c r="Q302">
        <v>4</v>
      </c>
      <c r="R302">
        <v>2</v>
      </c>
      <c r="S302" t="s">
        <v>25</v>
      </c>
    </row>
    <row r="303" spans="1:19" x14ac:dyDescent="0.25">
      <c r="A303">
        <v>10302</v>
      </c>
      <c r="B303">
        <v>42</v>
      </c>
      <c r="C303" t="s">
        <v>31</v>
      </c>
      <c r="D303" t="s">
        <v>41</v>
      </c>
      <c r="E303" t="s">
        <v>33</v>
      </c>
      <c r="F303" t="s">
        <v>35</v>
      </c>
      <c r="G303" t="s">
        <v>38</v>
      </c>
      <c r="H303">
        <v>43749</v>
      </c>
      <c r="I303">
        <v>47116</v>
      </c>
      <c r="J303">
        <v>23</v>
      </c>
      <c r="K303">
        <v>1</v>
      </c>
      <c r="L303">
        <v>3</v>
      </c>
      <c r="M303" t="s">
        <v>25</v>
      </c>
      <c r="N303">
        <v>2</v>
      </c>
      <c r="O303">
        <v>17</v>
      </c>
      <c r="P303">
        <v>19</v>
      </c>
      <c r="Q303">
        <v>1</v>
      </c>
      <c r="R303">
        <v>3</v>
      </c>
      <c r="S303" t="s">
        <v>24</v>
      </c>
    </row>
    <row r="304" spans="1:19" x14ac:dyDescent="0.25">
      <c r="A304">
        <v>10303</v>
      </c>
      <c r="B304">
        <v>26</v>
      </c>
      <c r="C304" t="s">
        <v>19</v>
      </c>
      <c r="D304" t="s">
        <v>41</v>
      </c>
      <c r="E304" t="s">
        <v>27</v>
      </c>
      <c r="F304" t="s">
        <v>35</v>
      </c>
      <c r="G304" t="s">
        <v>38</v>
      </c>
      <c r="H304">
        <v>62118</v>
      </c>
      <c r="I304">
        <v>16576</v>
      </c>
      <c r="J304">
        <v>3</v>
      </c>
      <c r="K304">
        <v>13</v>
      </c>
      <c r="L304">
        <v>3</v>
      </c>
      <c r="M304" t="s">
        <v>25</v>
      </c>
      <c r="N304">
        <v>1</v>
      </c>
      <c r="O304">
        <v>26</v>
      </c>
      <c r="P304">
        <v>18</v>
      </c>
      <c r="Q304">
        <v>2</v>
      </c>
      <c r="R304">
        <v>4</v>
      </c>
      <c r="S304" t="s">
        <v>24</v>
      </c>
    </row>
    <row r="305" spans="1:19" x14ac:dyDescent="0.25">
      <c r="A305">
        <v>10304</v>
      </c>
      <c r="B305">
        <v>27</v>
      </c>
      <c r="C305" t="s">
        <v>31</v>
      </c>
      <c r="D305" t="s">
        <v>20</v>
      </c>
      <c r="E305" t="s">
        <v>33</v>
      </c>
      <c r="F305" t="s">
        <v>39</v>
      </c>
      <c r="G305" t="s">
        <v>38</v>
      </c>
      <c r="H305">
        <v>31103</v>
      </c>
      <c r="I305">
        <v>4631</v>
      </c>
      <c r="J305">
        <v>14</v>
      </c>
      <c r="K305">
        <v>6</v>
      </c>
      <c r="L305">
        <v>2</v>
      </c>
      <c r="M305" t="s">
        <v>25</v>
      </c>
      <c r="N305">
        <v>1</v>
      </c>
      <c r="O305">
        <v>35</v>
      </c>
      <c r="P305">
        <v>34</v>
      </c>
      <c r="Q305">
        <v>1</v>
      </c>
      <c r="R305">
        <v>3</v>
      </c>
      <c r="S305" t="s">
        <v>24</v>
      </c>
    </row>
    <row r="306" spans="1:19" x14ac:dyDescent="0.25">
      <c r="A306">
        <v>10305</v>
      </c>
      <c r="B306">
        <v>37</v>
      </c>
      <c r="C306" t="s">
        <v>31</v>
      </c>
      <c r="D306" t="s">
        <v>26</v>
      </c>
      <c r="E306" t="s">
        <v>27</v>
      </c>
      <c r="F306" t="s">
        <v>39</v>
      </c>
      <c r="G306" t="s">
        <v>38</v>
      </c>
      <c r="H306">
        <v>66080</v>
      </c>
      <c r="I306">
        <v>27094</v>
      </c>
      <c r="J306">
        <v>24</v>
      </c>
      <c r="K306">
        <v>14</v>
      </c>
      <c r="L306">
        <v>4</v>
      </c>
      <c r="M306" t="s">
        <v>24</v>
      </c>
      <c r="N306">
        <v>3</v>
      </c>
      <c r="O306">
        <v>19</v>
      </c>
      <c r="P306">
        <v>48</v>
      </c>
      <c r="Q306">
        <v>4</v>
      </c>
      <c r="R306">
        <v>1</v>
      </c>
      <c r="S306" t="s">
        <v>25</v>
      </c>
    </row>
    <row r="307" spans="1:19" x14ac:dyDescent="0.25">
      <c r="A307">
        <v>10306</v>
      </c>
      <c r="B307">
        <v>46</v>
      </c>
      <c r="C307" t="s">
        <v>31</v>
      </c>
      <c r="D307" t="s">
        <v>34</v>
      </c>
      <c r="E307" t="s">
        <v>21</v>
      </c>
      <c r="F307" t="s">
        <v>35</v>
      </c>
      <c r="G307" t="s">
        <v>38</v>
      </c>
      <c r="H307">
        <v>96464</v>
      </c>
      <c r="I307">
        <v>32634</v>
      </c>
      <c r="J307">
        <v>21</v>
      </c>
      <c r="K307">
        <v>7</v>
      </c>
      <c r="L307">
        <v>3</v>
      </c>
      <c r="M307" t="s">
        <v>24</v>
      </c>
      <c r="N307">
        <v>3</v>
      </c>
      <c r="O307">
        <v>17</v>
      </c>
      <c r="P307">
        <v>27</v>
      </c>
      <c r="Q307">
        <v>4</v>
      </c>
      <c r="R307">
        <v>4</v>
      </c>
      <c r="S307" t="s">
        <v>24</v>
      </c>
    </row>
    <row r="308" spans="1:19" x14ac:dyDescent="0.25">
      <c r="A308">
        <v>10307</v>
      </c>
      <c r="B308">
        <v>26</v>
      </c>
      <c r="C308" t="s">
        <v>19</v>
      </c>
      <c r="D308" t="s">
        <v>41</v>
      </c>
      <c r="E308" t="s">
        <v>21</v>
      </c>
      <c r="F308" t="s">
        <v>39</v>
      </c>
      <c r="G308" t="s">
        <v>30</v>
      </c>
      <c r="H308">
        <v>111709</v>
      </c>
      <c r="I308">
        <v>24700</v>
      </c>
      <c r="J308">
        <v>16</v>
      </c>
      <c r="K308">
        <v>4</v>
      </c>
      <c r="L308">
        <v>4</v>
      </c>
      <c r="M308" t="s">
        <v>25</v>
      </c>
      <c r="N308">
        <v>3</v>
      </c>
      <c r="O308">
        <v>1</v>
      </c>
      <c r="P308">
        <v>58</v>
      </c>
      <c r="Q308">
        <v>3</v>
      </c>
      <c r="R308">
        <v>1</v>
      </c>
      <c r="S308" t="s">
        <v>25</v>
      </c>
    </row>
    <row r="309" spans="1:19" x14ac:dyDescent="0.25">
      <c r="A309">
        <v>10308</v>
      </c>
      <c r="B309">
        <v>34</v>
      </c>
      <c r="C309" t="s">
        <v>19</v>
      </c>
      <c r="D309" t="s">
        <v>28</v>
      </c>
      <c r="E309" t="s">
        <v>33</v>
      </c>
      <c r="F309" t="s">
        <v>37</v>
      </c>
      <c r="G309" t="s">
        <v>38</v>
      </c>
      <c r="H309">
        <v>30529</v>
      </c>
      <c r="I309">
        <v>39886</v>
      </c>
      <c r="J309">
        <v>3</v>
      </c>
      <c r="K309">
        <v>12</v>
      </c>
      <c r="L309">
        <v>4</v>
      </c>
      <c r="M309" t="s">
        <v>24</v>
      </c>
      <c r="N309">
        <v>4</v>
      </c>
      <c r="O309">
        <v>2</v>
      </c>
      <c r="P309">
        <v>59</v>
      </c>
      <c r="Q309">
        <v>2</v>
      </c>
      <c r="R309">
        <v>4</v>
      </c>
      <c r="S309" t="s">
        <v>25</v>
      </c>
    </row>
    <row r="310" spans="1:19" x14ac:dyDescent="0.25">
      <c r="A310">
        <v>10309</v>
      </c>
      <c r="B310">
        <v>42</v>
      </c>
      <c r="C310" t="s">
        <v>31</v>
      </c>
      <c r="D310" t="s">
        <v>32</v>
      </c>
      <c r="E310" t="s">
        <v>36</v>
      </c>
      <c r="F310" t="s">
        <v>39</v>
      </c>
      <c r="G310" t="s">
        <v>30</v>
      </c>
      <c r="H310">
        <v>56810</v>
      </c>
      <c r="I310">
        <v>23110</v>
      </c>
      <c r="J310">
        <v>2</v>
      </c>
      <c r="K310">
        <v>9</v>
      </c>
      <c r="L310">
        <v>3</v>
      </c>
      <c r="M310" t="s">
        <v>25</v>
      </c>
      <c r="N310">
        <v>1</v>
      </c>
      <c r="O310">
        <v>1</v>
      </c>
      <c r="P310">
        <v>18</v>
      </c>
      <c r="Q310">
        <v>3</v>
      </c>
      <c r="R310">
        <v>3</v>
      </c>
      <c r="S310" t="s">
        <v>25</v>
      </c>
    </row>
    <row r="311" spans="1:19" x14ac:dyDescent="0.25">
      <c r="A311">
        <v>10310</v>
      </c>
      <c r="B311">
        <v>36</v>
      </c>
      <c r="C311" t="s">
        <v>31</v>
      </c>
      <c r="D311" t="s">
        <v>26</v>
      </c>
      <c r="E311" t="s">
        <v>27</v>
      </c>
      <c r="F311" t="s">
        <v>39</v>
      </c>
      <c r="G311" t="s">
        <v>23</v>
      </c>
      <c r="H311">
        <v>73204</v>
      </c>
      <c r="I311">
        <v>20462</v>
      </c>
      <c r="J311">
        <v>9</v>
      </c>
      <c r="K311">
        <v>2</v>
      </c>
      <c r="L311">
        <v>3</v>
      </c>
      <c r="M311" t="s">
        <v>25</v>
      </c>
      <c r="N311">
        <v>3</v>
      </c>
      <c r="O311">
        <v>15</v>
      </c>
      <c r="P311">
        <v>31</v>
      </c>
      <c r="Q311">
        <v>3</v>
      </c>
      <c r="R311">
        <v>3</v>
      </c>
      <c r="S311" t="s">
        <v>25</v>
      </c>
    </row>
    <row r="312" spans="1:19" x14ac:dyDescent="0.25">
      <c r="A312">
        <v>10311</v>
      </c>
      <c r="B312">
        <v>34</v>
      </c>
      <c r="C312" t="s">
        <v>19</v>
      </c>
      <c r="D312" t="s">
        <v>20</v>
      </c>
      <c r="E312" t="s">
        <v>36</v>
      </c>
      <c r="F312" t="s">
        <v>22</v>
      </c>
      <c r="G312" t="s">
        <v>38</v>
      </c>
      <c r="H312">
        <v>67641</v>
      </c>
      <c r="I312">
        <v>48639</v>
      </c>
      <c r="J312">
        <v>0</v>
      </c>
      <c r="K312">
        <v>10</v>
      </c>
      <c r="L312">
        <v>2</v>
      </c>
      <c r="M312" t="s">
        <v>25</v>
      </c>
      <c r="N312">
        <v>2</v>
      </c>
      <c r="O312">
        <v>38</v>
      </c>
      <c r="P312">
        <v>45</v>
      </c>
      <c r="Q312">
        <v>4</v>
      </c>
      <c r="R312">
        <v>1</v>
      </c>
      <c r="S312" t="s">
        <v>25</v>
      </c>
    </row>
    <row r="313" spans="1:19" x14ac:dyDescent="0.25">
      <c r="A313">
        <v>10312</v>
      </c>
      <c r="B313">
        <v>43</v>
      </c>
      <c r="C313" t="s">
        <v>19</v>
      </c>
      <c r="D313" t="s">
        <v>20</v>
      </c>
      <c r="E313" t="s">
        <v>33</v>
      </c>
      <c r="F313" t="s">
        <v>39</v>
      </c>
      <c r="G313" t="s">
        <v>23</v>
      </c>
      <c r="H313">
        <v>44585</v>
      </c>
      <c r="I313">
        <v>23345</v>
      </c>
      <c r="J313">
        <v>15</v>
      </c>
      <c r="K313">
        <v>13</v>
      </c>
      <c r="L313">
        <v>3</v>
      </c>
      <c r="M313" t="s">
        <v>25</v>
      </c>
      <c r="N313">
        <v>3</v>
      </c>
      <c r="O313">
        <v>29</v>
      </c>
      <c r="P313">
        <v>28</v>
      </c>
      <c r="Q313">
        <v>3</v>
      </c>
      <c r="R313">
        <v>1</v>
      </c>
      <c r="S313" t="s">
        <v>25</v>
      </c>
    </row>
    <row r="314" spans="1:19" x14ac:dyDescent="0.25">
      <c r="A314">
        <v>10313</v>
      </c>
      <c r="B314">
        <v>48</v>
      </c>
      <c r="C314" t="s">
        <v>19</v>
      </c>
      <c r="D314" t="s">
        <v>34</v>
      </c>
      <c r="E314" t="s">
        <v>33</v>
      </c>
      <c r="F314" t="s">
        <v>39</v>
      </c>
      <c r="G314" t="s">
        <v>23</v>
      </c>
      <c r="H314">
        <v>26552</v>
      </c>
      <c r="I314">
        <v>8055</v>
      </c>
      <c r="J314">
        <v>14</v>
      </c>
      <c r="K314">
        <v>10</v>
      </c>
      <c r="L314">
        <v>2</v>
      </c>
      <c r="M314" t="s">
        <v>25</v>
      </c>
      <c r="N314">
        <v>3</v>
      </c>
      <c r="O314">
        <v>28</v>
      </c>
      <c r="P314">
        <v>41</v>
      </c>
      <c r="Q314">
        <v>3</v>
      </c>
      <c r="R314">
        <v>4</v>
      </c>
      <c r="S314" t="s">
        <v>25</v>
      </c>
    </row>
    <row r="315" spans="1:19" x14ac:dyDescent="0.25">
      <c r="A315">
        <v>10314</v>
      </c>
      <c r="B315">
        <v>22</v>
      </c>
      <c r="C315" t="s">
        <v>19</v>
      </c>
      <c r="D315" t="s">
        <v>20</v>
      </c>
      <c r="E315" t="s">
        <v>36</v>
      </c>
      <c r="F315" t="s">
        <v>39</v>
      </c>
      <c r="G315" t="s">
        <v>23</v>
      </c>
      <c r="H315">
        <v>60792</v>
      </c>
      <c r="I315">
        <v>4368</v>
      </c>
      <c r="J315">
        <v>11</v>
      </c>
      <c r="K315">
        <v>0</v>
      </c>
      <c r="L315">
        <v>3</v>
      </c>
      <c r="M315" t="s">
        <v>24</v>
      </c>
      <c r="N315">
        <v>4</v>
      </c>
      <c r="O315">
        <v>26</v>
      </c>
      <c r="P315">
        <v>39</v>
      </c>
      <c r="Q315">
        <v>3</v>
      </c>
      <c r="R315">
        <v>4</v>
      </c>
      <c r="S315" t="s">
        <v>25</v>
      </c>
    </row>
    <row r="316" spans="1:19" x14ac:dyDescent="0.25">
      <c r="A316">
        <v>10315</v>
      </c>
      <c r="B316">
        <v>20</v>
      </c>
      <c r="C316" t="s">
        <v>19</v>
      </c>
      <c r="D316" t="s">
        <v>34</v>
      </c>
      <c r="E316" t="s">
        <v>33</v>
      </c>
      <c r="F316" t="s">
        <v>22</v>
      </c>
      <c r="G316" t="s">
        <v>38</v>
      </c>
      <c r="H316">
        <v>26212</v>
      </c>
      <c r="I316">
        <v>18895</v>
      </c>
      <c r="J316">
        <v>15</v>
      </c>
      <c r="K316">
        <v>9</v>
      </c>
      <c r="L316">
        <v>3</v>
      </c>
      <c r="M316" t="s">
        <v>25</v>
      </c>
      <c r="N316">
        <v>3</v>
      </c>
      <c r="O316">
        <v>20</v>
      </c>
      <c r="P316">
        <v>20</v>
      </c>
      <c r="Q316">
        <v>4</v>
      </c>
      <c r="R316">
        <v>3</v>
      </c>
      <c r="S316" t="s">
        <v>25</v>
      </c>
    </row>
    <row r="317" spans="1:19" x14ac:dyDescent="0.25">
      <c r="A317">
        <v>10316</v>
      </c>
      <c r="B317">
        <v>22</v>
      </c>
      <c r="C317" t="s">
        <v>19</v>
      </c>
      <c r="D317" t="s">
        <v>20</v>
      </c>
      <c r="E317" t="s">
        <v>36</v>
      </c>
      <c r="F317" t="s">
        <v>37</v>
      </c>
      <c r="G317" t="s">
        <v>30</v>
      </c>
      <c r="H317">
        <v>64576</v>
      </c>
      <c r="I317">
        <v>34305</v>
      </c>
      <c r="J317">
        <v>13</v>
      </c>
      <c r="K317">
        <v>11</v>
      </c>
      <c r="L317">
        <v>3</v>
      </c>
      <c r="M317" t="s">
        <v>25</v>
      </c>
      <c r="N317">
        <v>3</v>
      </c>
      <c r="O317">
        <v>13</v>
      </c>
      <c r="P317">
        <v>18</v>
      </c>
      <c r="Q317">
        <v>3</v>
      </c>
      <c r="R317">
        <v>2</v>
      </c>
      <c r="S317" t="s">
        <v>25</v>
      </c>
    </row>
    <row r="318" spans="1:19" x14ac:dyDescent="0.25">
      <c r="A318">
        <v>10317</v>
      </c>
      <c r="B318">
        <v>42</v>
      </c>
      <c r="C318" t="s">
        <v>31</v>
      </c>
      <c r="D318" t="s">
        <v>28</v>
      </c>
      <c r="E318" t="s">
        <v>33</v>
      </c>
      <c r="F318" t="s">
        <v>39</v>
      </c>
      <c r="G318" t="s">
        <v>30</v>
      </c>
      <c r="H318">
        <v>42985</v>
      </c>
      <c r="I318">
        <v>15613</v>
      </c>
      <c r="J318">
        <v>15</v>
      </c>
      <c r="K318">
        <v>11</v>
      </c>
      <c r="L318">
        <v>4</v>
      </c>
      <c r="M318" t="s">
        <v>25</v>
      </c>
      <c r="N318">
        <v>4</v>
      </c>
      <c r="O318">
        <v>12</v>
      </c>
      <c r="P318">
        <v>44</v>
      </c>
      <c r="Q318">
        <v>1</v>
      </c>
      <c r="R318">
        <v>3</v>
      </c>
      <c r="S318" t="s">
        <v>24</v>
      </c>
    </row>
    <row r="319" spans="1:19" x14ac:dyDescent="0.25">
      <c r="A319">
        <v>10318</v>
      </c>
      <c r="B319">
        <v>41</v>
      </c>
      <c r="C319" t="s">
        <v>31</v>
      </c>
      <c r="D319" t="s">
        <v>26</v>
      </c>
      <c r="E319" t="s">
        <v>33</v>
      </c>
      <c r="F319" t="s">
        <v>22</v>
      </c>
      <c r="G319" t="s">
        <v>30</v>
      </c>
      <c r="H319">
        <v>26996</v>
      </c>
      <c r="I319">
        <v>30429</v>
      </c>
      <c r="J319">
        <v>20</v>
      </c>
      <c r="K319">
        <v>2</v>
      </c>
      <c r="L319">
        <v>2</v>
      </c>
      <c r="M319" t="s">
        <v>25</v>
      </c>
      <c r="N319">
        <v>3</v>
      </c>
      <c r="O319">
        <v>20</v>
      </c>
      <c r="P319">
        <v>31</v>
      </c>
      <c r="Q319">
        <v>4</v>
      </c>
      <c r="R319">
        <v>4</v>
      </c>
      <c r="S319" t="s">
        <v>25</v>
      </c>
    </row>
    <row r="320" spans="1:19" x14ac:dyDescent="0.25">
      <c r="A320">
        <v>10319</v>
      </c>
      <c r="B320">
        <v>42</v>
      </c>
      <c r="C320" t="s">
        <v>19</v>
      </c>
      <c r="D320" t="s">
        <v>20</v>
      </c>
      <c r="E320" t="s">
        <v>36</v>
      </c>
      <c r="F320" t="s">
        <v>35</v>
      </c>
      <c r="G320" t="s">
        <v>38</v>
      </c>
      <c r="H320">
        <v>46410</v>
      </c>
      <c r="I320">
        <v>22469</v>
      </c>
      <c r="J320">
        <v>16</v>
      </c>
      <c r="K320">
        <v>9</v>
      </c>
      <c r="L320">
        <v>1</v>
      </c>
      <c r="M320" t="s">
        <v>24</v>
      </c>
      <c r="N320">
        <v>3</v>
      </c>
      <c r="O320">
        <v>8</v>
      </c>
      <c r="P320">
        <v>46</v>
      </c>
      <c r="Q320">
        <v>2</v>
      </c>
      <c r="R320">
        <v>3</v>
      </c>
      <c r="S320" t="s">
        <v>25</v>
      </c>
    </row>
    <row r="321" spans="1:19" x14ac:dyDescent="0.25">
      <c r="A321">
        <v>10320</v>
      </c>
      <c r="B321">
        <v>53</v>
      </c>
      <c r="C321" t="s">
        <v>19</v>
      </c>
      <c r="D321" t="s">
        <v>28</v>
      </c>
      <c r="E321" t="s">
        <v>27</v>
      </c>
      <c r="F321" t="s">
        <v>22</v>
      </c>
      <c r="G321" t="s">
        <v>30</v>
      </c>
      <c r="H321">
        <v>60363</v>
      </c>
      <c r="I321">
        <v>46736</v>
      </c>
      <c r="J321">
        <v>2</v>
      </c>
      <c r="K321">
        <v>13</v>
      </c>
      <c r="L321">
        <v>4</v>
      </c>
      <c r="M321" t="s">
        <v>25</v>
      </c>
      <c r="N321">
        <v>1</v>
      </c>
      <c r="O321">
        <v>13</v>
      </c>
      <c r="P321">
        <v>38</v>
      </c>
      <c r="Q321">
        <v>1</v>
      </c>
      <c r="R321">
        <v>2</v>
      </c>
      <c r="S321" t="s">
        <v>25</v>
      </c>
    </row>
    <row r="322" spans="1:19" x14ac:dyDescent="0.25">
      <c r="A322">
        <v>10321</v>
      </c>
      <c r="B322">
        <v>25</v>
      </c>
      <c r="C322" t="s">
        <v>31</v>
      </c>
      <c r="D322" t="s">
        <v>41</v>
      </c>
      <c r="E322" t="s">
        <v>27</v>
      </c>
      <c r="F322" t="s">
        <v>22</v>
      </c>
      <c r="G322" t="s">
        <v>30</v>
      </c>
      <c r="H322">
        <v>81584</v>
      </c>
      <c r="I322">
        <v>27518</v>
      </c>
      <c r="J322">
        <v>11</v>
      </c>
      <c r="K322">
        <v>8</v>
      </c>
      <c r="L322">
        <v>3</v>
      </c>
      <c r="M322" t="s">
        <v>25</v>
      </c>
      <c r="N322">
        <v>2</v>
      </c>
      <c r="O322">
        <v>36</v>
      </c>
      <c r="P322">
        <v>14</v>
      </c>
      <c r="Q322">
        <v>4</v>
      </c>
      <c r="R322">
        <v>4</v>
      </c>
      <c r="S322" t="s">
        <v>25</v>
      </c>
    </row>
    <row r="323" spans="1:19" x14ac:dyDescent="0.25">
      <c r="A323">
        <v>10322</v>
      </c>
      <c r="B323">
        <v>41</v>
      </c>
      <c r="C323" t="s">
        <v>31</v>
      </c>
      <c r="D323" t="s">
        <v>20</v>
      </c>
      <c r="E323" t="s">
        <v>33</v>
      </c>
      <c r="F323" t="s">
        <v>39</v>
      </c>
      <c r="G323" t="s">
        <v>38</v>
      </c>
      <c r="H323">
        <v>38749</v>
      </c>
      <c r="I323">
        <v>27302</v>
      </c>
      <c r="J323">
        <v>19</v>
      </c>
      <c r="K323">
        <v>7</v>
      </c>
      <c r="L323">
        <v>3</v>
      </c>
      <c r="M323" t="s">
        <v>24</v>
      </c>
      <c r="N323">
        <v>4</v>
      </c>
      <c r="O323">
        <v>38</v>
      </c>
      <c r="P323">
        <v>58</v>
      </c>
      <c r="Q323">
        <v>4</v>
      </c>
      <c r="R323">
        <v>4</v>
      </c>
      <c r="S323" t="s">
        <v>25</v>
      </c>
    </row>
    <row r="324" spans="1:19" x14ac:dyDescent="0.25">
      <c r="A324">
        <v>10323</v>
      </c>
      <c r="B324">
        <v>29</v>
      </c>
      <c r="C324" t="s">
        <v>31</v>
      </c>
      <c r="D324" t="s">
        <v>20</v>
      </c>
      <c r="E324" t="s">
        <v>40</v>
      </c>
      <c r="F324" t="s">
        <v>39</v>
      </c>
      <c r="G324" t="s">
        <v>38</v>
      </c>
      <c r="H324">
        <v>18433</v>
      </c>
      <c r="I324">
        <v>16453</v>
      </c>
      <c r="J324">
        <v>20</v>
      </c>
      <c r="K324">
        <v>8</v>
      </c>
      <c r="L324">
        <v>3</v>
      </c>
      <c r="M324" t="s">
        <v>25</v>
      </c>
      <c r="N324">
        <v>2</v>
      </c>
      <c r="O324">
        <v>28</v>
      </c>
      <c r="P324">
        <v>56</v>
      </c>
      <c r="Q324">
        <v>1</v>
      </c>
      <c r="R324">
        <v>4</v>
      </c>
      <c r="S324" t="s">
        <v>24</v>
      </c>
    </row>
    <row r="325" spans="1:19" x14ac:dyDescent="0.25">
      <c r="A325">
        <v>10324</v>
      </c>
      <c r="B325">
        <v>44</v>
      </c>
      <c r="C325" t="s">
        <v>19</v>
      </c>
      <c r="D325" t="s">
        <v>20</v>
      </c>
      <c r="E325" t="s">
        <v>36</v>
      </c>
      <c r="F325" t="s">
        <v>22</v>
      </c>
      <c r="G325" t="s">
        <v>38</v>
      </c>
      <c r="H325">
        <v>59879</v>
      </c>
      <c r="I325">
        <v>41139</v>
      </c>
      <c r="J325">
        <v>7</v>
      </c>
      <c r="K325">
        <v>13</v>
      </c>
      <c r="L325">
        <v>3</v>
      </c>
      <c r="M325" t="s">
        <v>25</v>
      </c>
      <c r="N325">
        <v>3</v>
      </c>
      <c r="O325">
        <v>33</v>
      </c>
      <c r="P325">
        <v>25</v>
      </c>
      <c r="Q325">
        <v>4</v>
      </c>
      <c r="R325">
        <v>2</v>
      </c>
      <c r="S325" t="s">
        <v>25</v>
      </c>
    </row>
    <row r="326" spans="1:19" x14ac:dyDescent="0.25">
      <c r="A326">
        <v>10325</v>
      </c>
      <c r="B326">
        <v>43</v>
      </c>
      <c r="C326" t="s">
        <v>19</v>
      </c>
      <c r="D326" t="s">
        <v>20</v>
      </c>
      <c r="E326" t="s">
        <v>36</v>
      </c>
      <c r="F326" t="s">
        <v>39</v>
      </c>
      <c r="G326" t="s">
        <v>30</v>
      </c>
      <c r="H326">
        <v>68548</v>
      </c>
      <c r="I326">
        <v>16692</v>
      </c>
      <c r="J326">
        <v>9</v>
      </c>
      <c r="K326">
        <v>6</v>
      </c>
      <c r="L326">
        <v>4</v>
      </c>
      <c r="M326" t="s">
        <v>25</v>
      </c>
      <c r="N326">
        <v>4</v>
      </c>
      <c r="O326">
        <v>36</v>
      </c>
      <c r="P326">
        <v>37</v>
      </c>
      <c r="Q326">
        <v>3</v>
      </c>
      <c r="R326">
        <v>3</v>
      </c>
      <c r="S326" t="s">
        <v>25</v>
      </c>
    </row>
    <row r="327" spans="1:19" x14ac:dyDescent="0.25">
      <c r="A327">
        <v>10326</v>
      </c>
      <c r="B327">
        <v>35</v>
      </c>
      <c r="C327" t="s">
        <v>19</v>
      </c>
      <c r="D327" t="s">
        <v>41</v>
      </c>
      <c r="E327" t="s">
        <v>27</v>
      </c>
      <c r="F327" t="s">
        <v>39</v>
      </c>
      <c r="G327" t="s">
        <v>23</v>
      </c>
      <c r="H327">
        <v>69145</v>
      </c>
      <c r="I327">
        <v>46900</v>
      </c>
      <c r="J327">
        <v>24</v>
      </c>
      <c r="K327">
        <v>7</v>
      </c>
      <c r="L327">
        <v>2</v>
      </c>
      <c r="M327" t="s">
        <v>25</v>
      </c>
      <c r="N327">
        <v>2</v>
      </c>
      <c r="O327">
        <v>13</v>
      </c>
      <c r="P327">
        <v>23</v>
      </c>
      <c r="Q327">
        <v>4</v>
      </c>
      <c r="R327">
        <v>2</v>
      </c>
      <c r="S327" t="s">
        <v>25</v>
      </c>
    </row>
    <row r="328" spans="1:19" x14ac:dyDescent="0.25">
      <c r="A328">
        <v>10327</v>
      </c>
      <c r="B328">
        <v>32</v>
      </c>
      <c r="C328" t="s">
        <v>19</v>
      </c>
      <c r="D328" t="s">
        <v>34</v>
      </c>
      <c r="E328" t="s">
        <v>36</v>
      </c>
      <c r="F328" t="s">
        <v>35</v>
      </c>
      <c r="G328" t="s">
        <v>30</v>
      </c>
      <c r="H328">
        <v>62515</v>
      </c>
      <c r="I328">
        <v>31358</v>
      </c>
      <c r="J328">
        <v>4</v>
      </c>
      <c r="K328">
        <v>6</v>
      </c>
      <c r="L328">
        <v>5</v>
      </c>
      <c r="M328" t="s">
        <v>25</v>
      </c>
      <c r="N328">
        <v>1</v>
      </c>
      <c r="O328">
        <v>9</v>
      </c>
      <c r="P328">
        <v>36</v>
      </c>
      <c r="Q328">
        <v>4</v>
      </c>
      <c r="R328">
        <v>2</v>
      </c>
      <c r="S328" t="s">
        <v>24</v>
      </c>
    </row>
    <row r="329" spans="1:19" x14ac:dyDescent="0.25">
      <c r="A329">
        <v>10328</v>
      </c>
      <c r="B329">
        <v>26</v>
      </c>
      <c r="C329" t="s">
        <v>19</v>
      </c>
      <c r="D329" t="s">
        <v>32</v>
      </c>
      <c r="E329" t="s">
        <v>27</v>
      </c>
      <c r="F329" t="s">
        <v>35</v>
      </c>
      <c r="G329" t="s">
        <v>30</v>
      </c>
      <c r="H329">
        <v>89873</v>
      </c>
      <c r="I329">
        <v>8446</v>
      </c>
      <c r="J329">
        <v>14</v>
      </c>
      <c r="K329">
        <v>3</v>
      </c>
      <c r="L329">
        <v>4</v>
      </c>
      <c r="M329" t="s">
        <v>25</v>
      </c>
      <c r="N329">
        <v>2</v>
      </c>
      <c r="O329">
        <v>26</v>
      </c>
      <c r="P329">
        <v>41</v>
      </c>
      <c r="Q329">
        <v>4</v>
      </c>
      <c r="R329">
        <v>4</v>
      </c>
      <c r="S329" t="s">
        <v>25</v>
      </c>
    </row>
    <row r="330" spans="1:19" x14ac:dyDescent="0.25">
      <c r="A330">
        <v>10329</v>
      </c>
      <c r="B330">
        <v>35</v>
      </c>
      <c r="C330" t="s">
        <v>19</v>
      </c>
      <c r="D330" t="s">
        <v>32</v>
      </c>
      <c r="E330" t="s">
        <v>36</v>
      </c>
      <c r="F330" t="s">
        <v>39</v>
      </c>
      <c r="G330" t="s">
        <v>23</v>
      </c>
      <c r="H330">
        <v>63892</v>
      </c>
      <c r="I330">
        <v>4711</v>
      </c>
      <c r="J330">
        <v>15</v>
      </c>
      <c r="K330">
        <v>14</v>
      </c>
      <c r="L330">
        <v>1</v>
      </c>
      <c r="M330" t="s">
        <v>24</v>
      </c>
      <c r="N330">
        <v>3</v>
      </c>
      <c r="O330">
        <v>37</v>
      </c>
      <c r="P330">
        <v>52</v>
      </c>
      <c r="Q330">
        <v>2</v>
      </c>
      <c r="R330">
        <v>1</v>
      </c>
      <c r="S330" t="s">
        <v>25</v>
      </c>
    </row>
    <row r="331" spans="1:19" x14ac:dyDescent="0.25">
      <c r="A331">
        <v>10330</v>
      </c>
      <c r="B331">
        <v>53</v>
      </c>
      <c r="C331" t="s">
        <v>19</v>
      </c>
      <c r="D331" t="s">
        <v>32</v>
      </c>
      <c r="E331" t="s">
        <v>27</v>
      </c>
      <c r="F331" t="s">
        <v>35</v>
      </c>
      <c r="G331" t="s">
        <v>23</v>
      </c>
      <c r="H331">
        <v>76482</v>
      </c>
      <c r="I331">
        <v>2637</v>
      </c>
      <c r="J331">
        <v>10</v>
      </c>
      <c r="K331">
        <v>9</v>
      </c>
      <c r="L331">
        <v>3</v>
      </c>
      <c r="M331" t="s">
        <v>25</v>
      </c>
      <c r="N331">
        <v>2</v>
      </c>
      <c r="O331">
        <v>8</v>
      </c>
      <c r="P331">
        <v>41</v>
      </c>
      <c r="Q331">
        <v>2</v>
      </c>
      <c r="R331">
        <v>4</v>
      </c>
      <c r="S331" t="s">
        <v>25</v>
      </c>
    </row>
    <row r="332" spans="1:19" x14ac:dyDescent="0.25">
      <c r="A332">
        <v>10331</v>
      </c>
      <c r="B332">
        <v>29</v>
      </c>
      <c r="C332" t="s">
        <v>31</v>
      </c>
      <c r="D332" t="s">
        <v>20</v>
      </c>
      <c r="E332" t="s">
        <v>27</v>
      </c>
      <c r="F332" t="s">
        <v>39</v>
      </c>
      <c r="G332" t="s">
        <v>23</v>
      </c>
      <c r="H332">
        <v>63666</v>
      </c>
      <c r="I332">
        <v>3985</v>
      </c>
      <c r="J332">
        <v>15</v>
      </c>
      <c r="K332">
        <v>7</v>
      </c>
      <c r="L332">
        <v>3</v>
      </c>
      <c r="M332" t="s">
        <v>25</v>
      </c>
      <c r="N332">
        <v>1</v>
      </c>
      <c r="O332">
        <v>37</v>
      </c>
      <c r="P332">
        <v>7</v>
      </c>
      <c r="Q332">
        <v>1</v>
      </c>
      <c r="R332">
        <v>3</v>
      </c>
      <c r="S332" t="s">
        <v>24</v>
      </c>
    </row>
    <row r="333" spans="1:19" x14ac:dyDescent="0.25">
      <c r="A333">
        <v>10332</v>
      </c>
      <c r="B333">
        <v>23</v>
      </c>
      <c r="C333" t="s">
        <v>19</v>
      </c>
      <c r="D333" t="s">
        <v>34</v>
      </c>
      <c r="E333" t="s">
        <v>36</v>
      </c>
      <c r="F333" t="s">
        <v>39</v>
      </c>
      <c r="G333" t="s">
        <v>38</v>
      </c>
      <c r="H333">
        <v>53417</v>
      </c>
      <c r="I333">
        <v>25009</v>
      </c>
      <c r="J333">
        <v>14</v>
      </c>
      <c r="K333">
        <v>11</v>
      </c>
      <c r="L333">
        <v>3</v>
      </c>
      <c r="M333" t="s">
        <v>24</v>
      </c>
      <c r="N333">
        <v>2</v>
      </c>
      <c r="O333">
        <v>1</v>
      </c>
      <c r="P333">
        <v>43</v>
      </c>
      <c r="Q333">
        <v>4</v>
      </c>
      <c r="R333">
        <v>3</v>
      </c>
      <c r="S333" t="s">
        <v>25</v>
      </c>
    </row>
    <row r="334" spans="1:19" x14ac:dyDescent="0.25">
      <c r="A334">
        <v>10333</v>
      </c>
      <c r="B334">
        <v>41</v>
      </c>
      <c r="C334" t="s">
        <v>31</v>
      </c>
      <c r="D334" t="s">
        <v>20</v>
      </c>
      <c r="E334" t="s">
        <v>21</v>
      </c>
      <c r="F334" t="s">
        <v>22</v>
      </c>
      <c r="G334" t="s">
        <v>38</v>
      </c>
      <c r="H334">
        <v>95565</v>
      </c>
      <c r="I334">
        <v>835</v>
      </c>
      <c r="J334">
        <v>6</v>
      </c>
      <c r="K334">
        <v>6</v>
      </c>
      <c r="L334">
        <v>1</v>
      </c>
      <c r="M334" t="s">
        <v>25</v>
      </c>
      <c r="N334">
        <v>3</v>
      </c>
      <c r="O334">
        <v>31</v>
      </c>
      <c r="P334">
        <v>51</v>
      </c>
      <c r="Q334">
        <v>3</v>
      </c>
      <c r="R334">
        <v>2</v>
      </c>
      <c r="S334" t="s">
        <v>25</v>
      </c>
    </row>
    <row r="335" spans="1:19" x14ac:dyDescent="0.25">
      <c r="A335">
        <v>10334</v>
      </c>
      <c r="B335">
        <v>32</v>
      </c>
      <c r="C335" t="s">
        <v>19</v>
      </c>
      <c r="D335" t="s">
        <v>26</v>
      </c>
      <c r="E335" t="s">
        <v>36</v>
      </c>
      <c r="F335" t="s">
        <v>35</v>
      </c>
      <c r="G335" t="s">
        <v>30</v>
      </c>
      <c r="H335">
        <v>51617</v>
      </c>
      <c r="I335">
        <v>46015</v>
      </c>
      <c r="J335">
        <v>11</v>
      </c>
      <c r="K335">
        <v>13</v>
      </c>
      <c r="L335">
        <v>5</v>
      </c>
      <c r="M335" t="s">
        <v>25</v>
      </c>
      <c r="N335">
        <v>1</v>
      </c>
      <c r="O335">
        <v>12</v>
      </c>
      <c r="P335">
        <v>59</v>
      </c>
      <c r="Q335">
        <v>3</v>
      </c>
      <c r="R335">
        <v>1</v>
      </c>
      <c r="S335" t="s">
        <v>25</v>
      </c>
    </row>
    <row r="336" spans="1:19" x14ac:dyDescent="0.25">
      <c r="A336">
        <v>10335</v>
      </c>
      <c r="B336">
        <v>47</v>
      </c>
      <c r="C336" t="s">
        <v>31</v>
      </c>
      <c r="D336" t="s">
        <v>41</v>
      </c>
      <c r="E336" t="s">
        <v>33</v>
      </c>
      <c r="F336" t="s">
        <v>39</v>
      </c>
      <c r="G336" t="s">
        <v>38</v>
      </c>
      <c r="H336">
        <v>36347</v>
      </c>
      <c r="I336">
        <v>15504</v>
      </c>
      <c r="J336">
        <v>17</v>
      </c>
      <c r="K336">
        <v>4</v>
      </c>
      <c r="L336">
        <v>4</v>
      </c>
      <c r="M336" t="s">
        <v>25</v>
      </c>
      <c r="N336">
        <v>1</v>
      </c>
      <c r="O336">
        <v>36</v>
      </c>
      <c r="P336">
        <v>40</v>
      </c>
      <c r="Q336">
        <v>1</v>
      </c>
      <c r="R336">
        <v>3</v>
      </c>
      <c r="S336" t="s">
        <v>24</v>
      </c>
    </row>
    <row r="337" spans="1:19" x14ac:dyDescent="0.25">
      <c r="A337">
        <v>10336</v>
      </c>
      <c r="B337">
        <v>24</v>
      </c>
      <c r="C337" t="s">
        <v>19</v>
      </c>
      <c r="D337" t="s">
        <v>26</v>
      </c>
      <c r="E337" t="s">
        <v>40</v>
      </c>
      <c r="F337" t="s">
        <v>22</v>
      </c>
      <c r="G337" t="s">
        <v>30</v>
      </c>
      <c r="H337">
        <v>17674</v>
      </c>
      <c r="I337">
        <v>29992</v>
      </c>
      <c r="J337">
        <v>12</v>
      </c>
      <c r="K337">
        <v>6</v>
      </c>
      <c r="L337">
        <v>4</v>
      </c>
      <c r="M337" t="s">
        <v>25</v>
      </c>
      <c r="N337">
        <v>3</v>
      </c>
      <c r="O337">
        <v>21</v>
      </c>
      <c r="P337">
        <v>12</v>
      </c>
      <c r="Q337">
        <v>4</v>
      </c>
      <c r="R337">
        <v>1</v>
      </c>
      <c r="S337" t="s">
        <v>24</v>
      </c>
    </row>
    <row r="338" spans="1:19" x14ac:dyDescent="0.25">
      <c r="A338">
        <v>10337</v>
      </c>
      <c r="B338">
        <v>50</v>
      </c>
      <c r="C338" t="s">
        <v>31</v>
      </c>
      <c r="D338" t="s">
        <v>26</v>
      </c>
      <c r="E338" t="s">
        <v>27</v>
      </c>
      <c r="F338" t="s">
        <v>39</v>
      </c>
      <c r="G338" t="s">
        <v>23</v>
      </c>
      <c r="H338">
        <v>61168</v>
      </c>
      <c r="I338">
        <v>30270</v>
      </c>
      <c r="J338">
        <v>18</v>
      </c>
      <c r="K338">
        <v>3</v>
      </c>
      <c r="L338">
        <v>3</v>
      </c>
      <c r="M338" t="s">
        <v>24</v>
      </c>
      <c r="N338">
        <v>2</v>
      </c>
      <c r="O338">
        <v>29</v>
      </c>
      <c r="P338">
        <v>47</v>
      </c>
      <c r="Q338">
        <v>3</v>
      </c>
      <c r="R338">
        <v>3</v>
      </c>
      <c r="S338" t="s">
        <v>24</v>
      </c>
    </row>
    <row r="339" spans="1:19" x14ac:dyDescent="0.25">
      <c r="A339">
        <v>10338</v>
      </c>
      <c r="B339">
        <v>47</v>
      </c>
      <c r="C339" t="s">
        <v>19</v>
      </c>
      <c r="D339" t="s">
        <v>32</v>
      </c>
      <c r="E339" t="s">
        <v>21</v>
      </c>
      <c r="F339" t="s">
        <v>35</v>
      </c>
      <c r="G339" t="s">
        <v>23</v>
      </c>
      <c r="H339">
        <v>94025</v>
      </c>
      <c r="I339">
        <v>9174</v>
      </c>
      <c r="J339">
        <v>19</v>
      </c>
      <c r="K339">
        <v>3</v>
      </c>
      <c r="L339">
        <v>3</v>
      </c>
      <c r="M339" t="s">
        <v>25</v>
      </c>
      <c r="N339">
        <v>2</v>
      </c>
      <c r="O339">
        <v>21</v>
      </c>
      <c r="P339">
        <v>22</v>
      </c>
      <c r="Q339">
        <v>3</v>
      </c>
      <c r="R339">
        <v>2</v>
      </c>
      <c r="S339" t="s">
        <v>25</v>
      </c>
    </row>
    <row r="340" spans="1:19" x14ac:dyDescent="0.25">
      <c r="A340">
        <v>10339</v>
      </c>
      <c r="B340">
        <v>59</v>
      </c>
      <c r="C340" t="s">
        <v>31</v>
      </c>
      <c r="D340" t="s">
        <v>26</v>
      </c>
      <c r="E340" t="s">
        <v>27</v>
      </c>
      <c r="F340" t="s">
        <v>22</v>
      </c>
      <c r="G340" t="s">
        <v>38</v>
      </c>
      <c r="H340">
        <v>79881</v>
      </c>
      <c r="I340">
        <v>33765</v>
      </c>
      <c r="J340">
        <v>12</v>
      </c>
      <c r="K340">
        <v>6</v>
      </c>
      <c r="L340">
        <v>2</v>
      </c>
      <c r="M340" t="s">
        <v>24</v>
      </c>
      <c r="N340">
        <v>4</v>
      </c>
      <c r="O340">
        <v>23</v>
      </c>
      <c r="P340">
        <v>10</v>
      </c>
      <c r="Q340">
        <v>3</v>
      </c>
      <c r="R340">
        <v>2</v>
      </c>
      <c r="S340" t="s">
        <v>25</v>
      </c>
    </row>
    <row r="341" spans="1:19" x14ac:dyDescent="0.25">
      <c r="A341">
        <v>10340</v>
      </c>
      <c r="B341">
        <v>39</v>
      </c>
      <c r="C341" t="s">
        <v>31</v>
      </c>
      <c r="D341" t="s">
        <v>41</v>
      </c>
      <c r="E341" t="s">
        <v>40</v>
      </c>
      <c r="F341" t="s">
        <v>35</v>
      </c>
      <c r="G341" t="s">
        <v>38</v>
      </c>
      <c r="H341">
        <v>16354</v>
      </c>
      <c r="I341">
        <v>24833</v>
      </c>
      <c r="J341">
        <v>3</v>
      </c>
      <c r="K341">
        <v>2</v>
      </c>
      <c r="L341">
        <v>4</v>
      </c>
      <c r="M341" t="s">
        <v>25</v>
      </c>
      <c r="N341">
        <v>2</v>
      </c>
      <c r="O341">
        <v>7</v>
      </c>
      <c r="P341">
        <v>21</v>
      </c>
      <c r="Q341">
        <v>3</v>
      </c>
      <c r="R341">
        <v>4</v>
      </c>
      <c r="S341" t="s">
        <v>25</v>
      </c>
    </row>
    <row r="342" spans="1:19" x14ac:dyDescent="0.25">
      <c r="A342">
        <v>10341</v>
      </c>
      <c r="B342">
        <v>28</v>
      </c>
      <c r="C342" t="s">
        <v>19</v>
      </c>
      <c r="D342" t="s">
        <v>20</v>
      </c>
      <c r="E342" t="s">
        <v>33</v>
      </c>
      <c r="F342" t="s">
        <v>39</v>
      </c>
      <c r="G342" t="s">
        <v>38</v>
      </c>
      <c r="H342">
        <v>39531</v>
      </c>
      <c r="I342">
        <v>21560</v>
      </c>
      <c r="J342">
        <v>18</v>
      </c>
      <c r="K342">
        <v>11</v>
      </c>
      <c r="L342">
        <v>2</v>
      </c>
      <c r="M342" t="s">
        <v>25</v>
      </c>
      <c r="N342">
        <v>3</v>
      </c>
      <c r="O342">
        <v>23</v>
      </c>
      <c r="P342">
        <v>21</v>
      </c>
      <c r="Q342">
        <v>2</v>
      </c>
      <c r="R342">
        <v>4</v>
      </c>
      <c r="S342" t="s">
        <v>24</v>
      </c>
    </row>
    <row r="343" spans="1:19" x14ac:dyDescent="0.25">
      <c r="A343">
        <v>10342</v>
      </c>
      <c r="B343">
        <v>38</v>
      </c>
      <c r="C343" t="s">
        <v>19</v>
      </c>
      <c r="D343" t="s">
        <v>20</v>
      </c>
      <c r="E343" t="s">
        <v>40</v>
      </c>
      <c r="F343" t="s">
        <v>39</v>
      </c>
      <c r="G343" t="s">
        <v>30</v>
      </c>
      <c r="H343">
        <v>10418</v>
      </c>
      <c r="I343">
        <v>19156</v>
      </c>
      <c r="J343">
        <v>16</v>
      </c>
      <c r="K343">
        <v>12</v>
      </c>
      <c r="L343">
        <v>3</v>
      </c>
      <c r="M343" t="s">
        <v>24</v>
      </c>
      <c r="N343">
        <v>1</v>
      </c>
      <c r="O343">
        <v>39</v>
      </c>
      <c r="P343">
        <v>26</v>
      </c>
      <c r="Q343">
        <v>3</v>
      </c>
      <c r="R343">
        <v>3</v>
      </c>
      <c r="S343" t="s">
        <v>25</v>
      </c>
    </row>
    <row r="344" spans="1:19" x14ac:dyDescent="0.25">
      <c r="A344">
        <v>10343</v>
      </c>
      <c r="B344">
        <v>27</v>
      </c>
      <c r="C344" t="s">
        <v>31</v>
      </c>
      <c r="D344" t="s">
        <v>26</v>
      </c>
      <c r="E344" t="s">
        <v>21</v>
      </c>
      <c r="F344" t="s">
        <v>39</v>
      </c>
      <c r="G344" t="s">
        <v>30</v>
      </c>
      <c r="H344">
        <v>123756</v>
      </c>
      <c r="I344">
        <v>16198</v>
      </c>
      <c r="J344">
        <v>3</v>
      </c>
      <c r="K344">
        <v>1</v>
      </c>
      <c r="L344">
        <v>2</v>
      </c>
      <c r="M344" t="s">
        <v>25</v>
      </c>
      <c r="N344">
        <v>2</v>
      </c>
      <c r="O344">
        <v>9</v>
      </c>
      <c r="P344">
        <v>50</v>
      </c>
      <c r="Q344">
        <v>1</v>
      </c>
      <c r="R344">
        <v>1</v>
      </c>
      <c r="S344" t="s">
        <v>24</v>
      </c>
    </row>
    <row r="345" spans="1:19" x14ac:dyDescent="0.25">
      <c r="A345">
        <v>10344</v>
      </c>
      <c r="B345">
        <v>44</v>
      </c>
      <c r="C345" t="s">
        <v>19</v>
      </c>
      <c r="D345" t="s">
        <v>41</v>
      </c>
      <c r="E345" t="s">
        <v>27</v>
      </c>
      <c r="F345" t="s">
        <v>35</v>
      </c>
      <c r="G345" t="s">
        <v>38</v>
      </c>
      <c r="H345">
        <v>66310</v>
      </c>
      <c r="I345">
        <v>19149</v>
      </c>
      <c r="J345">
        <v>21</v>
      </c>
      <c r="K345">
        <v>14</v>
      </c>
      <c r="L345">
        <v>3</v>
      </c>
      <c r="M345" t="s">
        <v>25</v>
      </c>
      <c r="N345">
        <v>1</v>
      </c>
      <c r="O345">
        <v>4</v>
      </c>
      <c r="P345">
        <v>19</v>
      </c>
      <c r="Q345">
        <v>4</v>
      </c>
      <c r="R345">
        <v>2</v>
      </c>
      <c r="S345" t="s">
        <v>25</v>
      </c>
    </row>
    <row r="346" spans="1:19" x14ac:dyDescent="0.25">
      <c r="A346">
        <v>10345</v>
      </c>
      <c r="B346">
        <v>31</v>
      </c>
      <c r="C346" t="s">
        <v>31</v>
      </c>
      <c r="D346" t="s">
        <v>28</v>
      </c>
      <c r="E346" t="s">
        <v>36</v>
      </c>
      <c r="F346" t="s">
        <v>39</v>
      </c>
      <c r="G346" t="s">
        <v>30</v>
      </c>
      <c r="H346">
        <v>65657</v>
      </c>
      <c r="I346">
        <v>22990</v>
      </c>
      <c r="J346">
        <v>11</v>
      </c>
      <c r="K346">
        <v>9</v>
      </c>
      <c r="L346">
        <v>4</v>
      </c>
      <c r="M346" t="s">
        <v>25</v>
      </c>
      <c r="N346">
        <v>1</v>
      </c>
      <c r="O346">
        <v>39</v>
      </c>
      <c r="P346">
        <v>59</v>
      </c>
      <c r="Q346">
        <v>1</v>
      </c>
      <c r="R346">
        <v>1</v>
      </c>
      <c r="S346" t="s">
        <v>25</v>
      </c>
    </row>
    <row r="347" spans="1:19" x14ac:dyDescent="0.25">
      <c r="A347">
        <v>10346</v>
      </c>
      <c r="B347">
        <v>56</v>
      </c>
      <c r="C347" t="s">
        <v>31</v>
      </c>
      <c r="D347" t="s">
        <v>32</v>
      </c>
      <c r="E347" t="s">
        <v>33</v>
      </c>
      <c r="F347" t="s">
        <v>39</v>
      </c>
      <c r="G347" t="s">
        <v>38</v>
      </c>
      <c r="H347">
        <v>37046</v>
      </c>
      <c r="I347">
        <v>18645</v>
      </c>
      <c r="J347">
        <v>21</v>
      </c>
      <c r="K347">
        <v>9</v>
      </c>
      <c r="L347">
        <v>2</v>
      </c>
      <c r="M347" t="s">
        <v>24</v>
      </c>
      <c r="N347">
        <v>3</v>
      </c>
      <c r="O347">
        <v>17</v>
      </c>
      <c r="P347">
        <v>11</v>
      </c>
      <c r="Q347">
        <v>1</v>
      </c>
      <c r="R347">
        <v>2</v>
      </c>
      <c r="S347" t="s">
        <v>25</v>
      </c>
    </row>
    <row r="348" spans="1:19" x14ac:dyDescent="0.25">
      <c r="A348">
        <v>10347</v>
      </c>
      <c r="B348">
        <v>29</v>
      </c>
      <c r="C348" t="s">
        <v>31</v>
      </c>
      <c r="D348" t="s">
        <v>34</v>
      </c>
      <c r="E348" t="s">
        <v>27</v>
      </c>
      <c r="F348" t="s">
        <v>22</v>
      </c>
      <c r="G348" t="s">
        <v>30</v>
      </c>
      <c r="H348">
        <v>84274</v>
      </c>
      <c r="I348">
        <v>28948</v>
      </c>
      <c r="J348">
        <v>23</v>
      </c>
      <c r="K348">
        <v>5</v>
      </c>
      <c r="L348">
        <v>5</v>
      </c>
      <c r="M348" t="s">
        <v>25</v>
      </c>
      <c r="N348">
        <v>4</v>
      </c>
      <c r="O348">
        <v>37</v>
      </c>
      <c r="P348">
        <v>44</v>
      </c>
      <c r="Q348">
        <v>3</v>
      </c>
      <c r="R348">
        <v>3</v>
      </c>
      <c r="S348" t="s">
        <v>25</v>
      </c>
    </row>
    <row r="349" spans="1:19" x14ac:dyDescent="0.25">
      <c r="A349">
        <v>10348</v>
      </c>
      <c r="B349">
        <v>25</v>
      </c>
      <c r="C349" t="s">
        <v>31</v>
      </c>
      <c r="D349" t="s">
        <v>28</v>
      </c>
      <c r="E349" t="s">
        <v>36</v>
      </c>
      <c r="F349" t="s">
        <v>39</v>
      </c>
      <c r="G349" t="s">
        <v>38</v>
      </c>
      <c r="H349">
        <v>45845</v>
      </c>
      <c r="I349">
        <v>33122</v>
      </c>
      <c r="J349">
        <v>16</v>
      </c>
      <c r="K349">
        <v>8</v>
      </c>
      <c r="L349">
        <v>5</v>
      </c>
      <c r="M349" t="s">
        <v>25</v>
      </c>
      <c r="N349">
        <v>1</v>
      </c>
      <c r="O349">
        <v>28</v>
      </c>
      <c r="P349">
        <v>47</v>
      </c>
      <c r="Q349">
        <v>1</v>
      </c>
      <c r="R349">
        <v>4</v>
      </c>
      <c r="S349" t="s">
        <v>24</v>
      </c>
    </row>
    <row r="350" spans="1:19" x14ac:dyDescent="0.25">
      <c r="A350">
        <v>10349</v>
      </c>
      <c r="B350">
        <v>39</v>
      </c>
      <c r="C350" t="s">
        <v>31</v>
      </c>
      <c r="D350" t="s">
        <v>28</v>
      </c>
      <c r="E350" t="s">
        <v>21</v>
      </c>
      <c r="F350" t="s">
        <v>35</v>
      </c>
      <c r="G350" t="s">
        <v>38</v>
      </c>
      <c r="H350">
        <v>108827</v>
      </c>
      <c r="I350">
        <v>43700</v>
      </c>
      <c r="J350">
        <v>12</v>
      </c>
      <c r="K350">
        <v>11</v>
      </c>
      <c r="L350">
        <v>3</v>
      </c>
      <c r="M350" t="s">
        <v>25</v>
      </c>
      <c r="N350">
        <v>3</v>
      </c>
      <c r="O350">
        <v>16</v>
      </c>
      <c r="P350">
        <v>49</v>
      </c>
      <c r="Q350">
        <v>4</v>
      </c>
      <c r="R350">
        <v>1</v>
      </c>
      <c r="S350" t="s">
        <v>25</v>
      </c>
    </row>
    <row r="351" spans="1:19" x14ac:dyDescent="0.25">
      <c r="A351">
        <v>10350</v>
      </c>
      <c r="B351">
        <v>53</v>
      </c>
      <c r="C351" t="s">
        <v>19</v>
      </c>
      <c r="D351" t="s">
        <v>20</v>
      </c>
      <c r="E351" t="s">
        <v>27</v>
      </c>
      <c r="F351" t="s">
        <v>39</v>
      </c>
      <c r="G351" t="s">
        <v>38</v>
      </c>
      <c r="H351">
        <v>86505</v>
      </c>
      <c r="I351">
        <v>15596</v>
      </c>
      <c r="J351">
        <v>6</v>
      </c>
      <c r="K351">
        <v>12</v>
      </c>
      <c r="L351">
        <v>3</v>
      </c>
      <c r="M351" t="s">
        <v>24</v>
      </c>
      <c r="N351">
        <v>3</v>
      </c>
      <c r="O351">
        <v>34</v>
      </c>
      <c r="P351">
        <v>54</v>
      </c>
      <c r="Q351">
        <v>3</v>
      </c>
      <c r="R351">
        <v>3</v>
      </c>
      <c r="S351" t="s">
        <v>25</v>
      </c>
    </row>
    <row r="352" spans="1:19" x14ac:dyDescent="0.25">
      <c r="A352">
        <v>10351</v>
      </c>
      <c r="B352">
        <v>25</v>
      </c>
      <c r="C352" t="s">
        <v>19</v>
      </c>
      <c r="D352" t="s">
        <v>41</v>
      </c>
      <c r="E352" t="s">
        <v>27</v>
      </c>
      <c r="F352" t="s">
        <v>39</v>
      </c>
      <c r="G352" t="s">
        <v>30</v>
      </c>
      <c r="H352">
        <v>63990</v>
      </c>
      <c r="I352">
        <v>18259</v>
      </c>
      <c r="J352">
        <v>24</v>
      </c>
      <c r="K352">
        <v>14</v>
      </c>
      <c r="L352">
        <v>3</v>
      </c>
      <c r="M352" t="s">
        <v>25</v>
      </c>
      <c r="N352">
        <v>2</v>
      </c>
      <c r="O352">
        <v>33</v>
      </c>
      <c r="P352">
        <v>26</v>
      </c>
      <c r="Q352">
        <v>1</v>
      </c>
      <c r="R352">
        <v>4</v>
      </c>
      <c r="S352" t="s">
        <v>24</v>
      </c>
    </row>
    <row r="353" spans="1:19" x14ac:dyDescent="0.25">
      <c r="A353">
        <v>10352</v>
      </c>
      <c r="B353">
        <v>29</v>
      </c>
      <c r="C353" t="s">
        <v>31</v>
      </c>
      <c r="D353" t="s">
        <v>20</v>
      </c>
      <c r="E353" t="s">
        <v>33</v>
      </c>
      <c r="F353" t="s">
        <v>39</v>
      </c>
      <c r="G353" t="s">
        <v>38</v>
      </c>
      <c r="H353">
        <v>37018</v>
      </c>
      <c r="I353">
        <v>46379</v>
      </c>
      <c r="J353">
        <v>17</v>
      </c>
      <c r="K353">
        <v>6</v>
      </c>
      <c r="L353">
        <v>2</v>
      </c>
      <c r="M353" t="s">
        <v>24</v>
      </c>
      <c r="N353">
        <v>2</v>
      </c>
      <c r="O353">
        <v>28</v>
      </c>
      <c r="P353">
        <v>6</v>
      </c>
      <c r="Q353">
        <v>2</v>
      </c>
      <c r="R353">
        <v>3</v>
      </c>
      <c r="S353" t="s">
        <v>25</v>
      </c>
    </row>
    <row r="354" spans="1:19" x14ac:dyDescent="0.25">
      <c r="A354">
        <v>10353</v>
      </c>
      <c r="B354">
        <v>46</v>
      </c>
      <c r="C354" t="s">
        <v>19</v>
      </c>
      <c r="D354" t="s">
        <v>32</v>
      </c>
      <c r="E354" t="s">
        <v>27</v>
      </c>
      <c r="F354" t="s">
        <v>39</v>
      </c>
      <c r="G354" t="s">
        <v>30</v>
      </c>
      <c r="H354">
        <v>79091</v>
      </c>
      <c r="I354">
        <v>10367</v>
      </c>
      <c r="J354">
        <v>6</v>
      </c>
      <c r="K354">
        <v>9</v>
      </c>
      <c r="L354">
        <v>4</v>
      </c>
      <c r="M354" t="s">
        <v>24</v>
      </c>
      <c r="N354">
        <v>3</v>
      </c>
      <c r="O354">
        <v>28</v>
      </c>
      <c r="P354">
        <v>38</v>
      </c>
      <c r="Q354">
        <v>3</v>
      </c>
      <c r="R354">
        <v>4</v>
      </c>
      <c r="S354" t="s">
        <v>25</v>
      </c>
    </row>
    <row r="355" spans="1:19" x14ac:dyDescent="0.25">
      <c r="A355">
        <v>10354</v>
      </c>
      <c r="B355">
        <v>58</v>
      </c>
      <c r="C355" t="s">
        <v>19</v>
      </c>
      <c r="D355" t="s">
        <v>32</v>
      </c>
      <c r="E355" t="s">
        <v>36</v>
      </c>
      <c r="F355" t="s">
        <v>37</v>
      </c>
      <c r="G355" t="s">
        <v>38</v>
      </c>
      <c r="H355">
        <v>49732</v>
      </c>
      <c r="I355">
        <v>6207</v>
      </c>
      <c r="J355">
        <v>19</v>
      </c>
      <c r="K355">
        <v>10</v>
      </c>
      <c r="L355">
        <v>1</v>
      </c>
      <c r="M355" t="s">
        <v>25</v>
      </c>
      <c r="N355">
        <v>4</v>
      </c>
      <c r="O355">
        <v>21</v>
      </c>
      <c r="P355">
        <v>43</v>
      </c>
      <c r="Q355">
        <v>2</v>
      </c>
      <c r="R355">
        <v>4</v>
      </c>
      <c r="S355" t="s">
        <v>25</v>
      </c>
    </row>
    <row r="356" spans="1:19" x14ac:dyDescent="0.25">
      <c r="A356">
        <v>10355</v>
      </c>
      <c r="B356">
        <v>54</v>
      </c>
      <c r="C356" t="s">
        <v>19</v>
      </c>
      <c r="D356" t="s">
        <v>26</v>
      </c>
      <c r="E356" t="s">
        <v>27</v>
      </c>
      <c r="F356" t="s">
        <v>39</v>
      </c>
      <c r="G356" t="s">
        <v>23</v>
      </c>
      <c r="H356">
        <v>74016</v>
      </c>
      <c r="I356">
        <v>39978</v>
      </c>
      <c r="J356">
        <v>5</v>
      </c>
      <c r="K356">
        <v>3</v>
      </c>
      <c r="L356">
        <v>1</v>
      </c>
      <c r="M356" t="s">
        <v>25</v>
      </c>
      <c r="N356">
        <v>4</v>
      </c>
      <c r="O356">
        <v>10</v>
      </c>
      <c r="P356">
        <v>9</v>
      </c>
      <c r="Q356">
        <v>3</v>
      </c>
      <c r="R356">
        <v>4</v>
      </c>
      <c r="S356" t="s">
        <v>25</v>
      </c>
    </row>
    <row r="357" spans="1:19" x14ac:dyDescent="0.25">
      <c r="A357">
        <v>10356</v>
      </c>
      <c r="B357">
        <v>25</v>
      </c>
      <c r="C357" t="s">
        <v>31</v>
      </c>
      <c r="D357" t="s">
        <v>32</v>
      </c>
      <c r="E357" t="s">
        <v>29</v>
      </c>
      <c r="F357" t="s">
        <v>35</v>
      </c>
      <c r="G357" t="s">
        <v>23</v>
      </c>
      <c r="H357">
        <v>167779</v>
      </c>
      <c r="I357">
        <v>28036</v>
      </c>
      <c r="J357">
        <v>13</v>
      </c>
      <c r="K357">
        <v>9</v>
      </c>
      <c r="L357">
        <v>3</v>
      </c>
      <c r="M357" t="s">
        <v>25</v>
      </c>
      <c r="N357">
        <v>4</v>
      </c>
      <c r="O357">
        <v>26</v>
      </c>
      <c r="P357">
        <v>12</v>
      </c>
      <c r="Q357">
        <v>3</v>
      </c>
      <c r="R357">
        <v>2</v>
      </c>
      <c r="S357" t="s">
        <v>25</v>
      </c>
    </row>
    <row r="358" spans="1:19" x14ac:dyDescent="0.25">
      <c r="A358">
        <v>10357</v>
      </c>
      <c r="B358">
        <v>35</v>
      </c>
      <c r="C358" t="s">
        <v>19</v>
      </c>
      <c r="D358" t="s">
        <v>41</v>
      </c>
      <c r="E358" t="s">
        <v>40</v>
      </c>
      <c r="F358" t="s">
        <v>39</v>
      </c>
      <c r="G358" t="s">
        <v>38</v>
      </c>
      <c r="H358">
        <v>14958</v>
      </c>
      <c r="I358">
        <v>16821</v>
      </c>
      <c r="J358">
        <v>5</v>
      </c>
      <c r="K358">
        <v>9</v>
      </c>
      <c r="L358">
        <v>3</v>
      </c>
      <c r="M358" t="s">
        <v>25</v>
      </c>
      <c r="N358">
        <v>3</v>
      </c>
      <c r="O358">
        <v>11</v>
      </c>
      <c r="P358">
        <v>12</v>
      </c>
      <c r="Q358">
        <v>4</v>
      </c>
      <c r="R358">
        <v>2</v>
      </c>
      <c r="S358" t="s">
        <v>24</v>
      </c>
    </row>
    <row r="359" spans="1:19" x14ac:dyDescent="0.25">
      <c r="A359">
        <v>10358</v>
      </c>
      <c r="B359">
        <v>39</v>
      </c>
      <c r="C359" t="s">
        <v>19</v>
      </c>
      <c r="D359" t="s">
        <v>41</v>
      </c>
      <c r="E359" t="s">
        <v>33</v>
      </c>
      <c r="F359" t="s">
        <v>39</v>
      </c>
      <c r="G359" t="s">
        <v>30</v>
      </c>
      <c r="H359">
        <v>43366</v>
      </c>
      <c r="I359">
        <v>13560</v>
      </c>
      <c r="J359">
        <v>15</v>
      </c>
      <c r="K359">
        <v>8</v>
      </c>
      <c r="L359">
        <v>2</v>
      </c>
      <c r="M359" t="s">
        <v>25</v>
      </c>
      <c r="N359">
        <v>3</v>
      </c>
      <c r="O359">
        <v>16</v>
      </c>
      <c r="P359">
        <v>40</v>
      </c>
      <c r="Q359">
        <v>1</v>
      </c>
      <c r="R359">
        <v>2</v>
      </c>
      <c r="S359" t="s">
        <v>25</v>
      </c>
    </row>
    <row r="360" spans="1:19" x14ac:dyDescent="0.25">
      <c r="A360">
        <v>10359</v>
      </c>
      <c r="B360">
        <v>57</v>
      </c>
      <c r="C360" t="s">
        <v>19</v>
      </c>
      <c r="D360" t="s">
        <v>20</v>
      </c>
      <c r="E360" t="s">
        <v>36</v>
      </c>
      <c r="F360" t="s">
        <v>39</v>
      </c>
      <c r="G360" t="s">
        <v>23</v>
      </c>
      <c r="H360">
        <v>62231</v>
      </c>
      <c r="I360">
        <v>48632</v>
      </c>
      <c r="J360">
        <v>8</v>
      </c>
      <c r="K360">
        <v>8</v>
      </c>
      <c r="L360">
        <v>3</v>
      </c>
      <c r="M360" t="s">
        <v>24</v>
      </c>
      <c r="N360">
        <v>1</v>
      </c>
      <c r="O360">
        <v>28</v>
      </c>
      <c r="P360">
        <v>32</v>
      </c>
      <c r="Q360">
        <v>3</v>
      </c>
      <c r="R360">
        <v>3</v>
      </c>
      <c r="S360" t="s">
        <v>25</v>
      </c>
    </row>
    <row r="361" spans="1:19" x14ac:dyDescent="0.25">
      <c r="A361">
        <v>10360</v>
      </c>
      <c r="B361">
        <v>44</v>
      </c>
      <c r="C361" t="s">
        <v>31</v>
      </c>
      <c r="D361" t="s">
        <v>41</v>
      </c>
      <c r="E361" t="s">
        <v>27</v>
      </c>
      <c r="F361" t="s">
        <v>35</v>
      </c>
      <c r="G361" t="s">
        <v>30</v>
      </c>
      <c r="H361">
        <v>61081</v>
      </c>
      <c r="I361">
        <v>15958</v>
      </c>
      <c r="J361">
        <v>9</v>
      </c>
      <c r="K361">
        <v>9</v>
      </c>
      <c r="L361">
        <v>2</v>
      </c>
      <c r="M361" t="s">
        <v>24</v>
      </c>
      <c r="N361">
        <v>4</v>
      </c>
      <c r="O361">
        <v>6</v>
      </c>
      <c r="P361">
        <v>57</v>
      </c>
      <c r="Q361">
        <v>2</v>
      </c>
      <c r="R361">
        <v>3</v>
      </c>
      <c r="S361" t="s">
        <v>25</v>
      </c>
    </row>
    <row r="362" spans="1:19" x14ac:dyDescent="0.25">
      <c r="A362">
        <v>10361</v>
      </c>
      <c r="B362">
        <v>20</v>
      </c>
      <c r="C362" t="s">
        <v>31</v>
      </c>
      <c r="D362" t="s">
        <v>41</v>
      </c>
      <c r="E362" t="s">
        <v>40</v>
      </c>
      <c r="F362" t="s">
        <v>22</v>
      </c>
      <c r="G362" t="s">
        <v>38</v>
      </c>
      <c r="H362">
        <v>14631</v>
      </c>
      <c r="I362">
        <v>30836</v>
      </c>
      <c r="J362">
        <v>19</v>
      </c>
      <c r="K362">
        <v>12</v>
      </c>
      <c r="L362">
        <v>3</v>
      </c>
      <c r="M362" t="s">
        <v>24</v>
      </c>
      <c r="N362">
        <v>4</v>
      </c>
      <c r="O362">
        <v>11</v>
      </c>
      <c r="P362">
        <v>28</v>
      </c>
      <c r="Q362">
        <v>2</v>
      </c>
      <c r="R362">
        <v>2</v>
      </c>
      <c r="S362" t="s">
        <v>25</v>
      </c>
    </row>
    <row r="363" spans="1:19" x14ac:dyDescent="0.25">
      <c r="A363">
        <v>10362</v>
      </c>
      <c r="B363">
        <v>35</v>
      </c>
      <c r="C363" t="s">
        <v>31</v>
      </c>
      <c r="D363" t="s">
        <v>32</v>
      </c>
      <c r="E363" t="s">
        <v>33</v>
      </c>
      <c r="F363" t="s">
        <v>39</v>
      </c>
      <c r="G363" t="s">
        <v>30</v>
      </c>
      <c r="H363">
        <v>42943</v>
      </c>
      <c r="I363">
        <v>30962</v>
      </c>
      <c r="J363">
        <v>21</v>
      </c>
      <c r="K363">
        <v>14</v>
      </c>
      <c r="L363">
        <v>2</v>
      </c>
      <c r="M363" t="s">
        <v>25</v>
      </c>
      <c r="N363">
        <v>3</v>
      </c>
      <c r="O363">
        <v>15</v>
      </c>
      <c r="P363">
        <v>30</v>
      </c>
      <c r="Q363">
        <v>3</v>
      </c>
      <c r="R363">
        <v>2</v>
      </c>
      <c r="S363" t="s">
        <v>25</v>
      </c>
    </row>
    <row r="364" spans="1:19" x14ac:dyDescent="0.25">
      <c r="A364">
        <v>10363</v>
      </c>
      <c r="B364">
        <v>42</v>
      </c>
      <c r="C364" t="s">
        <v>19</v>
      </c>
      <c r="D364" t="s">
        <v>28</v>
      </c>
      <c r="E364" t="s">
        <v>29</v>
      </c>
      <c r="F364" t="s">
        <v>35</v>
      </c>
      <c r="G364" t="s">
        <v>30</v>
      </c>
      <c r="H364">
        <v>129318</v>
      </c>
      <c r="I364">
        <v>20171</v>
      </c>
      <c r="J364">
        <v>6</v>
      </c>
      <c r="K364">
        <v>0</v>
      </c>
      <c r="L364">
        <v>4</v>
      </c>
      <c r="M364" t="s">
        <v>24</v>
      </c>
      <c r="N364">
        <v>3</v>
      </c>
      <c r="O364">
        <v>7</v>
      </c>
      <c r="P364">
        <v>36</v>
      </c>
      <c r="Q364">
        <v>4</v>
      </c>
      <c r="R364">
        <v>4</v>
      </c>
      <c r="S364" t="s">
        <v>25</v>
      </c>
    </row>
    <row r="365" spans="1:19" x14ac:dyDescent="0.25">
      <c r="A365">
        <v>10364</v>
      </c>
      <c r="B365">
        <v>49</v>
      </c>
      <c r="C365" t="s">
        <v>31</v>
      </c>
      <c r="D365" t="s">
        <v>32</v>
      </c>
      <c r="E365" t="s">
        <v>27</v>
      </c>
      <c r="F365" t="s">
        <v>22</v>
      </c>
      <c r="G365" t="s">
        <v>38</v>
      </c>
      <c r="H365">
        <v>66199</v>
      </c>
      <c r="I365">
        <v>1752</v>
      </c>
      <c r="J365">
        <v>15</v>
      </c>
      <c r="K365">
        <v>9</v>
      </c>
      <c r="L365">
        <v>3</v>
      </c>
      <c r="M365" t="s">
        <v>24</v>
      </c>
      <c r="N365">
        <v>3</v>
      </c>
      <c r="O365">
        <v>24</v>
      </c>
      <c r="P365">
        <v>47</v>
      </c>
      <c r="Q365">
        <v>1</v>
      </c>
      <c r="R365">
        <v>3</v>
      </c>
      <c r="S365" t="s">
        <v>25</v>
      </c>
    </row>
    <row r="366" spans="1:19" x14ac:dyDescent="0.25">
      <c r="A366">
        <v>10365</v>
      </c>
      <c r="B366">
        <v>37</v>
      </c>
      <c r="C366" t="s">
        <v>19</v>
      </c>
      <c r="D366" t="s">
        <v>34</v>
      </c>
      <c r="E366" t="s">
        <v>40</v>
      </c>
      <c r="F366" t="s">
        <v>39</v>
      </c>
      <c r="G366" t="s">
        <v>30</v>
      </c>
      <c r="H366">
        <v>17633</v>
      </c>
      <c r="I366">
        <v>35199</v>
      </c>
      <c r="J366">
        <v>11</v>
      </c>
      <c r="K366">
        <v>6</v>
      </c>
      <c r="L366">
        <v>1</v>
      </c>
      <c r="M366" t="s">
        <v>24</v>
      </c>
      <c r="N366">
        <v>2</v>
      </c>
      <c r="O366">
        <v>17</v>
      </c>
      <c r="P366">
        <v>20</v>
      </c>
      <c r="Q366">
        <v>3</v>
      </c>
      <c r="R366">
        <v>3</v>
      </c>
      <c r="S366" t="s">
        <v>25</v>
      </c>
    </row>
    <row r="367" spans="1:19" x14ac:dyDescent="0.25">
      <c r="A367">
        <v>10366</v>
      </c>
      <c r="B367">
        <v>52</v>
      </c>
      <c r="C367" t="s">
        <v>19</v>
      </c>
      <c r="D367" t="s">
        <v>20</v>
      </c>
      <c r="E367" t="s">
        <v>33</v>
      </c>
      <c r="F367" t="s">
        <v>37</v>
      </c>
      <c r="G367" t="s">
        <v>30</v>
      </c>
      <c r="H367">
        <v>25237</v>
      </c>
      <c r="I367">
        <v>35310</v>
      </c>
      <c r="J367">
        <v>18</v>
      </c>
      <c r="K367">
        <v>3</v>
      </c>
      <c r="L367">
        <v>3</v>
      </c>
      <c r="M367" t="s">
        <v>24</v>
      </c>
      <c r="N367">
        <v>4</v>
      </c>
      <c r="O367">
        <v>18</v>
      </c>
      <c r="P367">
        <v>20</v>
      </c>
      <c r="Q367">
        <v>3</v>
      </c>
      <c r="R367">
        <v>3</v>
      </c>
      <c r="S367" t="s">
        <v>25</v>
      </c>
    </row>
    <row r="368" spans="1:19" x14ac:dyDescent="0.25">
      <c r="A368">
        <v>10367</v>
      </c>
      <c r="B368">
        <v>29</v>
      </c>
      <c r="C368" t="s">
        <v>19</v>
      </c>
      <c r="D368" t="s">
        <v>32</v>
      </c>
      <c r="E368" t="s">
        <v>33</v>
      </c>
      <c r="F368" t="s">
        <v>35</v>
      </c>
      <c r="G368" t="s">
        <v>23</v>
      </c>
      <c r="H368">
        <v>33697</v>
      </c>
      <c r="I368">
        <v>20104</v>
      </c>
      <c r="J368">
        <v>16</v>
      </c>
      <c r="K368">
        <v>0</v>
      </c>
      <c r="L368">
        <v>3</v>
      </c>
      <c r="M368" t="s">
        <v>25</v>
      </c>
      <c r="N368">
        <v>2</v>
      </c>
      <c r="O368">
        <v>29</v>
      </c>
      <c r="P368">
        <v>54</v>
      </c>
      <c r="Q368">
        <v>4</v>
      </c>
      <c r="R368">
        <v>3</v>
      </c>
      <c r="S368" t="s">
        <v>25</v>
      </c>
    </row>
    <row r="369" spans="1:19" x14ac:dyDescent="0.25">
      <c r="A369">
        <v>10368</v>
      </c>
      <c r="B369">
        <v>58</v>
      </c>
      <c r="C369" t="s">
        <v>31</v>
      </c>
      <c r="D369" t="s">
        <v>20</v>
      </c>
      <c r="E369" t="s">
        <v>40</v>
      </c>
      <c r="F369" t="s">
        <v>39</v>
      </c>
      <c r="G369" t="s">
        <v>30</v>
      </c>
      <c r="H369">
        <v>15560</v>
      </c>
      <c r="I369">
        <v>31345</v>
      </c>
      <c r="J369">
        <v>9</v>
      </c>
      <c r="K369">
        <v>5</v>
      </c>
      <c r="L369">
        <v>1</v>
      </c>
      <c r="M369" t="s">
        <v>25</v>
      </c>
      <c r="N369">
        <v>2</v>
      </c>
      <c r="O369">
        <v>25</v>
      </c>
      <c r="P369">
        <v>42</v>
      </c>
      <c r="Q369">
        <v>1</v>
      </c>
      <c r="R369">
        <v>1</v>
      </c>
      <c r="S369" t="s">
        <v>25</v>
      </c>
    </row>
    <row r="370" spans="1:19" x14ac:dyDescent="0.25">
      <c r="A370">
        <v>10369</v>
      </c>
      <c r="B370">
        <v>24</v>
      </c>
      <c r="C370" t="s">
        <v>19</v>
      </c>
      <c r="D370" t="s">
        <v>28</v>
      </c>
      <c r="E370" t="s">
        <v>33</v>
      </c>
      <c r="F370" t="s">
        <v>37</v>
      </c>
      <c r="G370" t="s">
        <v>23</v>
      </c>
      <c r="H370">
        <v>32265</v>
      </c>
      <c r="I370">
        <v>9247</v>
      </c>
      <c r="J370">
        <v>0</v>
      </c>
      <c r="K370">
        <v>13</v>
      </c>
      <c r="L370">
        <v>3</v>
      </c>
      <c r="M370" t="s">
        <v>25</v>
      </c>
      <c r="N370">
        <v>3</v>
      </c>
      <c r="O370">
        <v>26</v>
      </c>
      <c r="P370">
        <v>34</v>
      </c>
      <c r="Q370">
        <v>3</v>
      </c>
      <c r="R370">
        <v>1</v>
      </c>
      <c r="S370" t="s">
        <v>24</v>
      </c>
    </row>
    <row r="371" spans="1:19" x14ac:dyDescent="0.25">
      <c r="A371">
        <v>10370</v>
      </c>
      <c r="B371">
        <v>42</v>
      </c>
      <c r="C371" t="s">
        <v>19</v>
      </c>
      <c r="D371" t="s">
        <v>28</v>
      </c>
      <c r="E371" t="s">
        <v>36</v>
      </c>
      <c r="F371" t="s">
        <v>39</v>
      </c>
      <c r="G371" t="s">
        <v>38</v>
      </c>
      <c r="H371">
        <v>60078</v>
      </c>
      <c r="I371">
        <v>808</v>
      </c>
      <c r="J371">
        <v>11</v>
      </c>
      <c r="K371">
        <v>14</v>
      </c>
      <c r="L371">
        <v>3</v>
      </c>
      <c r="M371" t="s">
        <v>25</v>
      </c>
      <c r="N371">
        <v>3</v>
      </c>
      <c r="O371">
        <v>5</v>
      </c>
      <c r="P371">
        <v>46</v>
      </c>
      <c r="Q371">
        <v>4</v>
      </c>
      <c r="R371">
        <v>3</v>
      </c>
      <c r="S371" t="s">
        <v>25</v>
      </c>
    </row>
    <row r="372" spans="1:19" x14ac:dyDescent="0.25">
      <c r="A372">
        <v>10371</v>
      </c>
      <c r="B372">
        <v>22</v>
      </c>
      <c r="C372" t="s">
        <v>19</v>
      </c>
      <c r="D372" t="s">
        <v>41</v>
      </c>
      <c r="E372" t="s">
        <v>36</v>
      </c>
      <c r="F372" t="s">
        <v>37</v>
      </c>
      <c r="G372" t="s">
        <v>30</v>
      </c>
      <c r="H372">
        <v>56334</v>
      </c>
      <c r="I372">
        <v>6269</v>
      </c>
      <c r="J372">
        <v>23</v>
      </c>
      <c r="K372">
        <v>4</v>
      </c>
      <c r="L372">
        <v>3</v>
      </c>
      <c r="M372" t="s">
        <v>25</v>
      </c>
      <c r="N372">
        <v>4</v>
      </c>
      <c r="O372">
        <v>12</v>
      </c>
      <c r="P372">
        <v>53</v>
      </c>
      <c r="Q372">
        <v>2</v>
      </c>
      <c r="R372">
        <v>3</v>
      </c>
      <c r="S372" t="s">
        <v>25</v>
      </c>
    </row>
    <row r="373" spans="1:19" x14ac:dyDescent="0.25">
      <c r="A373">
        <v>10372</v>
      </c>
      <c r="B373">
        <v>41</v>
      </c>
      <c r="C373" t="s">
        <v>31</v>
      </c>
      <c r="D373" t="s">
        <v>20</v>
      </c>
      <c r="E373" t="s">
        <v>33</v>
      </c>
      <c r="F373" t="s">
        <v>39</v>
      </c>
      <c r="G373" t="s">
        <v>38</v>
      </c>
      <c r="H373">
        <v>25947</v>
      </c>
      <c r="I373">
        <v>16874</v>
      </c>
      <c r="J373">
        <v>7</v>
      </c>
      <c r="K373">
        <v>1</v>
      </c>
      <c r="L373">
        <v>2</v>
      </c>
      <c r="M373" t="s">
        <v>25</v>
      </c>
      <c r="N373">
        <v>4</v>
      </c>
      <c r="O373">
        <v>25</v>
      </c>
      <c r="P373">
        <v>23</v>
      </c>
      <c r="Q373">
        <v>1</v>
      </c>
      <c r="R373">
        <v>3</v>
      </c>
      <c r="S373" t="s">
        <v>25</v>
      </c>
    </row>
    <row r="374" spans="1:19" x14ac:dyDescent="0.25">
      <c r="A374">
        <v>10373</v>
      </c>
      <c r="B374">
        <v>38</v>
      </c>
      <c r="C374" t="s">
        <v>31</v>
      </c>
      <c r="D374" t="s">
        <v>34</v>
      </c>
      <c r="E374" t="s">
        <v>40</v>
      </c>
      <c r="F374" t="s">
        <v>39</v>
      </c>
      <c r="G374" t="s">
        <v>38</v>
      </c>
      <c r="H374">
        <v>12073</v>
      </c>
      <c r="I374">
        <v>12454</v>
      </c>
      <c r="J374">
        <v>8</v>
      </c>
      <c r="K374">
        <v>0</v>
      </c>
      <c r="L374">
        <v>3</v>
      </c>
      <c r="M374" t="s">
        <v>25</v>
      </c>
      <c r="N374">
        <v>1</v>
      </c>
      <c r="O374">
        <v>23</v>
      </c>
      <c r="P374">
        <v>11</v>
      </c>
      <c r="Q374">
        <v>2</v>
      </c>
      <c r="R374">
        <v>3</v>
      </c>
      <c r="S374" t="s">
        <v>24</v>
      </c>
    </row>
    <row r="375" spans="1:19" x14ac:dyDescent="0.25">
      <c r="A375">
        <v>10374</v>
      </c>
      <c r="B375">
        <v>34</v>
      </c>
      <c r="C375" t="s">
        <v>19</v>
      </c>
      <c r="D375" t="s">
        <v>20</v>
      </c>
      <c r="E375" t="s">
        <v>36</v>
      </c>
      <c r="F375" t="s">
        <v>35</v>
      </c>
      <c r="G375" t="s">
        <v>30</v>
      </c>
      <c r="H375">
        <v>50401</v>
      </c>
      <c r="I375">
        <v>47894</v>
      </c>
      <c r="J375">
        <v>0</v>
      </c>
      <c r="K375">
        <v>10</v>
      </c>
      <c r="L375">
        <v>4</v>
      </c>
      <c r="M375" t="s">
        <v>24</v>
      </c>
      <c r="N375">
        <v>4</v>
      </c>
      <c r="O375">
        <v>13</v>
      </c>
      <c r="P375">
        <v>43</v>
      </c>
      <c r="Q375">
        <v>3</v>
      </c>
      <c r="R375">
        <v>3</v>
      </c>
      <c r="S375" t="s">
        <v>25</v>
      </c>
    </row>
    <row r="376" spans="1:19" x14ac:dyDescent="0.25">
      <c r="A376">
        <v>10375</v>
      </c>
      <c r="B376">
        <v>43</v>
      </c>
      <c r="C376" t="s">
        <v>31</v>
      </c>
      <c r="D376" t="s">
        <v>28</v>
      </c>
      <c r="E376" t="s">
        <v>33</v>
      </c>
      <c r="F376" t="s">
        <v>39</v>
      </c>
      <c r="G376" t="s">
        <v>30</v>
      </c>
      <c r="H376">
        <v>39385</v>
      </c>
      <c r="I376">
        <v>13275</v>
      </c>
      <c r="J376">
        <v>9</v>
      </c>
      <c r="K376">
        <v>0</v>
      </c>
      <c r="L376">
        <v>3</v>
      </c>
      <c r="M376" t="s">
        <v>25</v>
      </c>
      <c r="N376">
        <v>4</v>
      </c>
      <c r="O376">
        <v>22</v>
      </c>
      <c r="P376">
        <v>58</v>
      </c>
      <c r="Q376">
        <v>3</v>
      </c>
      <c r="R376">
        <v>4</v>
      </c>
      <c r="S376" t="s">
        <v>25</v>
      </c>
    </row>
    <row r="377" spans="1:19" x14ac:dyDescent="0.25">
      <c r="A377">
        <v>10376</v>
      </c>
      <c r="B377">
        <v>44</v>
      </c>
      <c r="C377" t="s">
        <v>31</v>
      </c>
      <c r="D377" t="s">
        <v>32</v>
      </c>
      <c r="E377" t="s">
        <v>36</v>
      </c>
      <c r="F377" t="s">
        <v>39</v>
      </c>
      <c r="G377" t="s">
        <v>38</v>
      </c>
      <c r="H377">
        <v>65934</v>
      </c>
      <c r="I377">
        <v>1524</v>
      </c>
      <c r="J377">
        <v>22</v>
      </c>
      <c r="K377">
        <v>10</v>
      </c>
      <c r="L377">
        <v>2</v>
      </c>
      <c r="M377" t="s">
        <v>25</v>
      </c>
      <c r="N377">
        <v>4</v>
      </c>
      <c r="O377">
        <v>34</v>
      </c>
      <c r="P377">
        <v>55</v>
      </c>
      <c r="Q377">
        <v>2</v>
      </c>
      <c r="R377">
        <v>4</v>
      </c>
      <c r="S377" t="s">
        <v>25</v>
      </c>
    </row>
    <row r="378" spans="1:19" x14ac:dyDescent="0.25">
      <c r="A378">
        <v>10377</v>
      </c>
      <c r="B378">
        <v>22</v>
      </c>
      <c r="C378" t="s">
        <v>19</v>
      </c>
      <c r="D378" t="s">
        <v>20</v>
      </c>
      <c r="E378" t="s">
        <v>40</v>
      </c>
      <c r="F378" t="s">
        <v>39</v>
      </c>
      <c r="G378" t="s">
        <v>38</v>
      </c>
      <c r="H378">
        <v>18895</v>
      </c>
      <c r="I378">
        <v>38347</v>
      </c>
      <c r="J378">
        <v>4</v>
      </c>
      <c r="K378">
        <v>2</v>
      </c>
      <c r="L378">
        <v>3</v>
      </c>
      <c r="M378" t="s">
        <v>25</v>
      </c>
      <c r="N378">
        <v>4</v>
      </c>
      <c r="O378">
        <v>27</v>
      </c>
      <c r="P378">
        <v>32</v>
      </c>
      <c r="Q378">
        <v>3</v>
      </c>
      <c r="R378">
        <v>3</v>
      </c>
      <c r="S378" t="s">
        <v>25</v>
      </c>
    </row>
    <row r="379" spans="1:19" x14ac:dyDescent="0.25">
      <c r="A379">
        <v>10378</v>
      </c>
      <c r="B379">
        <v>55</v>
      </c>
      <c r="C379" t="s">
        <v>31</v>
      </c>
      <c r="D379" t="s">
        <v>34</v>
      </c>
      <c r="E379" t="s">
        <v>33</v>
      </c>
      <c r="F379" t="s">
        <v>37</v>
      </c>
      <c r="G379" t="s">
        <v>30</v>
      </c>
      <c r="H379">
        <v>40383</v>
      </c>
      <c r="I379">
        <v>28</v>
      </c>
      <c r="J379">
        <v>2</v>
      </c>
      <c r="K379">
        <v>5</v>
      </c>
      <c r="L379">
        <v>1</v>
      </c>
      <c r="M379" t="s">
        <v>25</v>
      </c>
      <c r="N379">
        <v>4</v>
      </c>
      <c r="O379">
        <v>16</v>
      </c>
      <c r="P379">
        <v>14</v>
      </c>
      <c r="Q379">
        <v>3</v>
      </c>
      <c r="R379">
        <v>1</v>
      </c>
      <c r="S379" t="s">
        <v>25</v>
      </c>
    </row>
    <row r="380" spans="1:19" x14ac:dyDescent="0.25">
      <c r="A380">
        <v>10379</v>
      </c>
      <c r="B380">
        <v>48</v>
      </c>
      <c r="C380" t="s">
        <v>19</v>
      </c>
      <c r="D380" t="s">
        <v>41</v>
      </c>
      <c r="E380" t="s">
        <v>33</v>
      </c>
      <c r="F380" t="s">
        <v>22</v>
      </c>
      <c r="G380" t="s">
        <v>30</v>
      </c>
      <c r="H380">
        <v>26906</v>
      </c>
      <c r="I380">
        <v>15128</v>
      </c>
      <c r="J380">
        <v>15</v>
      </c>
      <c r="K380">
        <v>0</v>
      </c>
      <c r="L380">
        <v>2</v>
      </c>
      <c r="M380" t="s">
        <v>25</v>
      </c>
      <c r="N380">
        <v>4</v>
      </c>
      <c r="O380">
        <v>38</v>
      </c>
      <c r="P380">
        <v>27</v>
      </c>
      <c r="Q380">
        <v>3</v>
      </c>
      <c r="R380">
        <v>1</v>
      </c>
      <c r="S380" t="s">
        <v>25</v>
      </c>
    </row>
    <row r="381" spans="1:19" x14ac:dyDescent="0.25">
      <c r="A381">
        <v>10380</v>
      </c>
      <c r="B381">
        <v>36</v>
      </c>
      <c r="C381" t="s">
        <v>31</v>
      </c>
      <c r="D381" t="s">
        <v>20</v>
      </c>
      <c r="E381" t="s">
        <v>33</v>
      </c>
      <c r="F381" t="s">
        <v>35</v>
      </c>
      <c r="G381" t="s">
        <v>38</v>
      </c>
      <c r="H381">
        <v>41939</v>
      </c>
      <c r="I381">
        <v>1779</v>
      </c>
      <c r="J381">
        <v>2</v>
      </c>
      <c r="K381">
        <v>11</v>
      </c>
      <c r="L381">
        <v>4</v>
      </c>
      <c r="M381" t="s">
        <v>24</v>
      </c>
      <c r="N381">
        <v>3</v>
      </c>
      <c r="O381">
        <v>23</v>
      </c>
      <c r="P381">
        <v>34</v>
      </c>
      <c r="Q381">
        <v>3</v>
      </c>
      <c r="R381">
        <v>1</v>
      </c>
      <c r="S381" t="s">
        <v>25</v>
      </c>
    </row>
    <row r="382" spans="1:19" x14ac:dyDescent="0.25">
      <c r="A382">
        <v>10381</v>
      </c>
      <c r="B382">
        <v>49</v>
      </c>
      <c r="C382" t="s">
        <v>19</v>
      </c>
      <c r="D382" t="s">
        <v>26</v>
      </c>
      <c r="E382" t="s">
        <v>36</v>
      </c>
      <c r="F382" t="s">
        <v>39</v>
      </c>
      <c r="G382" t="s">
        <v>23</v>
      </c>
      <c r="H382">
        <v>48998</v>
      </c>
      <c r="I382">
        <v>8123</v>
      </c>
      <c r="J382">
        <v>10</v>
      </c>
      <c r="K382">
        <v>6</v>
      </c>
      <c r="L382">
        <v>3</v>
      </c>
      <c r="M382" t="s">
        <v>25</v>
      </c>
      <c r="N382">
        <v>1</v>
      </c>
      <c r="O382">
        <v>2</v>
      </c>
      <c r="P382">
        <v>43</v>
      </c>
      <c r="Q382">
        <v>3</v>
      </c>
      <c r="R382">
        <v>3</v>
      </c>
      <c r="S382" t="s">
        <v>25</v>
      </c>
    </row>
    <row r="383" spans="1:19" x14ac:dyDescent="0.25">
      <c r="A383">
        <v>10382</v>
      </c>
      <c r="B383">
        <v>44</v>
      </c>
      <c r="C383" t="s">
        <v>31</v>
      </c>
      <c r="D383" t="s">
        <v>20</v>
      </c>
      <c r="E383" t="s">
        <v>21</v>
      </c>
      <c r="F383" t="s">
        <v>39</v>
      </c>
      <c r="G383" t="s">
        <v>30</v>
      </c>
      <c r="H383">
        <v>126901</v>
      </c>
      <c r="I383">
        <v>453</v>
      </c>
      <c r="J383">
        <v>8</v>
      </c>
      <c r="K383">
        <v>8</v>
      </c>
      <c r="L383">
        <v>4</v>
      </c>
      <c r="M383" t="s">
        <v>25</v>
      </c>
      <c r="N383">
        <v>4</v>
      </c>
      <c r="O383">
        <v>19</v>
      </c>
      <c r="P383">
        <v>16</v>
      </c>
      <c r="Q383">
        <v>3</v>
      </c>
      <c r="R383">
        <v>3</v>
      </c>
      <c r="S383" t="s">
        <v>25</v>
      </c>
    </row>
    <row r="384" spans="1:19" x14ac:dyDescent="0.25">
      <c r="A384">
        <v>10383</v>
      </c>
      <c r="B384">
        <v>22</v>
      </c>
      <c r="C384" t="s">
        <v>19</v>
      </c>
      <c r="D384" t="s">
        <v>20</v>
      </c>
      <c r="E384" t="s">
        <v>27</v>
      </c>
      <c r="F384" t="s">
        <v>39</v>
      </c>
      <c r="G384" t="s">
        <v>23</v>
      </c>
      <c r="H384">
        <v>76230</v>
      </c>
      <c r="I384">
        <v>28740</v>
      </c>
      <c r="J384">
        <v>23</v>
      </c>
      <c r="K384">
        <v>7</v>
      </c>
      <c r="L384">
        <v>4</v>
      </c>
      <c r="M384" t="s">
        <v>24</v>
      </c>
      <c r="N384">
        <v>3</v>
      </c>
      <c r="O384">
        <v>16</v>
      </c>
      <c r="P384">
        <v>54</v>
      </c>
      <c r="Q384">
        <v>2</v>
      </c>
      <c r="R384">
        <v>2</v>
      </c>
      <c r="S384" t="s">
        <v>25</v>
      </c>
    </row>
    <row r="385" spans="1:19" x14ac:dyDescent="0.25">
      <c r="A385">
        <v>10384</v>
      </c>
      <c r="B385">
        <v>28</v>
      </c>
      <c r="C385" t="s">
        <v>19</v>
      </c>
      <c r="D385" t="s">
        <v>20</v>
      </c>
      <c r="E385" t="s">
        <v>29</v>
      </c>
      <c r="F385" t="s">
        <v>22</v>
      </c>
      <c r="G385" t="s">
        <v>38</v>
      </c>
      <c r="H385">
        <v>168893</v>
      </c>
      <c r="I385">
        <v>10929</v>
      </c>
      <c r="J385">
        <v>12</v>
      </c>
      <c r="K385">
        <v>11</v>
      </c>
      <c r="L385">
        <v>3</v>
      </c>
      <c r="M385" t="s">
        <v>25</v>
      </c>
      <c r="N385">
        <v>2</v>
      </c>
      <c r="O385">
        <v>5</v>
      </c>
      <c r="P385">
        <v>26</v>
      </c>
      <c r="Q385">
        <v>2</v>
      </c>
      <c r="R385">
        <v>2</v>
      </c>
      <c r="S385" t="s">
        <v>25</v>
      </c>
    </row>
    <row r="386" spans="1:19" x14ac:dyDescent="0.25">
      <c r="A386">
        <v>10385</v>
      </c>
      <c r="B386">
        <v>48</v>
      </c>
      <c r="C386" t="s">
        <v>19</v>
      </c>
      <c r="D386" t="s">
        <v>34</v>
      </c>
      <c r="E386" t="s">
        <v>33</v>
      </c>
      <c r="F386" t="s">
        <v>35</v>
      </c>
      <c r="G386" t="s">
        <v>38</v>
      </c>
      <c r="H386">
        <v>34215</v>
      </c>
      <c r="I386">
        <v>25008</v>
      </c>
      <c r="J386">
        <v>0</v>
      </c>
      <c r="K386">
        <v>8</v>
      </c>
      <c r="L386">
        <v>2</v>
      </c>
      <c r="M386" t="s">
        <v>25</v>
      </c>
      <c r="N386">
        <v>3</v>
      </c>
      <c r="O386">
        <v>14</v>
      </c>
      <c r="P386">
        <v>33</v>
      </c>
      <c r="Q386">
        <v>2</v>
      </c>
      <c r="R386">
        <v>2</v>
      </c>
      <c r="S386" t="s">
        <v>25</v>
      </c>
    </row>
    <row r="387" spans="1:19" x14ac:dyDescent="0.25">
      <c r="A387">
        <v>10386</v>
      </c>
      <c r="B387">
        <v>37</v>
      </c>
      <c r="C387" t="s">
        <v>19</v>
      </c>
      <c r="D387" t="s">
        <v>34</v>
      </c>
      <c r="E387" t="s">
        <v>36</v>
      </c>
      <c r="F387" t="s">
        <v>39</v>
      </c>
      <c r="G387" t="s">
        <v>23</v>
      </c>
      <c r="H387">
        <v>68328</v>
      </c>
      <c r="I387">
        <v>10165</v>
      </c>
      <c r="J387">
        <v>16</v>
      </c>
      <c r="K387">
        <v>2</v>
      </c>
      <c r="L387">
        <v>3</v>
      </c>
      <c r="M387" t="s">
        <v>25</v>
      </c>
      <c r="N387">
        <v>3</v>
      </c>
      <c r="O387">
        <v>20</v>
      </c>
      <c r="P387">
        <v>29</v>
      </c>
      <c r="Q387">
        <v>4</v>
      </c>
      <c r="R387">
        <v>1</v>
      </c>
      <c r="S387" t="s">
        <v>25</v>
      </c>
    </row>
    <row r="388" spans="1:19" x14ac:dyDescent="0.25">
      <c r="A388">
        <v>10387</v>
      </c>
      <c r="B388">
        <v>35</v>
      </c>
      <c r="C388" t="s">
        <v>31</v>
      </c>
      <c r="D388" t="s">
        <v>20</v>
      </c>
      <c r="E388" t="s">
        <v>33</v>
      </c>
      <c r="F388" t="s">
        <v>39</v>
      </c>
      <c r="G388" t="s">
        <v>30</v>
      </c>
      <c r="H388">
        <v>34980</v>
      </c>
      <c r="I388">
        <v>10255</v>
      </c>
      <c r="J388">
        <v>7</v>
      </c>
      <c r="K388">
        <v>13</v>
      </c>
      <c r="L388">
        <v>3</v>
      </c>
      <c r="M388" t="s">
        <v>25</v>
      </c>
      <c r="N388">
        <v>4</v>
      </c>
      <c r="O388">
        <v>36</v>
      </c>
      <c r="P388">
        <v>52</v>
      </c>
      <c r="Q388">
        <v>3</v>
      </c>
      <c r="R388">
        <v>2</v>
      </c>
      <c r="S388" t="s">
        <v>25</v>
      </c>
    </row>
    <row r="389" spans="1:19" x14ac:dyDescent="0.25">
      <c r="A389">
        <v>10388</v>
      </c>
      <c r="B389">
        <v>57</v>
      </c>
      <c r="C389" t="s">
        <v>19</v>
      </c>
      <c r="D389" t="s">
        <v>20</v>
      </c>
      <c r="E389" t="s">
        <v>27</v>
      </c>
      <c r="F389" t="s">
        <v>39</v>
      </c>
      <c r="G389" t="s">
        <v>30</v>
      </c>
      <c r="H389">
        <v>88251</v>
      </c>
      <c r="I389">
        <v>13280</v>
      </c>
      <c r="J389">
        <v>22</v>
      </c>
      <c r="K389">
        <v>0</v>
      </c>
      <c r="L389">
        <v>5</v>
      </c>
      <c r="M389" t="s">
        <v>25</v>
      </c>
      <c r="N389">
        <v>3</v>
      </c>
      <c r="O389">
        <v>26</v>
      </c>
      <c r="P389">
        <v>18</v>
      </c>
      <c r="Q389">
        <v>3</v>
      </c>
      <c r="R389">
        <v>3</v>
      </c>
      <c r="S389" t="s">
        <v>25</v>
      </c>
    </row>
    <row r="390" spans="1:19" x14ac:dyDescent="0.25">
      <c r="A390">
        <v>10389</v>
      </c>
      <c r="B390">
        <v>36</v>
      </c>
      <c r="C390" t="s">
        <v>31</v>
      </c>
      <c r="D390" t="s">
        <v>20</v>
      </c>
      <c r="E390" t="s">
        <v>36</v>
      </c>
      <c r="F390" t="s">
        <v>39</v>
      </c>
      <c r="G390" t="s">
        <v>38</v>
      </c>
      <c r="H390">
        <v>69348</v>
      </c>
      <c r="I390">
        <v>3513</v>
      </c>
      <c r="J390">
        <v>15</v>
      </c>
      <c r="K390">
        <v>7</v>
      </c>
      <c r="L390">
        <v>5</v>
      </c>
      <c r="M390" t="s">
        <v>25</v>
      </c>
      <c r="N390">
        <v>3</v>
      </c>
      <c r="O390">
        <v>32</v>
      </c>
      <c r="P390">
        <v>56</v>
      </c>
      <c r="Q390">
        <v>2</v>
      </c>
      <c r="R390">
        <v>3</v>
      </c>
      <c r="S390" t="s">
        <v>25</v>
      </c>
    </row>
    <row r="391" spans="1:19" x14ac:dyDescent="0.25">
      <c r="A391">
        <v>10390</v>
      </c>
      <c r="B391">
        <v>41</v>
      </c>
      <c r="C391" t="s">
        <v>31</v>
      </c>
      <c r="D391" t="s">
        <v>20</v>
      </c>
      <c r="E391" t="s">
        <v>36</v>
      </c>
      <c r="F391" t="s">
        <v>22</v>
      </c>
      <c r="G391" t="s">
        <v>38</v>
      </c>
      <c r="H391">
        <v>54107</v>
      </c>
      <c r="I391">
        <v>46314</v>
      </c>
      <c r="J391">
        <v>10</v>
      </c>
      <c r="K391">
        <v>14</v>
      </c>
      <c r="L391">
        <v>4</v>
      </c>
      <c r="M391" t="s">
        <v>25</v>
      </c>
      <c r="N391">
        <v>4</v>
      </c>
      <c r="O391">
        <v>19</v>
      </c>
      <c r="P391">
        <v>16</v>
      </c>
      <c r="Q391">
        <v>4</v>
      </c>
      <c r="R391">
        <v>3</v>
      </c>
      <c r="S391" t="s">
        <v>25</v>
      </c>
    </row>
    <row r="392" spans="1:19" x14ac:dyDescent="0.25">
      <c r="A392">
        <v>10391</v>
      </c>
      <c r="B392">
        <v>34</v>
      </c>
      <c r="C392" t="s">
        <v>19</v>
      </c>
      <c r="D392" t="s">
        <v>41</v>
      </c>
      <c r="E392" t="s">
        <v>21</v>
      </c>
      <c r="F392" t="s">
        <v>39</v>
      </c>
      <c r="G392" t="s">
        <v>30</v>
      </c>
      <c r="H392">
        <v>93435</v>
      </c>
      <c r="I392">
        <v>32826</v>
      </c>
      <c r="J392">
        <v>18</v>
      </c>
      <c r="K392">
        <v>10</v>
      </c>
      <c r="L392">
        <v>3</v>
      </c>
      <c r="M392" t="s">
        <v>25</v>
      </c>
      <c r="N392">
        <v>3</v>
      </c>
      <c r="O392">
        <v>11</v>
      </c>
      <c r="P392">
        <v>41</v>
      </c>
      <c r="Q392">
        <v>1</v>
      </c>
      <c r="R392">
        <v>3</v>
      </c>
      <c r="S392" t="s">
        <v>24</v>
      </c>
    </row>
    <row r="393" spans="1:19" x14ac:dyDescent="0.25">
      <c r="A393">
        <v>10392</v>
      </c>
      <c r="B393">
        <v>31</v>
      </c>
      <c r="C393" t="s">
        <v>19</v>
      </c>
      <c r="D393" t="s">
        <v>20</v>
      </c>
      <c r="E393" t="s">
        <v>36</v>
      </c>
      <c r="F393" t="s">
        <v>22</v>
      </c>
      <c r="G393" t="s">
        <v>30</v>
      </c>
      <c r="H393">
        <v>57682</v>
      </c>
      <c r="I393">
        <v>41034</v>
      </c>
      <c r="J393">
        <v>6</v>
      </c>
      <c r="K393">
        <v>8</v>
      </c>
      <c r="L393">
        <v>4</v>
      </c>
      <c r="M393" t="s">
        <v>25</v>
      </c>
      <c r="N393">
        <v>2</v>
      </c>
      <c r="O393">
        <v>22</v>
      </c>
      <c r="P393">
        <v>25</v>
      </c>
      <c r="Q393">
        <v>3</v>
      </c>
      <c r="R393">
        <v>2</v>
      </c>
      <c r="S393" t="s">
        <v>25</v>
      </c>
    </row>
    <row r="394" spans="1:19" x14ac:dyDescent="0.25">
      <c r="A394">
        <v>10393</v>
      </c>
      <c r="B394">
        <v>37</v>
      </c>
      <c r="C394" t="s">
        <v>19</v>
      </c>
      <c r="D394" t="s">
        <v>20</v>
      </c>
      <c r="E394" t="s">
        <v>33</v>
      </c>
      <c r="F394" t="s">
        <v>22</v>
      </c>
      <c r="G394" t="s">
        <v>30</v>
      </c>
      <c r="H394">
        <v>37388</v>
      </c>
      <c r="I394">
        <v>20991</v>
      </c>
      <c r="J394">
        <v>16</v>
      </c>
      <c r="K394">
        <v>10</v>
      </c>
      <c r="L394">
        <v>2</v>
      </c>
      <c r="M394" t="s">
        <v>25</v>
      </c>
      <c r="N394">
        <v>1</v>
      </c>
      <c r="O394">
        <v>12</v>
      </c>
      <c r="P394">
        <v>40</v>
      </c>
      <c r="Q394">
        <v>3</v>
      </c>
      <c r="R394">
        <v>3</v>
      </c>
      <c r="S394" t="s">
        <v>25</v>
      </c>
    </row>
    <row r="395" spans="1:19" x14ac:dyDescent="0.25">
      <c r="A395">
        <v>10394</v>
      </c>
      <c r="B395">
        <v>49</v>
      </c>
      <c r="C395" t="s">
        <v>31</v>
      </c>
      <c r="D395" t="s">
        <v>20</v>
      </c>
      <c r="E395" t="s">
        <v>36</v>
      </c>
      <c r="F395" t="s">
        <v>35</v>
      </c>
      <c r="G395" t="s">
        <v>30</v>
      </c>
      <c r="H395">
        <v>63653</v>
      </c>
      <c r="I395">
        <v>14706</v>
      </c>
      <c r="J395">
        <v>23</v>
      </c>
      <c r="K395">
        <v>5</v>
      </c>
      <c r="L395">
        <v>3</v>
      </c>
      <c r="M395" t="s">
        <v>24</v>
      </c>
      <c r="N395">
        <v>2</v>
      </c>
      <c r="O395">
        <v>38</v>
      </c>
      <c r="P395">
        <v>38</v>
      </c>
      <c r="Q395">
        <v>4</v>
      </c>
      <c r="R395">
        <v>4</v>
      </c>
      <c r="S395" t="s">
        <v>25</v>
      </c>
    </row>
    <row r="396" spans="1:19" x14ac:dyDescent="0.25">
      <c r="A396">
        <v>10395</v>
      </c>
      <c r="B396">
        <v>59</v>
      </c>
      <c r="C396" t="s">
        <v>19</v>
      </c>
      <c r="D396" t="s">
        <v>20</v>
      </c>
      <c r="E396" t="s">
        <v>33</v>
      </c>
      <c r="F396" t="s">
        <v>35</v>
      </c>
      <c r="G396" t="s">
        <v>38</v>
      </c>
      <c r="H396">
        <v>30432</v>
      </c>
      <c r="I396">
        <v>48801</v>
      </c>
      <c r="J396">
        <v>10</v>
      </c>
      <c r="K396">
        <v>5</v>
      </c>
      <c r="L396">
        <v>3</v>
      </c>
      <c r="M396" t="s">
        <v>25</v>
      </c>
      <c r="N396">
        <v>4</v>
      </c>
      <c r="O396">
        <v>18</v>
      </c>
      <c r="P396">
        <v>18</v>
      </c>
      <c r="Q396">
        <v>4</v>
      </c>
      <c r="R396">
        <v>3</v>
      </c>
      <c r="S396" t="s">
        <v>25</v>
      </c>
    </row>
    <row r="397" spans="1:19" x14ac:dyDescent="0.25">
      <c r="A397">
        <v>10396</v>
      </c>
      <c r="B397">
        <v>52</v>
      </c>
      <c r="C397" t="s">
        <v>19</v>
      </c>
      <c r="D397" t="s">
        <v>20</v>
      </c>
      <c r="E397" t="s">
        <v>33</v>
      </c>
      <c r="F397" t="s">
        <v>35</v>
      </c>
      <c r="G397" t="s">
        <v>38</v>
      </c>
      <c r="H397">
        <v>32642</v>
      </c>
      <c r="I397">
        <v>19558</v>
      </c>
      <c r="J397">
        <v>14</v>
      </c>
      <c r="K397">
        <v>9</v>
      </c>
      <c r="L397">
        <v>2</v>
      </c>
      <c r="M397" t="s">
        <v>25</v>
      </c>
      <c r="N397">
        <v>4</v>
      </c>
      <c r="O397">
        <v>28</v>
      </c>
      <c r="P397">
        <v>43</v>
      </c>
      <c r="Q397">
        <v>4</v>
      </c>
      <c r="R397">
        <v>2</v>
      </c>
      <c r="S397" t="s">
        <v>25</v>
      </c>
    </row>
    <row r="398" spans="1:19" x14ac:dyDescent="0.25">
      <c r="A398">
        <v>10397</v>
      </c>
      <c r="B398">
        <v>44</v>
      </c>
      <c r="C398" t="s">
        <v>19</v>
      </c>
      <c r="D398" t="s">
        <v>20</v>
      </c>
      <c r="E398" t="s">
        <v>33</v>
      </c>
      <c r="F398" t="s">
        <v>39</v>
      </c>
      <c r="G398" t="s">
        <v>23</v>
      </c>
      <c r="H398">
        <v>43385</v>
      </c>
      <c r="I398">
        <v>29506</v>
      </c>
      <c r="J398">
        <v>11</v>
      </c>
      <c r="K398">
        <v>14</v>
      </c>
      <c r="L398">
        <v>3</v>
      </c>
      <c r="M398" t="s">
        <v>25</v>
      </c>
      <c r="N398">
        <v>2</v>
      </c>
      <c r="O398">
        <v>11</v>
      </c>
      <c r="P398">
        <v>44</v>
      </c>
      <c r="Q398">
        <v>3</v>
      </c>
      <c r="R398">
        <v>4</v>
      </c>
      <c r="S398" t="s">
        <v>25</v>
      </c>
    </row>
    <row r="399" spans="1:19" x14ac:dyDescent="0.25">
      <c r="A399">
        <v>10398</v>
      </c>
      <c r="B399">
        <v>37</v>
      </c>
      <c r="C399" t="s">
        <v>19</v>
      </c>
      <c r="D399" t="s">
        <v>34</v>
      </c>
      <c r="E399" t="s">
        <v>40</v>
      </c>
      <c r="F399" t="s">
        <v>22</v>
      </c>
      <c r="G399" t="s">
        <v>38</v>
      </c>
      <c r="H399">
        <v>12105</v>
      </c>
      <c r="I399">
        <v>33560</v>
      </c>
      <c r="J399">
        <v>19</v>
      </c>
      <c r="K399">
        <v>13</v>
      </c>
      <c r="L399">
        <v>2</v>
      </c>
      <c r="M399" t="s">
        <v>25</v>
      </c>
      <c r="N399">
        <v>2</v>
      </c>
      <c r="O399">
        <v>16</v>
      </c>
      <c r="P399">
        <v>31</v>
      </c>
      <c r="Q399">
        <v>3</v>
      </c>
      <c r="R399">
        <v>1</v>
      </c>
      <c r="S399" t="s">
        <v>25</v>
      </c>
    </row>
    <row r="400" spans="1:19" x14ac:dyDescent="0.25">
      <c r="A400">
        <v>10399</v>
      </c>
      <c r="B400">
        <v>29</v>
      </c>
      <c r="C400" t="s">
        <v>19</v>
      </c>
      <c r="D400" t="s">
        <v>28</v>
      </c>
      <c r="E400" t="s">
        <v>36</v>
      </c>
      <c r="F400" t="s">
        <v>39</v>
      </c>
      <c r="G400" t="s">
        <v>30</v>
      </c>
      <c r="H400">
        <v>57270</v>
      </c>
      <c r="I400">
        <v>38756</v>
      </c>
      <c r="J400">
        <v>8</v>
      </c>
      <c r="K400">
        <v>1</v>
      </c>
      <c r="L400">
        <v>4</v>
      </c>
      <c r="M400" t="s">
        <v>25</v>
      </c>
      <c r="N400">
        <v>4</v>
      </c>
      <c r="O400">
        <v>29</v>
      </c>
      <c r="P400">
        <v>34</v>
      </c>
      <c r="Q400">
        <v>4</v>
      </c>
      <c r="R400">
        <v>3</v>
      </c>
      <c r="S400" t="s">
        <v>25</v>
      </c>
    </row>
    <row r="401" spans="1:19" x14ac:dyDescent="0.25">
      <c r="A401">
        <v>10400</v>
      </c>
      <c r="B401">
        <v>52</v>
      </c>
      <c r="C401" t="s">
        <v>19</v>
      </c>
      <c r="D401" t="s">
        <v>41</v>
      </c>
      <c r="E401" t="s">
        <v>21</v>
      </c>
      <c r="F401" t="s">
        <v>35</v>
      </c>
      <c r="G401" t="s">
        <v>38</v>
      </c>
      <c r="H401">
        <v>112372</v>
      </c>
      <c r="I401">
        <v>40039</v>
      </c>
      <c r="J401">
        <v>12</v>
      </c>
      <c r="K401">
        <v>2</v>
      </c>
      <c r="L401">
        <v>3</v>
      </c>
      <c r="M401" t="s">
        <v>24</v>
      </c>
      <c r="N401">
        <v>3</v>
      </c>
      <c r="O401">
        <v>32</v>
      </c>
      <c r="P401">
        <v>9</v>
      </c>
      <c r="Q401">
        <v>3</v>
      </c>
      <c r="R401">
        <v>1</v>
      </c>
      <c r="S401" t="s">
        <v>25</v>
      </c>
    </row>
    <row r="402" spans="1:19" x14ac:dyDescent="0.25">
      <c r="A402">
        <v>10401</v>
      </c>
      <c r="B402">
        <v>39</v>
      </c>
      <c r="C402" t="s">
        <v>19</v>
      </c>
      <c r="D402" t="s">
        <v>32</v>
      </c>
      <c r="E402" t="s">
        <v>36</v>
      </c>
      <c r="F402" t="s">
        <v>39</v>
      </c>
      <c r="G402" t="s">
        <v>38</v>
      </c>
      <c r="H402">
        <v>46777</v>
      </c>
      <c r="I402">
        <v>41661</v>
      </c>
      <c r="J402">
        <v>22</v>
      </c>
      <c r="K402">
        <v>13</v>
      </c>
      <c r="L402">
        <v>4</v>
      </c>
      <c r="M402" t="s">
        <v>25</v>
      </c>
      <c r="N402">
        <v>4</v>
      </c>
      <c r="O402">
        <v>8</v>
      </c>
      <c r="P402">
        <v>43</v>
      </c>
      <c r="Q402">
        <v>4</v>
      </c>
      <c r="R402">
        <v>3</v>
      </c>
      <c r="S402" t="s">
        <v>25</v>
      </c>
    </row>
    <row r="403" spans="1:19" x14ac:dyDescent="0.25">
      <c r="A403">
        <v>10402</v>
      </c>
      <c r="B403">
        <v>34</v>
      </c>
      <c r="C403" t="s">
        <v>31</v>
      </c>
      <c r="D403" t="s">
        <v>34</v>
      </c>
      <c r="E403" t="s">
        <v>36</v>
      </c>
      <c r="F403" t="s">
        <v>35</v>
      </c>
      <c r="G403" t="s">
        <v>38</v>
      </c>
      <c r="H403">
        <v>46831</v>
      </c>
      <c r="I403">
        <v>36526</v>
      </c>
      <c r="J403">
        <v>13</v>
      </c>
      <c r="K403">
        <v>3</v>
      </c>
      <c r="L403">
        <v>4</v>
      </c>
      <c r="M403" t="s">
        <v>25</v>
      </c>
      <c r="N403">
        <v>3</v>
      </c>
      <c r="O403">
        <v>29</v>
      </c>
      <c r="P403">
        <v>17</v>
      </c>
      <c r="Q403">
        <v>3</v>
      </c>
      <c r="R403">
        <v>3</v>
      </c>
      <c r="S403" t="s">
        <v>25</v>
      </c>
    </row>
    <row r="404" spans="1:19" x14ac:dyDescent="0.25">
      <c r="A404">
        <v>10403</v>
      </c>
      <c r="B404">
        <v>27</v>
      </c>
      <c r="C404" t="s">
        <v>19</v>
      </c>
      <c r="D404" t="s">
        <v>41</v>
      </c>
      <c r="E404" t="s">
        <v>27</v>
      </c>
      <c r="F404" t="s">
        <v>22</v>
      </c>
      <c r="G404" t="s">
        <v>23</v>
      </c>
      <c r="H404">
        <v>76448</v>
      </c>
      <c r="I404">
        <v>35010</v>
      </c>
      <c r="J404">
        <v>10</v>
      </c>
      <c r="K404">
        <v>11</v>
      </c>
      <c r="L404">
        <v>4</v>
      </c>
      <c r="M404" t="s">
        <v>25</v>
      </c>
      <c r="N404">
        <v>4</v>
      </c>
      <c r="O404">
        <v>36</v>
      </c>
      <c r="P404">
        <v>43</v>
      </c>
      <c r="Q404">
        <v>1</v>
      </c>
      <c r="R404">
        <v>3</v>
      </c>
      <c r="S404" t="s">
        <v>25</v>
      </c>
    </row>
    <row r="405" spans="1:19" x14ac:dyDescent="0.25">
      <c r="A405">
        <v>10404</v>
      </c>
      <c r="B405">
        <v>54</v>
      </c>
      <c r="C405" t="s">
        <v>19</v>
      </c>
      <c r="D405" t="s">
        <v>20</v>
      </c>
      <c r="E405" t="s">
        <v>36</v>
      </c>
      <c r="F405" t="s">
        <v>39</v>
      </c>
      <c r="G405" t="s">
        <v>30</v>
      </c>
      <c r="H405">
        <v>68804</v>
      </c>
      <c r="I405">
        <v>36074</v>
      </c>
      <c r="J405">
        <v>22</v>
      </c>
      <c r="K405">
        <v>3</v>
      </c>
      <c r="L405">
        <v>4</v>
      </c>
      <c r="M405" t="s">
        <v>25</v>
      </c>
      <c r="N405">
        <v>3</v>
      </c>
      <c r="O405">
        <v>33</v>
      </c>
      <c r="P405">
        <v>33</v>
      </c>
      <c r="Q405">
        <v>2</v>
      </c>
      <c r="R405">
        <v>4</v>
      </c>
      <c r="S405" t="s">
        <v>25</v>
      </c>
    </row>
    <row r="406" spans="1:19" x14ac:dyDescent="0.25">
      <c r="A406">
        <v>10405</v>
      </c>
      <c r="B406">
        <v>53</v>
      </c>
      <c r="C406" t="s">
        <v>19</v>
      </c>
      <c r="D406" t="s">
        <v>20</v>
      </c>
      <c r="E406" t="s">
        <v>33</v>
      </c>
      <c r="F406" t="s">
        <v>35</v>
      </c>
      <c r="G406" t="s">
        <v>30</v>
      </c>
      <c r="H406">
        <v>35471</v>
      </c>
      <c r="I406">
        <v>15651</v>
      </c>
      <c r="J406">
        <v>24</v>
      </c>
      <c r="K406">
        <v>7</v>
      </c>
      <c r="L406">
        <v>5</v>
      </c>
      <c r="M406" t="s">
        <v>25</v>
      </c>
      <c r="N406">
        <v>3</v>
      </c>
      <c r="O406">
        <v>28</v>
      </c>
      <c r="P406">
        <v>31</v>
      </c>
      <c r="Q406">
        <v>4</v>
      </c>
      <c r="R406">
        <v>3</v>
      </c>
      <c r="S406" t="s">
        <v>25</v>
      </c>
    </row>
    <row r="407" spans="1:19" x14ac:dyDescent="0.25">
      <c r="A407">
        <v>10406</v>
      </c>
      <c r="B407">
        <v>33</v>
      </c>
      <c r="C407" t="s">
        <v>19</v>
      </c>
      <c r="D407" t="s">
        <v>32</v>
      </c>
      <c r="E407" t="s">
        <v>29</v>
      </c>
      <c r="F407" t="s">
        <v>39</v>
      </c>
      <c r="G407" t="s">
        <v>38</v>
      </c>
      <c r="H407">
        <v>133334</v>
      </c>
      <c r="I407">
        <v>26708</v>
      </c>
      <c r="J407">
        <v>12</v>
      </c>
      <c r="K407">
        <v>14</v>
      </c>
      <c r="L407">
        <v>5</v>
      </c>
      <c r="M407" t="s">
        <v>24</v>
      </c>
      <c r="N407">
        <v>2</v>
      </c>
      <c r="O407">
        <v>13</v>
      </c>
      <c r="P407">
        <v>32</v>
      </c>
      <c r="Q407">
        <v>4</v>
      </c>
      <c r="R407">
        <v>3</v>
      </c>
      <c r="S407" t="s">
        <v>25</v>
      </c>
    </row>
    <row r="408" spans="1:19" x14ac:dyDescent="0.25">
      <c r="A408">
        <v>10407</v>
      </c>
      <c r="B408">
        <v>56</v>
      </c>
      <c r="C408" t="s">
        <v>31</v>
      </c>
      <c r="D408" t="s">
        <v>41</v>
      </c>
      <c r="E408" t="s">
        <v>27</v>
      </c>
      <c r="F408" t="s">
        <v>35</v>
      </c>
      <c r="G408" t="s">
        <v>38</v>
      </c>
      <c r="H408">
        <v>72349</v>
      </c>
      <c r="I408">
        <v>33159</v>
      </c>
      <c r="J408">
        <v>16</v>
      </c>
      <c r="K408">
        <v>3</v>
      </c>
      <c r="L408">
        <v>4</v>
      </c>
      <c r="M408" t="s">
        <v>25</v>
      </c>
      <c r="N408">
        <v>4</v>
      </c>
      <c r="O408">
        <v>27</v>
      </c>
      <c r="P408">
        <v>52</v>
      </c>
      <c r="Q408">
        <v>4</v>
      </c>
      <c r="R408">
        <v>3</v>
      </c>
      <c r="S408" t="s">
        <v>25</v>
      </c>
    </row>
    <row r="409" spans="1:19" x14ac:dyDescent="0.25">
      <c r="A409">
        <v>10408</v>
      </c>
      <c r="B409">
        <v>35</v>
      </c>
      <c r="C409" t="s">
        <v>19</v>
      </c>
      <c r="D409" t="s">
        <v>26</v>
      </c>
      <c r="E409" t="s">
        <v>36</v>
      </c>
      <c r="F409" t="s">
        <v>35</v>
      </c>
      <c r="G409" t="s">
        <v>38</v>
      </c>
      <c r="H409">
        <v>51163</v>
      </c>
      <c r="I409">
        <v>26149</v>
      </c>
      <c r="J409">
        <v>20</v>
      </c>
      <c r="K409">
        <v>12</v>
      </c>
      <c r="L409">
        <v>5</v>
      </c>
      <c r="M409" t="s">
        <v>24</v>
      </c>
      <c r="N409">
        <v>3</v>
      </c>
      <c r="O409">
        <v>12</v>
      </c>
      <c r="P409">
        <v>59</v>
      </c>
      <c r="Q409">
        <v>4</v>
      </c>
      <c r="R409">
        <v>2</v>
      </c>
      <c r="S409" t="s">
        <v>25</v>
      </c>
    </row>
    <row r="410" spans="1:19" x14ac:dyDescent="0.25">
      <c r="A410">
        <v>10409</v>
      </c>
      <c r="B410">
        <v>25</v>
      </c>
      <c r="C410" t="s">
        <v>19</v>
      </c>
      <c r="D410" t="s">
        <v>20</v>
      </c>
      <c r="E410" t="s">
        <v>33</v>
      </c>
      <c r="F410" t="s">
        <v>37</v>
      </c>
      <c r="G410" t="s">
        <v>30</v>
      </c>
      <c r="H410">
        <v>33593</v>
      </c>
      <c r="I410">
        <v>44194</v>
      </c>
      <c r="J410">
        <v>1</v>
      </c>
      <c r="K410">
        <v>5</v>
      </c>
      <c r="L410">
        <v>3</v>
      </c>
      <c r="M410" t="s">
        <v>24</v>
      </c>
      <c r="N410">
        <v>4</v>
      </c>
      <c r="O410">
        <v>16</v>
      </c>
      <c r="P410">
        <v>12</v>
      </c>
      <c r="Q410">
        <v>4</v>
      </c>
      <c r="R410">
        <v>3</v>
      </c>
      <c r="S410" t="s">
        <v>25</v>
      </c>
    </row>
    <row r="411" spans="1:19" x14ac:dyDescent="0.25">
      <c r="A411">
        <v>10410</v>
      </c>
      <c r="B411">
        <v>47</v>
      </c>
      <c r="C411" t="s">
        <v>19</v>
      </c>
      <c r="D411" t="s">
        <v>32</v>
      </c>
      <c r="E411" t="s">
        <v>27</v>
      </c>
      <c r="F411" t="s">
        <v>39</v>
      </c>
      <c r="G411" t="s">
        <v>30</v>
      </c>
      <c r="H411">
        <v>75992</v>
      </c>
      <c r="I411">
        <v>47752</v>
      </c>
      <c r="J411">
        <v>15</v>
      </c>
      <c r="K411">
        <v>5</v>
      </c>
      <c r="L411">
        <v>3</v>
      </c>
      <c r="M411" t="s">
        <v>24</v>
      </c>
      <c r="N411">
        <v>4</v>
      </c>
      <c r="O411">
        <v>14</v>
      </c>
      <c r="P411">
        <v>43</v>
      </c>
      <c r="Q411">
        <v>3</v>
      </c>
      <c r="R411">
        <v>1</v>
      </c>
      <c r="S411" t="s">
        <v>25</v>
      </c>
    </row>
    <row r="412" spans="1:19" x14ac:dyDescent="0.25">
      <c r="A412">
        <v>10411</v>
      </c>
      <c r="B412">
        <v>26</v>
      </c>
      <c r="C412" t="s">
        <v>31</v>
      </c>
      <c r="D412" t="s">
        <v>26</v>
      </c>
      <c r="E412" t="s">
        <v>36</v>
      </c>
      <c r="F412" t="s">
        <v>22</v>
      </c>
      <c r="G412" t="s">
        <v>38</v>
      </c>
      <c r="H412">
        <v>46963</v>
      </c>
      <c r="I412">
        <v>38934</v>
      </c>
      <c r="J412">
        <v>13</v>
      </c>
      <c r="K412">
        <v>7</v>
      </c>
      <c r="L412">
        <v>2</v>
      </c>
      <c r="M412" t="s">
        <v>25</v>
      </c>
      <c r="N412">
        <v>3</v>
      </c>
      <c r="O412">
        <v>38</v>
      </c>
      <c r="P412">
        <v>24</v>
      </c>
      <c r="Q412">
        <v>4</v>
      </c>
      <c r="R412">
        <v>2</v>
      </c>
      <c r="S412" t="s">
        <v>25</v>
      </c>
    </row>
    <row r="413" spans="1:19" x14ac:dyDescent="0.25">
      <c r="A413">
        <v>10412</v>
      </c>
      <c r="B413">
        <v>46</v>
      </c>
      <c r="C413" t="s">
        <v>19</v>
      </c>
      <c r="D413" t="s">
        <v>20</v>
      </c>
      <c r="E413" t="s">
        <v>21</v>
      </c>
      <c r="F413" t="s">
        <v>22</v>
      </c>
      <c r="G413" t="s">
        <v>23</v>
      </c>
      <c r="H413">
        <v>105187</v>
      </c>
      <c r="I413">
        <v>39139</v>
      </c>
      <c r="J413">
        <v>22</v>
      </c>
      <c r="K413">
        <v>9</v>
      </c>
      <c r="L413">
        <v>3</v>
      </c>
      <c r="M413" t="s">
        <v>25</v>
      </c>
      <c r="N413">
        <v>3</v>
      </c>
      <c r="O413">
        <v>34</v>
      </c>
      <c r="P413">
        <v>40</v>
      </c>
      <c r="Q413">
        <v>4</v>
      </c>
      <c r="R413">
        <v>3</v>
      </c>
      <c r="S413" t="s">
        <v>25</v>
      </c>
    </row>
    <row r="414" spans="1:19" x14ac:dyDescent="0.25">
      <c r="A414">
        <v>10413</v>
      </c>
      <c r="B414">
        <v>38</v>
      </c>
      <c r="C414" t="s">
        <v>19</v>
      </c>
      <c r="D414" t="s">
        <v>20</v>
      </c>
      <c r="E414" t="s">
        <v>33</v>
      </c>
      <c r="F414" t="s">
        <v>37</v>
      </c>
      <c r="G414" t="s">
        <v>38</v>
      </c>
      <c r="H414">
        <v>35833</v>
      </c>
      <c r="I414">
        <v>48367</v>
      </c>
      <c r="J414">
        <v>17</v>
      </c>
      <c r="K414">
        <v>3</v>
      </c>
      <c r="L414">
        <v>3</v>
      </c>
      <c r="M414" t="s">
        <v>25</v>
      </c>
      <c r="N414">
        <v>4</v>
      </c>
      <c r="O414">
        <v>12</v>
      </c>
      <c r="P414">
        <v>49</v>
      </c>
      <c r="Q414">
        <v>3</v>
      </c>
      <c r="R414">
        <v>2</v>
      </c>
      <c r="S414" t="s">
        <v>25</v>
      </c>
    </row>
    <row r="415" spans="1:19" x14ac:dyDescent="0.25">
      <c r="A415">
        <v>10414</v>
      </c>
      <c r="B415">
        <v>26</v>
      </c>
      <c r="C415" t="s">
        <v>31</v>
      </c>
      <c r="D415" t="s">
        <v>28</v>
      </c>
      <c r="E415" t="s">
        <v>29</v>
      </c>
      <c r="F415" t="s">
        <v>39</v>
      </c>
      <c r="G415" t="s">
        <v>30</v>
      </c>
      <c r="H415">
        <v>165591</v>
      </c>
      <c r="I415">
        <v>14429</v>
      </c>
      <c r="J415">
        <v>6</v>
      </c>
      <c r="K415">
        <v>0</v>
      </c>
      <c r="L415">
        <v>5</v>
      </c>
      <c r="M415" t="s">
        <v>25</v>
      </c>
      <c r="N415">
        <v>1</v>
      </c>
      <c r="O415">
        <v>35</v>
      </c>
      <c r="P415">
        <v>8</v>
      </c>
      <c r="Q415">
        <v>3</v>
      </c>
      <c r="R415">
        <v>3</v>
      </c>
      <c r="S415" t="s">
        <v>25</v>
      </c>
    </row>
    <row r="416" spans="1:19" x14ac:dyDescent="0.25">
      <c r="A416">
        <v>10415</v>
      </c>
      <c r="B416">
        <v>53</v>
      </c>
      <c r="C416" t="s">
        <v>31</v>
      </c>
      <c r="D416" t="s">
        <v>26</v>
      </c>
      <c r="E416" t="s">
        <v>27</v>
      </c>
      <c r="F416" t="s">
        <v>35</v>
      </c>
      <c r="G416" t="s">
        <v>30</v>
      </c>
      <c r="H416">
        <v>77487</v>
      </c>
      <c r="I416">
        <v>29823</v>
      </c>
      <c r="J416">
        <v>12</v>
      </c>
      <c r="K416">
        <v>14</v>
      </c>
      <c r="L416">
        <v>4</v>
      </c>
      <c r="M416" t="s">
        <v>25</v>
      </c>
      <c r="N416">
        <v>1</v>
      </c>
      <c r="O416">
        <v>39</v>
      </c>
      <c r="P416">
        <v>8</v>
      </c>
      <c r="Q416">
        <v>3</v>
      </c>
      <c r="R416">
        <v>2</v>
      </c>
      <c r="S416" t="s">
        <v>24</v>
      </c>
    </row>
    <row r="417" spans="1:19" x14ac:dyDescent="0.25">
      <c r="A417">
        <v>10416</v>
      </c>
      <c r="B417">
        <v>57</v>
      </c>
      <c r="C417" t="s">
        <v>31</v>
      </c>
      <c r="D417" t="s">
        <v>34</v>
      </c>
      <c r="E417" t="s">
        <v>40</v>
      </c>
      <c r="F417" t="s">
        <v>39</v>
      </c>
      <c r="G417" t="s">
        <v>30</v>
      </c>
      <c r="H417">
        <v>15755</v>
      </c>
      <c r="I417">
        <v>19965</v>
      </c>
      <c r="J417">
        <v>10</v>
      </c>
      <c r="K417">
        <v>7</v>
      </c>
      <c r="L417">
        <v>3</v>
      </c>
      <c r="M417" t="s">
        <v>25</v>
      </c>
      <c r="N417">
        <v>4</v>
      </c>
      <c r="O417">
        <v>19</v>
      </c>
      <c r="P417">
        <v>10</v>
      </c>
      <c r="Q417">
        <v>4</v>
      </c>
      <c r="R417">
        <v>3</v>
      </c>
      <c r="S417" t="s">
        <v>25</v>
      </c>
    </row>
    <row r="418" spans="1:19" x14ac:dyDescent="0.25">
      <c r="A418">
        <v>10417</v>
      </c>
      <c r="B418">
        <v>47</v>
      </c>
      <c r="C418" t="s">
        <v>31</v>
      </c>
      <c r="D418" t="s">
        <v>20</v>
      </c>
      <c r="E418" t="s">
        <v>36</v>
      </c>
      <c r="F418" t="s">
        <v>39</v>
      </c>
      <c r="G418" t="s">
        <v>23</v>
      </c>
      <c r="H418">
        <v>48896</v>
      </c>
      <c r="I418">
        <v>38014</v>
      </c>
      <c r="J418">
        <v>0</v>
      </c>
      <c r="K418">
        <v>2</v>
      </c>
      <c r="L418">
        <v>3</v>
      </c>
      <c r="M418" t="s">
        <v>25</v>
      </c>
      <c r="N418">
        <v>4</v>
      </c>
      <c r="O418">
        <v>1</v>
      </c>
      <c r="P418">
        <v>17</v>
      </c>
      <c r="Q418">
        <v>4</v>
      </c>
      <c r="R418">
        <v>3</v>
      </c>
      <c r="S418" t="s">
        <v>25</v>
      </c>
    </row>
    <row r="419" spans="1:19" x14ac:dyDescent="0.25">
      <c r="A419">
        <v>10418</v>
      </c>
      <c r="B419">
        <v>45</v>
      </c>
      <c r="C419" t="s">
        <v>19</v>
      </c>
      <c r="D419" t="s">
        <v>20</v>
      </c>
      <c r="E419" t="s">
        <v>40</v>
      </c>
      <c r="F419" t="s">
        <v>39</v>
      </c>
      <c r="G419" t="s">
        <v>38</v>
      </c>
      <c r="H419">
        <v>10604</v>
      </c>
      <c r="I419">
        <v>23704</v>
      </c>
      <c r="J419">
        <v>1</v>
      </c>
      <c r="K419">
        <v>6</v>
      </c>
      <c r="L419">
        <v>3</v>
      </c>
      <c r="M419" t="s">
        <v>24</v>
      </c>
      <c r="N419">
        <v>4</v>
      </c>
      <c r="O419">
        <v>21</v>
      </c>
      <c r="P419">
        <v>17</v>
      </c>
      <c r="Q419">
        <v>2</v>
      </c>
      <c r="R419">
        <v>3</v>
      </c>
      <c r="S419" t="s">
        <v>25</v>
      </c>
    </row>
    <row r="420" spans="1:19" x14ac:dyDescent="0.25">
      <c r="A420">
        <v>10419</v>
      </c>
      <c r="B420">
        <v>40</v>
      </c>
      <c r="C420" t="s">
        <v>31</v>
      </c>
      <c r="D420" t="s">
        <v>20</v>
      </c>
      <c r="E420" t="s">
        <v>36</v>
      </c>
      <c r="F420" t="s">
        <v>37</v>
      </c>
      <c r="G420" t="s">
        <v>30</v>
      </c>
      <c r="H420">
        <v>62463</v>
      </c>
      <c r="I420">
        <v>45687</v>
      </c>
      <c r="J420">
        <v>19</v>
      </c>
      <c r="K420">
        <v>12</v>
      </c>
      <c r="L420">
        <v>3</v>
      </c>
      <c r="M420" t="s">
        <v>25</v>
      </c>
      <c r="N420">
        <v>4</v>
      </c>
      <c r="O420">
        <v>33</v>
      </c>
      <c r="P420">
        <v>6</v>
      </c>
      <c r="Q420">
        <v>4</v>
      </c>
      <c r="R420">
        <v>3</v>
      </c>
      <c r="S420" t="s">
        <v>25</v>
      </c>
    </row>
    <row r="421" spans="1:19" x14ac:dyDescent="0.25">
      <c r="A421">
        <v>10420</v>
      </c>
      <c r="B421">
        <v>33</v>
      </c>
      <c r="C421" t="s">
        <v>19</v>
      </c>
      <c r="D421" t="s">
        <v>20</v>
      </c>
      <c r="E421" t="s">
        <v>36</v>
      </c>
      <c r="F421" t="s">
        <v>39</v>
      </c>
      <c r="G421" t="s">
        <v>38</v>
      </c>
      <c r="H421">
        <v>53780</v>
      </c>
      <c r="I421">
        <v>26205</v>
      </c>
      <c r="J421">
        <v>2</v>
      </c>
      <c r="K421">
        <v>14</v>
      </c>
      <c r="L421">
        <v>2</v>
      </c>
      <c r="M421" t="s">
        <v>24</v>
      </c>
      <c r="N421">
        <v>4</v>
      </c>
      <c r="O421">
        <v>17</v>
      </c>
      <c r="P421">
        <v>44</v>
      </c>
      <c r="Q421">
        <v>4</v>
      </c>
      <c r="R421">
        <v>3</v>
      </c>
      <c r="S421" t="s">
        <v>25</v>
      </c>
    </row>
    <row r="422" spans="1:19" x14ac:dyDescent="0.25">
      <c r="A422">
        <v>10421</v>
      </c>
      <c r="B422">
        <v>25</v>
      </c>
      <c r="C422" t="s">
        <v>19</v>
      </c>
      <c r="D422" t="s">
        <v>41</v>
      </c>
      <c r="E422" t="s">
        <v>21</v>
      </c>
      <c r="F422" t="s">
        <v>35</v>
      </c>
      <c r="G422" t="s">
        <v>30</v>
      </c>
      <c r="H422">
        <v>102489</v>
      </c>
      <c r="I422">
        <v>2934</v>
      </c>
      <c r="J422">
        <v>22</v>
      </c>
      <c r="K422">
        <v>10</v>
      </c>
      <c r="L422">
        <v>4</v>
      </c>
      <c r="M422" t="s">
        <v>25</v>
      </c>
      <c r="N422">
        <v>1</v>
      </c>
      <c r="O422">
        <v>6</v>
      </c>
      <c r="P422">
        <v>54</v>
      </c>
      <c r="Q422">
        <v>2</v>
      </c>
      <c r="R422">
        <v>3</v>
      </c>
      <c r="S422" t="s">
        <v>25</v>
      </c>
    </row>
    <row r="423" spans="1:19" x14ac:dyDescent="0.25">
      <c r="A423">
        <v>10422</v>
      </c>
      <c r="B423">
        <v>25</v>
      </c>
      <c r="C423" t="s">
        <v>19</v>
      </c>
      <c r="D423" t="s">
        <v>20</v>
      </c>
      <c r="E423" t="s">
        <v>36</v>
      </c>
      <c r="F423" t="s">
        <v>39</v>
      </c>
      <c r="G423" t="s">
        <v>30</v>
      </c>
      <c r="H423">
        <v>59511</v>
      </c>
      <c r="I423">
        <v>5435</v>
      </c>
      <c r="J423">
        <v>13</v>
      </c>
      <c r="K423">
        <v>3</v>
      </c>
      <c r="L423">
        <v>3</v>
      </c>
      <c r="M423" t="s">
        <v>24</v>
      </c>
      <c r="N423">
        <v>3</v>
      </c>
      <c r="O423">
        <v>39</v>
      </c>
      <c r="P423">
        <v>11</v>
      </c>
      <c r="Q423">
        <v>3</v>
      </c>
      <c r="R423">
        <v>3</v>
      </c>
      <c r="S423" t="s">
        <v>25</v>
      </c>
    </row>
    <row r="424" spans="1:19" x14ac:dyDescent="0.25">
      <c r="A424">
        <v>10423</v>
      </c>
      <c r="B424">
        <v>50</v>
      </c>
      <c r="C424" t="s">
        <v>19</v>
      </c>
      <c r="D424" t="s">
        <v>20</v>
      </c>
      <c r="E424" t="s">
        <v>36</v>
      </c>
      <c r="F424" t="s">
        <v>39</v>
      </c>
      <c r="G424" t="s">
        <v>38</v>
      </c>
      <c r="H424">
        <v>50783</v>
      </c>
      <c r="I424">
        <v>23227</v>
      </c>
      <c r="J424">
        <v>1</v>
      </c>
      <c r="K424">
        <v>5</v>
      </c>
      <c r="L424">
        <v>3</v>
      </c>
      <c r="M424" t="s">
        <v>25</v>
      </c>
      <c r="N424">
        <v>3</v>
      </c>
      <c r="O424">
        <v>11</v>
      </c>
      <c r="P424">
        <v>19</v>
      </c>
      <c r="Q424">
        <v>3</v>
      </c>
      <c r="R424">
        <v>2</v>
      </c>
      <c r="S424" t="s">
        <v>25</v>
      </c>
    </row>
    <row r="425" spans="1:19" x14ac:dyDescent="0.25">
      <c r="A425">
        <v>10424</v>
      </c>
      <c r="B425">
        <v>43</v>
      </c>
      <c r="C425" t="s">
        <v>19</v>
      </c>
      <c r="D425" t="s">
        <v>41</v>
      </c>
      <c r="E425" t="s">
        <v>21</v>
      </c>
      <c r="F425" t="s">
        <v>39</v>
      </c>
      <c r="G425" t="s">
        <v>30</v>
      </c>
      <c r="H425">
        <v>111390</v>
      </c>
      <c r="I425">
        <v>42026</v>
      </c>
      <c r="J425">
        <v>6</v>
      </c>
      <c r="K425">
        <v>5</v>
      </c>
      <c r="L425">
        <v>2</v>
      </c>
      <c r="M425" t="s">
        <v>25</v>
      </c>
      <c r="N425">
        <v>3</v>
      </c>
      <c r="O425">
        <v>1</v>
      </c>
      <c r="P425">
        <v>23</v>
      </c>
      <c r="Q425">
        <v>4</v>
      </c>
      <c r="R425">
        <v>2</v>
      </c>
      <c r="S425" t="s">
        <v>25</v>
      </c>
    </row>
    <row r="426" spans="1:19" x14ac:dyDescent="0.25">
      <c r="A426">
        <v>10425</v>
      </c>
      <c r="B426">
        <v>20</v>
      </c>
      <c r="C426" t="s">
        <v>31</v>
      </c>
      <c r="D426" t="s">
        <v>41</v>
      </c>
      <c r="E426" t="s">
        <v>27</v>
      </c>
      <c r="F426" t="s">
        <v>22</v>
      </c>
      <c r="G426" t="s">
        <v>38</v>
      </c>
      <c r="H426">
        <v>77173</v>
      </c>
      <c r="I426">
        <v>38157</v>
      </c>
      <c r="J426">
        <v>3</v>
      </c>
      <c r="K426">
        <v>4</v>
      </c>
      <c r="L426">
        <v>1</v>
      </c>
      <c r="M426" t="s">
        <v>25</v>
      </c>
      <c r="N426">
        <v>3</v>
      </c>
      <c r="O426">
        <v>16</v>
      </c>
      <c r="P426">
        <v>28</v>
      </c>
      <c r="Q426">
        <v>3</v>
      </c>
      <c r="R426">
        <v>3</v>
      </c>
      <c r="S426" t="s">
        <v>25</v>
      </c>
    </row>
    <row r="427" spans="1:19" x14ac:dyDescent="0.25">
      <c r="A427">
        <v>10426</v>
      </c>
      <c r="B427">
        <v>48</v>
      </c>
      <c r="C427" t="s">
        <v>31</v>
      </c>
      <c r="D427" t="s">
        <v>34</v>
      </c>
      <c r="E427" t="s">
        <v>33</v>
      </c>
      <c r="F427" t="s">
        <v>39</v>
      </c>
      <c r="G427" t="s">
        <v>38</v>
      </c>
      <c r="H427">
        <v>39922</v>
      </c>
      <c r="I427">
        <v>29990</v>
      </c>
      <c r="J427">
        <v>9</v>
      </c>
      <c r="K427">
        <v>11</v>
      </c>
      <c r="L427">
        <v>3</v>
      </c>
      <c r="M427" t="s">
        <v>25</v>
      </c>
      <c r="N427">
        <v>4</v>
      </c>
      <c r="O427">
        <v>14</v>
      </c>
      <c r="P427">
        <v>16</v>
      </c>
      <c r="Q427">
        <v>4</v>
      </c>
      <c r="R427">
        <v>3</v>
      </c>
      <c r="S427" t="s">
        <v>25</v>
      </c>
    </row>
    <row r="428" spans="1:19" x14ac:dyDescent="0.25">
      <c r="A428">
        <v>10427</v>
      </c>
      <c r="B428">
        <v>21</v>
      </c>
      <c r="C428" t="s">
        <v>19</v>
      </c>
      <c r="D428" t="s">
        <v>34</v>
      </c>
      <c r="E428" t="s">
        <v>27</v>
      </c>
      <c r="F428" t="s">
        <v>39</v>
      </c>
      <c r="G428" t="s">
        <v>38</v>
      </c>
      <c r="H428">
        <v>60055</v>
      </c>
      <c r="I428">
        <v>33734</v>
      </c>
      <c r="J428">
        <v>19</v>
      </c>
      <c r="K428">
        <v>10</v>
      </c>
      <c r="L428">
        <v>3</v>
      </c>
      <c r="M428" t="s">
        <v>25</v>
      </c>
      <c r="N428">
        <v>4</v>
      </c>
      <c r="O428">
        <v>9</v>
      </c>
      <c r="P428">
        <v>24</v>
      </c>
      <c r="Q428">
        <v>3</v>
      </c>
      <c r="R428">
        <v>3</v>
      </c>
      <c r="S428" t="s">
        <v>25</v>
      </c>
    </row>
    <row r="429" spans="1:19" x14ac:dyDescent="0.25">
      <c r="A429">
        <v>10428</v>
      </c>
      <c r="B429">
        <v>58</v>
      </c>
      <c r="C429" t="s">
        <v>31</v>
      </c>
      <c r="D429" t="s">
        <v>41</v>
      </c>
      <c r="E429" t="s">
        <v>40</v>
      </c>
      <c r="F429" t="s">
        <v>39</v>
      </c>
      <c r="G429" t="s">
        <v>38</v>
      </c>
      <c r="H429">
        <v>10145</v>
      </c>
      <c r="I429">
        <v>29309</v>
      </c>
      <c r="J429">
        <v>14</v>
      </c>
      <c r="K429">
        <v>6</v>
      </c>
      <c r="L429">
        <v>3</v>
      </c>
      <c r="M429" t="s">
        <v>25</v>
      </c>
      <c r="N429">
        <v>4</v>
      </c>
      <c r="O429">
        <v>39</v>
      </c>
      <c r="P429">
        <v>23</v>
      </c>
      <c r="Q429">
        <v>4</v>
      </c>
      <c r="R429">
        <v>3</v>
      </c>
      <c r="S429" t="s">
        <v>25</v>
      </c>
    </row>
    <row r="430" spans="1:19" x14ac:dyDescent="0.25">
      <c r="A430">
        <v>10429</v>
      </c>
      <c r="B430">
        <v>49</v>
      </c>
      <c r="C430" t="s">
        <v>19</v>
      </c>
      <c r="D430" t="s">
        <v>20</v>
      </c>
      <c r="E430" t="s">
        <v>27</v>
      </c>
      <c r="F430" t="s">
        <v>39</v>
      </c>
      <c r="G430" t="s">
        <v>38</v>
      </c>
      <c r="H430">
        <v>68572</v>
      </c>
      <c r="I430">
        <v>43209</v>
      </c>
      <c r="J430">
        <v>23</v>
      </c>
      <c r="K430">
        <v>7</v>
      </c>
      <c r="L430">
        <v>2</v>
      </c>
      <c r="M430" t="s">
        <v>25</v>
      </c>
      <c r="N430">
        <v>4</v>
      </c>
      <c r="O430">
        <v>18</v>
      </c>
      <c r="P430">
        <v>28</v>
      </c>
      <c r="Q430">
        <v>4</v>
      </c>
      <c r="R430">
        <v>4</v>
      </c>
      <c r="S430" t="s">
        <v>24</v>
      </c>
    </row>
    <row r="431" spans="1:19" x14ac:dyDescent="0.25">
      <c r="A431">
        <v>10430</v>
      </c>
      <c r="B431">
        <v>40</v>
      </c>
      <c r="C431" t="s">
        <v>19</v>
      </c>
      <c r="D431" t="s">
        <v>20</v>
      </c>
      <c r="E431" t="s">
        <v>36</v>
      </c>
      <c r="F431" t="s">
        <v>39</v>
      </c>
      <c r="G431" t="s">
        <v>30</v>
      </c>
      <c r="H431">
        <v>69188</v>
      </c>
      <c r="I431">
        <v>47074</v>
      </c>
      <c r="J431">
        <v>24</v>
      </c>
      <c r="K431">
        <v>4</v>
      </c>
      <c r="L431">
        <v>3</v>
      </c>
      <c r="M431" t="s">
        <v>25</v>
      </c>
      <c r="N431">
        <v>3</v>
      </c>
      <c r="O431">
        <v>7</v>
      </c>
      <c r="P431">
        <v>27</v>
      </c>
      <c r="Q431">
        <v>4</v>
      </c>
      <c r="R431">
        <v>4</v>
      </c>
      <c r="S431" t="s">
        <v>25</v>
      </c>
    </row>
    <row r="432" spans="1:19" x14ac:dyDescent="0.25">
      <c r="A432">
        <v>10431</v>
      </c>
      <c r="B432">
        <v>25</v>
      </c>
      <c r="C432" t="s">
        <v>19</v>
      </c>
      <c r="D432" t="s">
        <v>20</v>
      </c>
      <c r="E432" t="s">
        <v>21</v>
      </c>
      <c r="F432" t="s">
        <v>22</v>
      </c>
      <c r="G432" t="s">
        <v>23</v>
      </c>
      <c r="H432">
        <v>97036</v>
      </c>
      <c r="I432">
        <v>35901</v>
      </c>
      <c r="J432">
        <v>13</v>
      </c>
      <c r="K432">
        <v>3</v>
      </c>
      <c r="L432">
        <v>3</v>
      </c>
      <c r="M432" t="s">
        <v>25</v>
      </c>
      <c r="N432">
        <v>3</v>
      </c>
      <c r="O432">
        <v>21</v>
      </c>
      <c r="P432">
        <v>32</v>
      </c>
      <c r="Q432">
        <v>2</v>
      </c>
      <c r="R432">
        <v>4</v>
      </c>
      <c r="S432" t="s">
        <v>25</v>
      </c>
    </row>
    <row r="433" spans="1:19" x14ac:dyDescent="0.25">
      <c r="A433">
        <v>10432</v>
      </c>
      <c r="B433">
        <v>37</v>
      </c>
      <c r="C433" t="s">
        <v>19</v>
      </c>
      <c r="D433" t="s">
        <v>20</v>
      </c>
      <c r="E433" t="s">
        <v>27</v>
      </c>
      <c r="F433" t="s">
        <v>39</v>
      </c>
      <c r="G433" t="s">
        <v>38</v>
      </c>
      <c r="H433">
        <v>61124</v>
      </c>
      <c r="I433">
        <v>23296</v>
      </c>
      <c r="J433">
        <v>6</v>
      </c>
      <c r="K433">
        <v>4</v>
      </c>
      <c r="L433">
        <v>3</v>
      </c>
      <c r="M433" t="s">
        <v>24</v>
      </c>
      <c r="N433">
        <v>4</v>
      </c>
      <c r="O433">
        <v>10</v>
      </c>
      <c r="P433">
        <v>27</v>
      </c>
      <c r="Q433">
        <v>3</v>
      </c>
      <c r="R433">
        <v>4</v>
      </c>
      <c r="S433" t="s">
        <v>25</v>
      </c>
    </row>
    <row r="434" spans="1:19" x14ac:dyDescent="0.25">
      <c r="A434">
        <v>10433</v>
      </c>
      <c r="B434">
        <v>20</v>
      </c>
      <c r="C434" t="s">
        <v>19</v>
      </c>
      <c r="D434" t="s">
        <v>34</v>
      </c>
      <c r="E434" t="s">
        <v>36</v>
      </c>
      <c r="F434" t="s">
        <v>39</v>
      </c>
      <c r="G434" t="s">
        <v>38</v>
      </c>
      <c r="H434">
        <v>55067</v>
      </c>
      <c r="I434">
        <v>33307</v>
      </c>
      <c r="J434">
        <v>22</v>
      </c>
      <c r="K434">
        <v>12</v>
      </c>
      <c r="L434">
        <v>2</v>
      </c>
      <c r="M434" t="s">
        <v>25</v>
      </c>
      <c r="N434">
        <v>1</v>
      </c>
      <c r="O434">
        <v>11</v>
      </c>
      <c r="P434">
        <v>32</v>
      </c>
      <c r="Q434">
        <v>3</v>
      </c>
      <c r="R434">
        <v>2</v>
      </c>
      <c r="S434" t="s">
        <v>25</v>
      </c>
    </row>
    <row r="435" spans="1:19" x14ac:dyDescent="0.25">
      <c r="A435">
        <v>10434</v>
      </c>
      <c r="B435">
        <v>32</v>
      </c>
      <c r="C435" t="s">
        <v>19</v>
      </c>
      <c r="D435" t="s">
        <v>32</v>
      </c>
      <c r="E435" t="s">
        <v>27</v>
      </c>
      <c r="F435" t="s">
        <v>39</v>
      </c>
      <c r="G435" t="s">
        <v>30</v>
      </c>
      <c r="H435">
        <v>72809</v>
      </c>
      <c r="I435">
        <v>40477</v>
      </c>
      <c r="J435">
        <v>16</v>
      </c>
      <c r="K435">
        <v>10</v>
      </c>
      <c r="L435">
        <v>4</v>
      </c>
      <c r="M435" t="s">
        <v>25</v>
      </c>
      <c r="N435">
        <v>2</v>
      </c>
      <c r="O435">
        <v>4</v>
      </c>
      <c r="P435">
        <v>40</v>
      </c>
      <c r="Q435">
        <v>4</v>
      </c>
      <c r="R435">
        <v>4</v>
      </c>
      <c r="S435" t="s">
        <v>25</v>
      </c>
    </row>
    <row r="436" spans="1:19" x14ac:dyDescent="0.25">
      <c r="A436">
        <v>10435</v>
      </c>
      <c r="B436">
        <v>41</v>
      </c>
      <c r="C436" t="s">
        <v>19</v>
      </c>
      <c r="D436" t="s">
        <v>34</v>
      </c>
      <c r="E436" t="s">
        <v>36</v>
      </c>
      <c r="F436" t="s">
        <v>39</v>
      </c>
      <c r="G436" t="s">
        <v>30</v>
      </c>
      <c r="H436">
        <v>53234</v>
      </c>
      <c r="I436">
        <v>32449</v>
      </c>
      <c r="J436">
        <v>9</v>
      </c>
      <c r="K436">
        <v>11</v>
      </c>
      <c r="L436">
        <v>5</v>
      </c>
      <c r="M436" t="s">
        <v>25</v>
      </c>
      <c r="N436">
        <v>4</v>
      </c>
      <c r="O436">
        <v>15</v>
      </c>
      <c r="P436">
        <v>57</v>
      </c>
      <c r="Q436">
        <v>4</v>
      </c>
      <c r="R436">
        <v>2</v>
      </c>
      <c r="S436" t="s">
        <v>25</v>
      </c>
    </row>
    <row r="437" spans="1:19" x14ac:dyDescent="0.25">
      <c r="A437">
        <v>10436</v>
      </c>
      <c r="B437">
        <v>39</v>
      </c>
      <c r="C437" t="s">
        <v>19</v>
      </c>
      <c r="D437" t="s">
        <v>26</v>
      </c>
      <c r="E437" t="s">
        <v>36</v>
      </c>
      <c r="F437" t="s">
        <v>35</v>
      </c>
      <c r="G437" t="s">
        <v>38</v>
      </c>
      <c r="H437">
        <v>51772</v>
      </c>
      <c r="I437">
        <v>2889</v>
      </c>
      <c r="J437">
        <v>1</v>
      </c>
      <c r="K437">
        <v>9</v>
      </c>
      <c r="L437">
        <v>3</v>
      </c>
      <c r="M437" t="s">
        <v>25</v>
      </c>
      <c r="N437">
        <v>3</v>
      </c>
      <c r="O437">
        <v>4</v>
      </c>
      <c r="P437">
        <v>10</v>
      </c>
      <c r="Q437">
        <v>1</v>
      </c>
      <c r="R437">
        <v>1</v>
      </c>
      <c r="S437" t="s">
        <v>24</v>
      </c>
    </row>
    <row r="438" spans="1:19" x14ac:dyDescent="0.25">
      <c r="A438">
        <v>10437</v>
      </c>
      <c r="B438">
        <v>48</v>
      </c>
      <c r="C438" t="s">
        <v>31</v>
      </c>
      <c r="D438" t="s">
        <v>20</v>
      </c>
      <c r="E438" t="s">
        <v>21</v>
      </c>
      <c r="F438" t="s">
        <v>39</v>
      </c>
      <c r="G438" t="s">
        <v>38</v>
      </c>
      <c r="H438">
        <v>121472</v>
      </c>
      <c r="I438">
        <v>44135</v>
      </c>
      <c r="J438">
        <v>10</v>
      </c>
      <c r="K438">
        <v>6</v>
      </c>
      <c r="L438">
        <v>2</v>
      </c>
      <c r="M438" t="s">
        <v>25</v>
      </c>
      <c r="N438">
        <v>4</v>
      </c>
      <c r="O438">
        <v>26</v>
      </c>
      <c r="P438">
        <v>46</v>
      </c>
      <c r="Q438">
        <v>2</v>
      </c>
      <c r="R438">
        <v>3</v>
      </c>
      <c r="S438" t="s">
        <v>25</v>
      </c>
    </row>
    <row r="439" spans="1:19" x14ac:dyDescent="0.25">
      <c r="A439">
        <v>10438</v>
      </c>
      <c r="B439">
        <v>32</v>
      </c>
      <c r="C439" t="s">
        <v>19</v>
      </c>
      <c r="D439" t="s">
        <v>20</v>
      </c>
      <c r="E439" t="s">
        <v>33</v>
      </c>
      <c r="F439" t="s">
        <v>35</v>
      </c>
      <c r="G439" t="s">
        <v>38</v>
      </c>
      <c r="H439">
        <v>33859</v>
      </c>
      <c r="I439">
        <v>27105</v>
      </c>
      <c r="J439">
        <v>7</v>
      </c>
      <c r="K439">
        <v>10</v>
      </c>
      <c r="L439">
        <v>3</v>
      </c>
      <c r="M439" t="s">
        <v>24</v>
      </c>
      <c r="N439">
        <v>2</v>
      </c>
      <c r="O439">
        <v>28</v>
      </c>
      <c r="P439">
        <v>41</v>
      </c>
      <c r="Q439">
        <v>2</v>
      </c>
      <c r="R439">
        <v>3</v>
      </c>
      <c r="S439" t="s">
        <v>25</v>
      </c>
    </row>
    <row r="440" spans="1:19" x14ac:dyDescent="0.25">
      <c r="A440">
        <v>10439</v>
      </c>
      <c r="B440">
        <v>36</v>
      </c>
      <c r="C440" t="s">
        <v>19</v>
      </c>
      <c r="D440" t="s">
        <v>20</v>
      </c>
      <c r="E440" t="s">
        <v>36</v>
      </c>
      <c r="F440" t="s">
        <v>22</v>
      </c>
      <c r="G440" t="s">
        <v>30</v>
      </c>
      <c r="H440">
        <v>47317</v>
      </c>
      <c r="I440">
        <v>48380</v>
      </c>
      <c r="J440">
        <v>8</v>
      </c>
      <c r="K440">
        <v>2</v>
      </c>
      <c r="L440">
        <v>3</v>
      </c>
      <c r="M440" t="s">
        <v>25</v>
      </c>
      <c r="N440">
        <v>4</v>
      </c>
      <c r="O440">
        <v>31</v>
      </c>
      <c r="P440">
        <v>44</v>
      </c>
      <c r="Q440">
        <v>2</v>
      </c>
      <c r="R440">
        <v>1</v>
      </c>
      <c r="S440" t="s">
        <v>25</v>
      </c>
    </row>
    <row r="441" spans="1:19" x14ac:dyDescent="0.25">
      <c r="A441">
        <v>10440</v>
      </c>
      <c r="B441">
        <v>22</v>
      </c>
      <c r="C441" t="s">
        <v>19</v>
      </c>
      <c r="D441" t="s">
        <v>20</v>
      </c>
      <c r="E441" t="s">
        <v>33</v>
      </c>
      <c r="F441" t="s">
        <v>39</v>
      </c>
      <c r="G441" t="s">
        <v>38</v>
      </c>
      <c r="H441">
        <v>41091</v>
      </c>
      <c r="I441">
        <v>30160</v>
      </c>
      <c r="J441">
        <v>3</v>
      </c>
      <c r="K441">
        <v>0</v>
      </c>
      <c r="L441">
        <v>4</v>
      </c>
      <c r="M441" t="s">
        <v>25</v>
      </c>
      <c r="N441">
        <v>4</v>
      </c>
      <c r="O441">
        <v>12</v>
      </c>
      <c r="P441">
        <v>41</v>
      </c>
      <c r="Q441">
        <v>3</v>
      </c>
      <c r="R441">
        <v>1</v>
      </c>
      <c r="S441" t="s">
        <v>25</v>
      </c>
    </row>
    <row r="442" spans="1:19" x14ac:dyDescent="0.25">
      <c r="A442">
        <v>10441</v>
      </c>
      <c r="B442">
        <v>59</v>
      </c>
      <c r="C442" t="s">
        <v>31</v>
      </c>
      <c r="D442" t="s">
        <v>26</v>
      </c>
      <c r="E442" t="s">
        <v>33</v>
      </c>
      <c r="F442" t="s">
        <v>22</v>
      </c>
      <c r="G442" t="s">
        <v>30</v>
      </c>
      <c r="H442">
        <v>32171</v>
      </c>
      <c r="I442">
        <v>45615</v>
      </c>
      <c r="J442">
        <v>15</v>
      </c>
      <c r="K442">
        <v>10</v>
      </c>
      <c r="L442">
        <v>3</v>
      </c>
      <c r="M442" t="s">
        <v>25</v>
      </c>
      <c r="N442">
        <v>3</v>
      </c>
      <c r="O442">
        <v>13</v>
      </c>
      <c r="P442">
        <v>13</v>
      </c>
      <c r="Q442">
        <v>4</v>
      </c>
      <c r="R442">
        <v>2</v>
      </c>
      <c r="S442" t="s">
        <v>25</v>
      </c>
    </row>
    <row r="443" spans="1:19" x14ac:dyDescent="0.25">
      <c r="A443">
        <v>10442</v>
      </c>
      <c r="B443">
        <v>38</v>
      </c>
      <c r="C443" t="s">
        <v>31</v>
      </c>
      <c r="D443" t="s">
        <v>20</v>
      </c>
      <c r="E443" t="s">
        <v>21</v>
      </c>
      <c r="F443" t="s">
        <v>22</v>
      </c>
      <c r="G443" t="s">
        <v>38</v>
      </c>
      <c r="H443">
        <v>129462</v>
      </c>
      <c r="I443">
        <v>11340</v>
      </c>
      <c r="J443">
        <v>20</v>
      </c>
      <c r="K443">
        <v>1</v>
      </c>
      <c r="L443">
        <v>3</v>
      </c>
      <c r="M443" t="s">
        <v>24</v>
      </c>
      <c r="N443">
        <v>4</v>
      </c>
      <c r="O443">
        <v>33</v>
      </c>
      <c r="P443">
        <v>18</v>
      </c>
      <c r="Q443">
        <v>3</v>
      </c>
      <c r="R443">
        <v>3</v>
      </c>
      <c r="S443" t="s">
        <v>25</v>
      </c>
    </row>
    <row r="444" spans="1:19" x14ac:dyDescent="0.25">
      <c r="A444">
        <v>10443</v>
      </c>
      <c r="B444">
        <v>35</v>
      </c>
      <c r="C444" t="s">
        <v>19</v>
      </c>
      <c r="D444" t="s">
        <v>20</v>
      </c>
      <c r="E444" t="s">
        <v>27</v>
      </c>
      <c r="F444" t="s">
        <v>35</v>
      </c>
      <c r="G444" t="s">
        <v>30</v>
      </c>
      <c r="H444">
        <v>70892</v>
      </c>
      <c r="I444">
        <v>43271</v>
      </c>
      <c r="J444">
        <v>19</v>
      </c>
      <c r="K444">
        <v>2</v>
      </c>
      <c r="L444">
        <v>3</v>
      </c>
      <c r="M444" t="s">
        <v>25</v>
      </c>
      <c r="N444">
        <v>3</v>
      </c>
      <c r="O444">
        <v>33</v>
      </c>
      <c r="P444">
        <v>34</v>
      </c>
      <c r="Q444">
        <v>4</v>
      </c>
      <c r="R444">
        <v>4</v>
      </c>
      <c r="S444" t="s">
        <v>25</v>
      </c>
    </row>
    <row r="445" spans="1:19" x14ac:dyDescent="0.25">
      <c r="A445">
        <v>10444</v>
      </c>
      <c r="B445">
        <v>26</v>
      </c>
      <c r="C445" t="s">
        <v>19</v>
      </c>
      <c r="D445" t="s">
        <v>41</v>
      </c>
      <c r="E445" t="s">
        <v>33</v>
      </c>
      <c r="F445" t="s">
        <v>22</v>
      </c>
      <c r="G445" t="s">
        <v>38</v>
      </c>
      <c r="H445">
        <v>41172</v>
      </c>
      <c r="I445">
        <v>30783</v>
      </c>
      <c r="J445">
        <v>5</v>
      </c>
      <c r="K445">
        <v>13</v>
      </c>
      <c r="L445">
        <v>3</v>
      </c>
      <c r="M445" t="s">
        <v>25</v>
      </c>
      <c r="N445">
        <v>3</v>
      </c>
      <c r="O445">
        <v>31</v>
      </c>
      <c r="P445">
        <v>29</v>
      </c>
      <c r="Q445">
        <v>3</v>
      </c>
      <c r="R445">
        <v>2</v>
      </c>
      <c r="S445" t="s">
        <v>25</v>
      </c>
    </row>
    <row r="446" spans="1:19" x14ac:dyDescent="0.25">
      <c r="A446">
        <v>10445</v>
      </c>
      <c r="B446">
        <v>42</v>
      </c>
      <c r="C446" t="s">
        <v>19</v>
      </c>
      <c r="D446" t="s">
        <v>20</v>
      </c>
      <c r="E446" t="s">
        <v>36</v>
      </c>
      <c r="F446" t="s">
        <v>35</v>
      </c>
      <c r="G446" t="s">
        <v>38</v>
      </c>
      <c r="H446">
        <v>59893</v>
      </c>
      <c r="I446">
        <v>34311</v>
      </c>
      <c r="J446">
        <v>15</v>
      </c>
      <c r="K446">
        <v>5</v>
      </c>
      <c r="L446">
        <v>1</v>
      </c>
      <c r="M446" t="s">
        <v>25</v>
      </c>
      <c r="N446">
        <v>2</v>
      </c>
      <c r="O446">
        <v>22</v>
      </c>
      <c r="P446">
        <v>7</v>
      </c>
      <c r="Q446">
        <v>3</v>
      </c>
      <c r="R446">
        <v>1</v>
      </c>
      <c r="S446" t="s">
        <v>25</v>
      </c>
    </row>
    <row r="447" spans="1:19" x14ac:dyDescent="0.25">
      <c r="A447">
        <v>10446</v>
      </c>
      <c r="B447">
        <v>20</v>
      </c>
      <c r="C447" t="s">
        <v>31</v>
      </c>
      <c r="D447" t="s">
        <v>26</v>
      </c>
      <c r="E447" t="s">
        <v>27</v>
      </c>
      <c r="F447" t="s">
        <v>22</v>
      </c>
      <c r="G447" t="s">
        <v>38</v>
      </c>
      <c r="H447">
        <v>64144</v>
      </c>
      <c r="I447">
        <v>34416</v>
      </c>
      <c r="J447">
        <v>4</v>
      </c>
      <c r="K447">
        <v>6</v>
      </c>
      <c r="L447">
        <v>3</v>
      </c>
      <c r="M447" t="s">
        <v>25</v>
      </c>
      <c r="N447">
        <v>3</v>
      </c>
      <c r="O447">
        <v>37</v>
      </c>
      <c r="P447">
        <v>59</v>
      </c>
      <c r="Q447">
        <v>4</v>
      </c>
      <c r="R447">
        <v>2</v>
      </c>
      <c r="S447" t="s">
        <v>25</v>
      </c>
    </row>
    <row r="448" spans="1:19" x14ac:dyDescent="0.25">
      <c r="A448">
        <v>10447</v>
      </c>
      <c r="B448">
        <v>40</v>
      </c>
      <c r="C448" t="s">
        <v>19</v>
      </c>
      <c r="D448" t="s">
        <v>20</v>
      </c>
      <c r="E448" t="s">
        <v>27</v>
      </c>
      <c r="F448" t="s">
        <v>22</v>
      </c>
      <c r="G448" t="s">
        <v>23</v>
      </c>
      <c r="H448">
        <v>62689</v>
      </c>
      <c r="I448">
        <v>11162</v>
      </c>
      <c r="J448">
        <v>18</v>
      </c>
      <c r="K448">
        <v>3</v>
      </c>
      <c r="L448">
        <v>3</v>
      </c>
      <c r="M448" t="s">
        <v>25</v>
      </c>
      <c r="N448">
        <v>3</v>
      </c>
      <c r="O448">
        <v>9</v>
      </c>
      <c r="P448">
        <v>17</v>
      </c>
      <c r="Q448">
        <v>4</v>
      </c>
      <c r="R448">
        <v>3</v>
      </c>
      <c r="S448" t="s">
        <v>25</v>
      </c>
    </row>
    <row r="449" spans="1:19" x14ac:dyDescent="0.25">
      <c r="A449">
        <v>10448</v>
      </c>
      <c r="B449">
        <v>29</v>
      </c>
      <c r="C449" t="s">
        <v>19</v>
      </c>
      <c r="D449" t="s">
        <v>32</v>
      </c>
      <c r="E449" t="s">
        <v>29</v>
      </c>
      <c r="F449" t="s">
        <v>39</v>
      </c>
      <c r="G449" t="s">
        <v>30</v>
      </c>
      <c r="H449">
        <v>148067</v>
      </c>
      <c r="I449">
        <v>25964</v>
      </c>
      <c r="J449">
        <v>11</v>
      </c>
      <c r="K449">
        <v>10</v>
      </c>
      <c r="L449">
        <v>4</v>
      </c>
      <c r="M449" t="s">
        <v>25</v>
      </c>
      <c r="N449">
        <v>3</v>
      </c>
      <c r="O449">
        <v>37</v>
      </c>
      <c r="P449">
        <v>24</v>
      </c>
      <c r="Q449">
        <v>1</v>
      </c>
      <c r="R449">
        <v>2</v>
      </c>
      <c r="S449" t="s">
        <v>25</v>
      </c>
    </row>
    <row r="450" spans="1:19" x14ac:dyDescent="0.25">
      <c r="A450">
        <v>10449</v>
      </c>
      <c r="B450">
        <v>51</v>
      </c>
      <c r="C450" t="s">
        <v>19</v>
      </c>
      <c r="D450" t="s">
        <v>41</v>
      </c>
      <c r="E450" t="s">
        <v>40</v>
      </c>
      <c r="F450" t="s">
        <v>22</v>
      </c>
      <c r="G450" t="s">
        <v>38</v>
      </c>
      <c r="H450">
        <v>19304</v>
      </c>
      <c r="I450">
        <v>28952</v>
      </c>
      <c r="J450">
        <v>7</v>
      </c>
      <c r="K450">
        <v>4</v>
      </c>
      <c r="L450">
        <v>3</v>
      </c>
      <c r="M450" t="s">
        <v>25</v>
      </c>
      <c r="N450">
        <v>3</v>
      </c>
      <c r="O450">
        <v>30</v>
      </c>
      <c r="P450">
        <v>54</v>
      </c>
      <c r="Q450">
        <v>3</v>
      </c>
      <c r="R450">
        <v>4</v>
      </c>
      <c r="S450" t="s">
        <v>25</v>
      </c>
    </row>
    <row r="451" spans="1:19" x14ac:dyDescent="0.25">
      <c r="A451">
        <v>10450</v>
      </c>
      <c r="B451">
        <v>35</v>
      </c>
      <c r="C451" t="s">
        <v>19</v>
      </c>
      <c r="D451" t="s">
        <v>32</v>
      </c>
      <c r="E451" t="s">
        <v>36</v>
      </c>
      <c r="F451" t="s">
        <v>35</v>
      </c>
      <c r="G451" t="s">
        <v>38</v>
      </c>
      <c r="H451">
        <v>66337</v>
      </c>
      <c r="I451">
        <v>21686</v>
      </c>
      <c r="J451">
        <v>14</v>
      </c>
      <c r="K451">
        <v>2</v>
      </c>
      <c r="L451">
        <v>3</v>
      </c>
      <c r="M451" t="s">
        <v>25</v>
      </c>
      <c r="N451">
        <v>4</v>
      </c>
      <c r="O451">
        <v>23</v>
      </c>
      <c r="P451">
        <v>53</v>
      </c>
      <c r="Q451">
        <v>2</v>
      </c>
      <c r="R451">
        <v>1</v>
      </c>
      <c r="S451" t="s">
        <v>25</v>
      </c>
    </row>
    <row r="452" spans="1:19" x14ac:dyDescent="0.25">
      <c r="A452">
        <v>10451</v>
      </c>
      <c r="B452">
        <v>51</v>
      </c>
      <c r="C452" t="s">
        <v>31</v>
      </c>
      <c r="D452" t="s">
        <v>20</v>
      </c>
      <c r="E452" t="s">
        <v>33</v>
      </c>
      <c r="F452" t="s">
        <v>35</v>
      </c>
      <c r="G452" t="s">
        <v>30</v>
      </c>
      <c r="H452">
        <v>33515</v>
      </c>
      <c r="I452">
        <v>48230</v>
      </c>
      <c r="J452">
        <v>22</v>
      </c>
      <c r="K452">
        <v>3</v>
      </c>
      <c r="L452">
        <v>3</v>
      </c>
      <c r="M452" t="s">
        <v>25</v>
      </c>
      <c r="N452">
        <v>3</v>
      </c>
      <c r="O452">
        <v>24</v>
      </c>
      <c r="P452">
        <v>49</v>
      </c>
      <c r="Q452">
        <v>3</v>
      </c>
      <c r="R452">
        <v>3</v>
      </c>
      <c r="S452" t="s">
        <v>25</v>
      </c>
    </row>
    <row r="453" spans="1:19" x14ac:dyDescent="0.25">
      <c r="A453">
        <v>10452</v>
      </c>
      <c r="B453">
        <v>20</v>
      </c>
      <c r="C453" t="s">
        <v>19</v>
      </c>
      <c r="D453" t="s">
        <v>41</v>
      </c>
      <c r="E453" t="s">
        <v>40</v>
      </c>
      <c r="F453" t="s">
        <v>22</v>
      </c>
      <c r="G453" t="s">
        <v>38</v>
      </c>
      <c r="H453">
        <v>19267</v>
      </c>
      <c r="I453">
        <v>48356</v>
      </c>
      <c r="J453">
        <v>17</v>
      </c>
      <c r="K453">
        <v>14</v>
      </c>
      <c r="L453">
        <v>3</v>
      </c>
      <c r="M453" t="s">
        <v>25</v>
      </c>
      <c r="N453">
        <v>1</v>
      </c>
      <c r="O453">
        <v>14</v>
      </c>
      <c r="P453">
        <v>48</v>
      </c>
      <c r="Q453">
        <v>3</v>
      </c>
      <c r="R453">
        <v>4</v>
      </c>
      <c r="S453" t="s">
        <v>24</v>
      </c>
    </row>
    <row r="454" spans="1:19" x14ac:dyDescent="0.25">
      <c r="A454">
        <v>10453</v>
      </c>
      <c r="B454">
        <v>58</v>
      </c>
      <c r="C454" t="s">
        <v>19</v>
      </c>
      <c r="D454" t="s">
        <v>20</v>
      </c>
      <c r="E454" t="s">
        <v>36</v>
      </c>
      <c r="F454" t="s">
        <v>35</v>
      </c>
      <c r="G454" t="s">
        <v>38</v>
      </c>
      <c r="H454">
        <v>52689</v>
      </c>
      <c r="I454">
        <v>44098</v>
      </c>
      <c r="J454">
        <v>17</v>
      </c>
      <c r="K454">
        <v>10</v>
      </c>
      <c r="L454">
        <v>2</v>
      </c>
      <c r="M454" t="s">
        <v>25</v>
      </c>
      <c r="N454">
        <v>4</v>
      </c>
      <c r="O454">
        <v>4</v>
      </c>
      <c r="P454">
        <v>51</v>
      </c>
      <c r="Q454">
        <v>4</v>
      </c>
      <c r="R454">
        <v>1</v>
      </c>
      <c r="S454" t="s">
        <v>25</v>
      </c>
    </row>
    <row r="455" spans="1:19" x14ac:dyDescent="0.25">
      <c r="A455">
        <v>10454</v>
      </c>
      <c r="B455">
        <v>45</v>
      </c>
      <c r="C455" t="s">
        <v>19</v>
      </c>
      <c r="D455" t="s">
        <v>41</v>
      </c>
      <c r="E455" t="s">
        <v>21</v>
      </c>
      <c r="F455" t="s">
        <v>39</v>
      </c>
      <c r="G455" t="s">
        <v>38</v>
      </c>
      <c r="H455">
        <v>128699</v>
      </c>
      <c r="I455">
        <v>27632</v>
      </c>
      <c r="J455">
        <v>24</v>
      </c>
      <c r="K455">
        <v>13</v>
      </c>
      <c r="L455">
        <v>2</v>
      </c>
      <c r="M455" t="s">
        <v>25</v>
      </c>
      <c r="N455">
        <v>4</v>
      </c>
      <c r="O455">
        <v>8</v>
      </c>
      <c r="P455">
        <v>10</v>
      </c>
      <c r="Q455">
        <v>3</v>
      </c>
      <c r="R455">
        <v>3</v>
      </c>
      <c r="S455" t="s">
        <v>24</v>
      </c>
    </row>
    <row r="456" spans="1:19" x14ac:dyDescent="0.25">
      <c r="A456">
        <v>10455</v>
      </c>
      <c r="B456">
        <v>32</v>
      </c>
      <c r="C456" t="s">
        <v>31</v>
      </c>
      <c r="D456" t="s">
        <v>34</v>
      </c>
      <c r="E456" t="s">
        <v>21</v>
      </c>
      <c r="F456" t="s">
        <v>35</v>
      </c>
      <c r="G456" t="s">
        <v>30</v>
      </c>
      <c r="H456">
        <v>104110</v>
      </c>
      <c r="I456">
        <v>12638</v>
      </c>
      <c r="J456">
        <v>19</v>
      </c>
      <c r="K456">
        <v>1</v>
      </c>
      <c r="L456">
        <v>5</v>
      </c>
      <c r="M456" t="s">
        <v>25</v>
      </c>
      <c r="N456">
        <v>4</v>
      </c>
      <c r="O456">
        <v>6</v>
      </c>
      <c r="P456">
        <v>49</v>
      </c>
      <c r="Q456">
        <v>3</v>
      </c>
      <c r="R456">
        <v>1</v>
      </c>
      <c r="S456" t="s">
        <v>25</v>
      </c>
    </row>
    <row r="457" spans="1:19" x14ac:dyDescent="0.25">
      <c r="A457">
        <v>10456</v>
      </c>
      <c r="B457">
        <v>33</v>
      </c>
      <c r="C457" t="s">
        <v>19</v>
      </c>
      <c r="D457" t="s">
        <v>20</v>
      </c>
      <c r="E457" t="s">
        <v>33</v>
      </c>
      <c r="F457" t="s">
        <v>39</v>
      </c>
      <c r="G457" t="s">
        <v>38</v>
      </c>
      <c r="H457">
        <v>41865</v>
      </c>
      <c r="I457">
        <v>6533</v>
      </c>
      <c r="J457">
        <v>19</v>
      </c>
      <c r="K457">
        <v>8</v>
      </c>
      <c r="L457">
        <v>3</v>
      </c>
      <c r="M457" t="s">
        <v>25</v>
      </c>
      <c r="N457">
        <v>3</v>
      </c>
      <c r="O457">
        <v>28</v>
      </c>
      <c r="P457">
        <v>59</v>
      </c>
      <c r="Q457">
        <v>2</v>
      </c>
      <c r="R457">
        <v>3</v>
      </c>
      <c r="S457" t="s">
        <v>25</v>
      </c>
    </row>
    <row r="458" spans="1:19" x14ac:dyDescent="0.25">
      <c r="A458">
        <v>10457</v>
      </c>
      <c r="B458">
        <v>32</v>
      </c>
      <c r="C458" t="s">
        <v>19</v>
      </c>
      <c r="D458" t="s">
        <v>41</v>
      </c>
      <c r="E458" t="s">
        <v>33</v>
      </c>
      <c r="F458" t="s">
        <v>35</v>
      </c>
      <c r="G458" t="s">
        <v>38</v>
      </c>
      <c r="H458">
        <v>40545</v>
      </c>
      <c r="I458">
        <v>148</v>
      </c>
      <c r="J458">
        <v>18</v>
      </c>
      <c r="K458">
        <v>7</v>
      </c>
      <c r="L458">
        <v>3</v>
      </c>
      <c r="M458" t="s">
        <v>25</v>
      </c>
      <c r="N458">
        <v>4</v>
      </c>
      <c r="O458">
        <v>36</v>
      </c>
      <c r="P458">
        <v>46</v>
      </c>
      <c r="Q458">
        <v>2</v>
      </c>
      <c r="R458">
        <v>2</v>
      </c>
      <c r="S458" t="s">
        <v>25</v>
      </c>
    </row>
    <row r="459" spans="1:19" x14ac:dyDescent="0.25">
      <c r="A459">
        <v>10458</v>
      </c>
      <c r="B459">
        <v>21</v>
      </c>
      <c r="C459" t="s">
        <v>19</v>
      </c>
      <c r="D459" t="s">
        <v>26</v>
      </c>
      <c r="E459" t="s">
        <v>33</v>
      </c>
      <c r="F459" t="s">
        <v>39</v>
      </c>
      <c r="G459" t="s">
        <v>30</v>
      </c>
      <c r="H459">
        <v>36672</v>
      </c>
      <c r="I459">
        <v>25287</v>
      </c>
      <c r="J459">
        <v>2</v>
      </c>
      <c r="K459">
        <v>10</v>
      </c>
      <c r="L459">
        <v>3</v>
      </c>
      <c r="M459" t="s">
        <v>25</v>
      </c>
      <c r="N459">
        <v>2</v>
      </c>
      <c r="O459">
        <v>39</v>
      </c>
      <c r="P459">
        <v>7</v>
      </c>
      <c r="Q459">
        <v>4</v>
      </c>
      <c r="R459">
        <v>3</v>
      </c>
      <c r="S459" t="s">
        <v>25</v>
      </c>
    </row>
    <row r="460" spans="1:19" x14ac:dyDescent="0.25">
      <c r="A460">
        <v>10459</v>
      </c>
      <c r="B460">
        <v>57</v>
      </c>
      <c r="C460" t="s">
        <v>31</v>
      </c>
      <c r="D460" t="s">
        <v>20</v>
      </c>
      <c r="E460" t="s">
        <v>21</v>
      </c>
      <c r="F460" t="s">
        <v>22</v>
      </c>
      <c r="G460" t="s">
        <v>23</v>
      </c>
      <c r="H460">
        <v>105321</v>
      </c>
      <c r="I460">
        <v>4893</v>
      </c>
      <c r="J460">
        <v>4</v>
      </c>
      <c r="K460">
        <v>6</v>
      </c>
      <c r="L460">
        <v>3</v>
      </c>
      <c r="M460" t="s">
        <v>25</v>
      </c>
      <c r="N460">
        <v>3</v>
      </c>
      <c r="O460">
        <v>39</v>
      </c>
      <c r="P460">
        <v>28</v>
      </c>
      <c r="Q460">
        <v>4</v>
      </c>
      <c r="R460">
        <v>4</v>
      </c>
      <c r="S460" t="s">
        <v>25</v>
      </c>
    </row>
    <row r="461" spans="1:19" x14ac:dyDescent="0.25">
      <c r="A461">
        <v>10460</v>
      </c>
      <c r="B461">
        <v>26</v>
      </c>
      <c r="C461" t="s">
        <v>31</v>
      </c>
      <c r="D461" t="s">
        <v>34</v>
      </c>
      <c r="E461" t="s">
        <v>21</v>
      </c>
      <c r="F461" t="s">
        <v>35</v>
      </c>
      <c r="G461" t="s">
        <v>23</v>
      </c>
      <c r="H461">
        <v>123092</v>
      </c>
      <c r="I461">
        <v>44653</v>
      </c>
      <c r="J461">
        <v>12</v>
      </c>
      <c r="K461">
        <v>10</v>
      </c>
      <c r="L461">
        <v>3</v>
      </c>
      <c r="M461" t="s">
        <v>25</v>
      </c>
      <c r="N461">
        <v>2</v>
      </c>
      <c r="O461">
        <v>29</v>
      </c>
      <c r="P461">
        <v>13</v>
      </c>
      <c r="Q461">
        <v>4</v>
      </c>
      <c r="R461">
        <v>3</v>
      </c>
      <c r="S461" t="s">
        <v>25</v>
      </c>
    </row>
    <row r="462" spans="1:19" x14ac:dyDescent="0.25">
      <c r="A462">
        <v>10461</v>
      </c>
      <c r="B462">
        <v>28</v>
      </c>
      <c r="C462" t="s">
        <v>19</v>
      </c>
      <c r="D462" t="s">
        <v>41</v>
      </c>
      <c r="E462" t="s">
        <v>27</v>
      </c>
      <c r="F462" t="s">
        <v>35</v>
      </c>
      <c r="G462" t="s">
        <v>38</v>
      </c>
      <c r="H462">
        <v>71878</v>
      </c>
      <c r="I462">
        <v>7928</v>
      </c>
      <c r="J462">
        <v>2</v>
      </c>
      <c r="K462">
        <v>5</v>
      </c>
      <c r="L462">
        <v>4</v>
      </c>
      <c r="M462" t="s">
        <v>25</v>
      </c>
      <c r="N462">
        <v>2</v>
      </c>
      <c r="O462">
        <v>24</v>
      </c>
      <c r="P462">
        <v>18</v>
      </c>
      <c r="Q462">
        <v>1</v>
      </c>
      <c r="R462">
        <v>4</v>
      </c>
      <c r="S462" t="s">
        <v>24</v>
      </c>
    </row>
    <row r="463" spans="1:19" x14ac:dyDescent="0.25">
      <c r="A463">
        <v>10462</v>
      </c>
      <c r="B463">
        <v>20</v>
      </c>
      <c r="C463" t="s">
        <v>19</v>
      </c>
      <c r="D463" t="s">
        <v>20</v>
      </c>
      <c r="E463" t="s">
        <v>33</v>
      </c>
      <c r="F463" t="s">
        <v>35</v>
      </c>
      <c r="G463" t="s">
        <v>30</v>
      </c>
      <c r="H463">
        <v>28006</v>
      </c>
      <c r="I463">
        <v>14080</v>
      </c>
      <c r="J463">
        <v>10</v>
      </c>
      <c r="K463">
        <v>1</v>
      </c>
      <c r="L463">
        <v>5</v>
      </c>
      <c r="M463" t="s">
        <v>25</v>
      </c>
      <c r="N463">
        <v>1</v>
      </c>
      <c r="O463">
        <v>17</v>
      </c>
      <c r="P463">
        <v>40</v>
      </c>
      <c r="Q463">
        <v>2</v>
      </c>
      <c r="R463">
        <v>4</v>
      </c>
      <c r="S463" t="s">
        <v>24</v>
      </c>
    </row>
    <row r="464" spans="1:19" x14ac:dyDescent="0.25">
      <c r="A464">
        <v>10463</v>
      </c>
      <c r="B464">
        <v>32</v>
      </c>
      <c r="C464" t="s">
        <v>31</v>
      </c>
      <c r="D464" t="s">
        <v>26</v>
      </c>
      <c r="E464" t="s">
        <v>27</v>
      </c>
      <c r="F464" t="s">
        <v>39</v>
      </c>
      <c r="G464" t="s">
        <v>30</v>
      </c>
      <c r="H464">
        <v>89056</v>
      </c>
      <c r="I464">
        <v>13092</v>
      </c>
      <c r="J464">
        <v>14</v>
      </c>
      <c r="K464">
        <v>10</v>
      </c>
      <c r="L464">
        <v>3</v>
      </c>
      <c r="M464" t="s">
        <v>25</v>
      </c>
      <c r="N464">
        <v>3</v>
      </c>
      <c r="O464">
        <v>5</v>
      </c>
      <c r="P464">
        <v>40</v>
      </c>
      <c r="Q464">
        <v>3</v>
      </c>
      <c r="R464">
        <v>1</v>
      </c>
      <c r="S464" t="s">
        <v>25</v>
      </c>
    </row>
    <row r="465" spans="1:19" x14ac:dyDescent="0.25">
      <c r="A465">
        <v>10464</v>
      </c>
      <c r="B465">
        <v>52</v>
      </c>
      <c r="C465" t="s">
        <v>19</v>
      </c>
      <c r="D465" t="s">
        <v>20</v>
      </c>
      <c r="E465" t="s">
        <v>33</v>
      </c>
      <c r="F465" t="s">
        <v>39</v>
      </c>
      <c r="G465" t="s">
        <v>38</v>
      </c>
      <c r="H465">
        <v>25256</v>
      </c>
      <c r="I465">
        <v>48698</v>
      </c>
      <c r="J465">
        <v>0</v>
      </c>
      <c r="K465">
        <v>4</v>
      </c>
      <c r="L465">
        <v>3</v>
      </c>
      <c r="M465" t="s">
        <v>25</v>
      </c>
      <c r="N465">
        <v>3</v>
      </c>
      <c r="O465">
        <v>8</v>
      </c>
      <c r="P465">
        <v>53</v>
      </c>
      <c r="Q465">
        <v>4</v>
      </c>
      <c r="R465">
        <v>4</v>
      </c>
      <c r="S465" t="s">
        <v>25</v>
      </c>
    </row>
    <row r="466" spans="1:19" x14ac:dyDescent="0.25">
      <c r="A466">
        <v>10465</v>
      </c>
      <c r="B466">
        <v>22</v>
      </c>
      <c r="C466" t="s">
        <v>19</v>
      </c>
      <c r="D466" t="s">
        <v>34</v>
      </c>
      <c r="E466" t="s">
        <v>40</v>
      </c>
      <c r="F466" t="s">
        <v>22</v>
      </c>
      <c r="G466" t="s">
        <v>30</v>
      </c>
      <c r="H466">
        <v>10256</v>
      </c>
      <c r="I466">
        <v>2460</v>
      </c>
      <c r="J466">
        <v>17</v>
      </c>
      <c r="K466">
        <v>1</v>
      </c>
      <c r="L466">
        <v>4</v>
      </c>
      <c r="M466" t="s">
        <v>25</v>
      </c>
      <c r="N466">
        <v>1</v>
      </c>
      <c r="O466">
        <v>17</v>
      </c>
      <c r="P466">
        <v>53</v>
      </c>
      <c r="Q466">
        <v>1</v>
      </c>
      <c r="R466">
        <v>1</v>
      </c>
      <c r="S466" t="s">
        <v>24</v>
      </c>
    </row>
    <row r="467" spans="1:19" x14ac:dyDescent="0.25">
      <c r="A467">
        <v>10466</v>
      </c>
      <c r="B467">
        <v>34</v>
      </c>
      <c r="C467" t="s">
        <v>31</v>
      </c>
      <c r="D467" t="s">
        <v>26</v>
      </c>
      <c r="E467" t="s">
        <v>33</v>
      </c>
      <c r="F467" t="s">
        <v>35</v>
      </c>
      <c r="G467" t="s">
        <v>38</v>
      </c>
      <c r="H467">
        <v>32345</v>
      </c>
      <c r="I467">
        <v>8983</v>
      </c>
      <c r="J467">
        <v>21</v>
      </c>
      <c r="K467">
        <v>13</v>
      </c>
      <c r="L467">
        <v>2</v>
      </c>
      <c r="M467" t="s">
        <v>25</v>
      </c>
      <c r="N467">
        <v>4</v>
      </c>
      <c r="O467">
        <v>12</v>
      </c>
      <c r="P467">
        <v>21</v>
      </c>
      <c r="Q467">
        <v>2</v>
      </c>
      <c r="R467">
        <v>3</v>
      </c>
      <c r="S467" t="s">
        <v>25</v>
      </c>
    </row>
    <row r="468" spans="1:19" x14ac:dyDescent="0.25">
      <c r="A468">
        <v>10467</v>
      </c>
      <c r="B468">
        <v>46</v>
      </c>
      <c r="C468" t="s">
        <v>31</v>
      </c>
      <c r="D468" t="s">
        <v>28</v>
      </c>
      <c r="E468" t="s">
        <v>27</v>
      </c>
      <c r="F468" t="s">
        <v>22</v>
      </c>
      <c r="G468" t="s">
        <v>30</v>
      </c>
      <c r="H468">
        <v>62108</v>
      </c>
      <c r="I468">
        <v>29672</v>
      </c>
      <c r="J468">
        <v>12</v>
      </c>
      <c r="K468">
        <v>2</v>
      </c>
      <c r="L468">
        <v>3</v>
      </c>
      <c r="M468" t="s">
        <v>25</v>
      </c>
      <c r="N468">
        <v>2</v>
      </c>
      <c r="O468">
        <v>7</v>
      </c>
      <c r="P468">
        <v>8</v>
      </c>
      <c r="Q468">
        <v>4</v>
      </c>
      <c r="R468">
        <v>2</v>
      </c>
      <c r="S468" t="s">
        <v>25</v>
      </c>
    </row>
    <row r="469" spans="1:19" x14ac:dyDescent="0.25">
      <c r="A469">
        <v>10468</v>
      </c>
      <c r="B469">
        <v>36</v>
      </c>
      <c r="C469" t="s">
        <v>19</v>
      </c>
      <c r="D469" t="s">
        <v>41</v>
      </c>
      <c r="E469" t="s">
        <v>21</v>
      </c>
      <c r="F469" t="s">
        <v>39</v>
      </c>
      <c r="G469" t="s">
        <v>38</v>
      </c>
      <c r="H469">
        <v>91845</v>
      </c>
      <c r="I469">
        <v>42856</v>
      </c>
      <c r="J469">
        <v>5</v>
      </c>
      <c r="K469">
        <v>5</v>
      </c>
      <c r="L469">
        <v>3</v>
      </c>
      <c r="M469" t="s">
        <v>25</v>
      </c>
      <c r="N469">
        <v>3</v>
      </c>
      <c r="O469">
        <v>35</v>
      </c>
      <c r="P469">
        <v>8</v>
      </c>
      <c r="Q469">
        <v>3</v>
      </c>
      <c r="R469">
        <v>2</v>
      </c>
      <c r="S469" t="s">
        <v>25</v>
      </c>
    </row>
    <row r="470" spans="1:19" x14ac:dyDescent="0.25">
      <c r="A470">
        <v>10469</v>
      </c>
      <c r="B470">
        <v>47</v>
      </c>
      <c r="C470" t="s">
        <v>19</v>
      </c>
      <c r="D470" t="s">
        <v>26</v>
      </c>
      <c r="E470" t="s">
        <v>27</v>
      </c>
      <c r="F470" t="s">
        <v>39</v>
      </c>
      <c r="G470" t="s">
        <v>30</v>
      </c>
      <c r="H470">
        <v>84217</v>
      </c>
      <c r="I470">
        <v>26020</v>
      </c>
      <c r="J470">
        <v>1</v>
      </c>
      <c r="K470">
        <v>0</v>
      </c>
      <c r="L470">
        <v>4</v>
      </c>
      <c r="M470" t="s">
        <v>24</v>
      </c>
      <c r="N470">
        <v>4</v>
      </c>
      <c r="O470">
        <v>11</v>
      </c>
      <c r="P470">
        <v>20</v>
      </c>
      <c r="Q470">
        <v>2</v>
      </c>
      <c r="R470">
        <v>4</v>
      </c>
      <c r="S470" t="s">
        <v>25</v>
      </c>
    </row>
    <row r="471" spans="1:19" x14ac:dyDescent="0.25">
      <c r="A471">
        <v>10470</v>
      </c>
      <c r="B471">
        <v>43</v>
      </c>
      <c r="C471" t="s">
        <v>19</v>
      </c>
      <c r="D471" t="s">
        <v>41</v>
      </c>
      <c r="E471" t="s">
        <v>40</v>
      </c>
      <c r="F471" t="s">
        <v>39</v>
      </c>
      <c r="G471" t="s">
        <v>38</v>
      </c>
      <c r="H471">
        <v>11848</v>
      </c>
      <c r="I471">
        <v>17682</v>
      </c>
      <c r="J471">
        <v>6</v>
      </c>
      <c r="K471">
        <v>8</v>
      </c>
      <c r="L471">
        <v>3</v>
      </c>
      <c r="M471" t="s">
        <v>25</v>
      </c>
      <c r="N471">
        <v>4</v>
      </c>
      <c r="O471">
        <v>23</v>
      </c>
      <c r="P471">
        <v>6</v>
      </c>
      <c r="Q471">
        <v>2</v>
      </c>
      <c r="R471">
        <v>3</v>
      </c>
      <c r="S471" t="s">
        <v>25</v>
      </c>
    </row>
    <row r="472" spans="1:19" x14ac:dyDescent="0.25">
      <c r="A472">
        <v>10471</v>
      </c>
      <c r="B472">
        <v>50</v>
      </c>
      <c r="C472" t="s">
        <v>19</v>
      </c>
      <c r="D472" t="s">
        <v>20</v>
      </c>
      <c r="E472" t="s">
        <v>29</v>
      </c>
      <c r="F472" t="s">
        <v>22</v>
      </c>
      <c r="G472" t="s">
        <v>30</v>
      </c>
      <c r="H472">
        <v>165439</v>
      </c>
      <c r="I472">
        <v>12334</v>
      </c>
      <c r="J472">
        <v>13</v>
      </c>
      <c r="K472">
        <v>11</v>
      </c>
      <c r="L472">
        <v>4</v>
      </c>
      <c r="M472" t="s">
        <v>25</v>
      </c>
      <c r="N472">
        <v>2</v>
      </c>
      <c r="O472">
        <v>26</v>
      </c>
      <c r="P472">
        <v>10</v>
      </c>
      <c r="Q472">
        <v>4</v>
      </c>
      <c r="R472">
        <v>3</v>
      </c>
      <c r="S472" t="s">
        <v>25</v>
      </c>
    </row>
    <row r="473" spans="1:19" x14ac:dyDescent="0.25">
      <c r="A473">
        <v>10472</v>
      </c>
      <c r="B473">
        <v>55</v>
      </c>
      <c r="C473" t="s">
        <v>19</v>
      </c>
      <c r="D473" t="s">
        <v>20</v>
      </c>
      <c r="E473" t="s">
        <v>33</v>
      </c>
      <c r="F473" t="s">
        <v>39</v>
      </c>
      <c r="G473" t="s">
        <v>38</v>
      </c>
      <c r="H473">
        <v>34156</v>
      </c>
      <c r="I473">
        <v>41616</v>
      </c>
      <c r="J473">
        <v>6</v>
      </c>
      <c r="K473">
        <v>9</v>
      </c>
      <c r="L473">
        <v>3</v>
      </c>
      <c r="M473" t="s">
        <v>25</v>
      </c>
      <c r="N473">
        <v>3</v>
      </c>
      <c r="O473">
        <v>19</v>
      </c>
      <c r="P473">
        <v>25</v>
      </c>
      <c r="Q473">
        <v>3</v>
      </c>
      <c r="R473">
        <v>3</v>
      </c>
      <c r="S473" t="s">
        <v>25</v>
      </c>
    </row>
    <row r="474" spans="1:19" x14ac:dyDescent="0.25">
      <c r="A474">
        <v>10473</v>
      </c>
      <c r="B474">
        <v>47</v>
      </c>
      <c r="C474" t="s">
        <v>31</v>
      </c>
      <c r="D474" t="s">
        <v>34</v>
      </c>
      <c r="E474" t="s">
        <v>33</v>
      </c>
      <c r="F474" t="s">
        <v>39</v>
      </c>
      <c r="G474" t="s">
        <v>30</v>
      </c>
      <c r="H474">
        <v>28022</v>
      </c>
      <c r="I474">
        <v>9475</v>
      </c>
      <c r="J474">
        <v>14</v>
      </c>
      <c r="K474">
        <v>0</v>
      </c>
      <c r="L474">
        <v>4</v>
      </c>
      <c r="M474" t="s">
        <v>24</v>
      </c>
      <c r="N474">
        <v>3</v>
      </c>
      <c r="O474">
        <v>23</v>
      </c>
      <c r="P474">
        <v>22</v>
      </c>
      <c r="Q474">
        <v>2</v>
      </c>
      <c r="R474">
        <v>2</v>
      </c>
      <c r="S474" t="s">
        <v>24</v>
      </c>
    </row>
    <row r="475" spans="1:19" x14ac:dyDescent="0.25">
      <c r="A475">
        <v>10474</v>
      </c>
      <c r="B475">
        <v>48</v>
      </c>
      <c r="C475" t="s">
        <v>19</v>
      </c>
      <c r="D475" t="s">
        <v>20</v>
      </c>
      <c r="E475" t="s">
        <v>27</v>
      </c>
      <c r="F475" t="s">
        <v>22</v>
      </c>
      <c r="G475" t="s">
        <v>38</v>
      </c>
      <c r="H475">
        <v>67234</v>
      </c>
      <c r="I475">
        <v>9180</v>
      </c>
      <c r="J475">
        <v>3</v>
      </c>
      <c r="K475">
        <v>0</v>
      </c>
      <c r="L475">
        <v>2</v>
      </c>
      <c r="M475" t="s">
        <v>25</v>
      </c>
      <c r="N475">
        <v>3</v>
      </c>
      <c r="O475">
        <v>3</v>
      </c>
      <c r="P475">
        <v>27</v>
      </c>
      <c r="Q475">
        <v>2</v>
      </c>
      <c r="R475">
        <v>3</v>
      </c>
      <c r="S475" t="s">
        <v>25</v>
      </c>
    </row>
    <row r="476" spans="1:19" x14ac:dyDescent="0.25">
      <c r="A476">
        <v>10475</v>
      </c>
      <c r="B476">
        <v>43</v>
      </c>
      <c r="C476" t="s">
        <v>19</v>
      </c>
      <c r="D476" t="s">
        <v>20</v>
      </c>
      <c r="E476" t="s">
        <v>33</v>
      </c>
      <c r="F476" t="s">
        <v>39</v>
      </c>
      <c r="G476" t="s">
        <v>38</v>
      </c>
      <c r="H476">
        <v>30241</v>
      </c>
      <c r="I476">
        <v>22331</v>
      </c>
      <c r="J476">
        <v>2</v>
      </c>
      <c r="K476">
        <v>0</v>
      </c>
      <c r="L476">
        <v>5</v>
      </c>
      <c r="M476" t="s">
        <v>24</v>
      </c>
      <c r="N476">
        <v>4</v>
      </c>
      <c r="O476">
        <v>22</v>
      </c>
      <c r="P476">
        <v>18</v>
      </c>
      <c r="Q476">
        <v>2</v>
      </c>
      <c r="R476">
        <v>3</v>
      </c>
      <c r="S476" t="s">
        <v>25</v>
      </c>
    </row>
    <row r="477" spans="1:19" x14ac:dyDescent="0.25">
      <c r="A477">
        <v>10476</v>
      </c>
      <c r="B477">
        <v>57</v>
      </c>
      <c r="C477" t="s">
        <v>31</v>
      </c>
      <c r="D477" t="s">
        <v>20</v>
      </c>
      <c r="E477" t="s">
        <v>36</v>
      </c>
      <c r="F477" t="s">
        <v>39</v>
      </c>
      <c r="G477" t="s">
        <v>38</v>
      </c>
      <c r="H477">
        <v>54611</v>
      </c>
      <c r="I477">
        <v>39236</v>
      </c>
      <c r="J477">
        <v>5</v>
      </c>
      <c r="K477">
        <v>14</v>
      </c>
      <c r="L477">
        <v>4</v>
      </c>
      <c r="M477" t="s">
        <v>25</v>
      </c>
      <c r="N477">
        <v>3</v>
      </c>
      <c r="O477">
        <v>13</v>
      </c>
      <c r="P477">
        <v>56</v>
      </c>
      <c r="Q477">
        <v>3</v>
      </c>
      <c r="R477">
        <v>3</v>
      </c>
      <c r="S477" t="s">
        <v>25</v>
      </c>
    </row>
    <row r="478" spans="1:19" x14ac:dyDescent="0.25">
      <c r="A478">
        <v>10477</v>
      </c>
      <c r="B478">
        <v>38</v>
      </c>
      <c r="C478" t="s">
        <v>31</v>
      </c>
      <c r="D478" t="s">
        <v>20</v>
      </c>
      <c r="E478" t="s">
        <v>36</v>
      </c>
      <c r="F478" t="s">
        <v>39</v>
      </c>
      <c r="G478" t="s">
        <v>38</v>
      </c>
      <c r="H478">
        <v>49001</v>
      </c>
      <c r="I478">
        <v>43744</v>
      </c>
      <c r="J478">
        <v>1</v>
      </c>
      <c r="K478">
        <v>0</v>
      </c>
      <c r="L478">
        <v>4</v>
      </c>
      <c r="M478" t="s">
        <v>25</v>
      </c>
      <c r="N478">
        <v>4</v>
      </c>
      <c r="O478">
        <v>7</v>
      </c>
      <c r="P478">
        <v>28</v>
      </c>
      <c r="Q478">
        <v>4</v>
      </c>
      <c r="R478">
        <v>4</v>
      </c>
      <c r="S478" t="s">
        <v>25</v>
      </c>
    </row>
    <row r="479" spans="1:19" x14ac:dyDescent="0.25">
      <c r="A479">
        <v>10478</v>
      </c>
      <c r="B479">
        <v>24</v>
      </c>
      <c r="C479" t="s">
        <v>19</v>
      </c>
      <c r="D479" t="s">
        <v>41</v>
      </c>
      <c r="E479" t="s">
        <v>33</v>
      </c>
      <c r="F479" t="s">
        <v>35</v>
      </c>
      <c r="G479" t="s">
        <v>23</v>
      </c>
      <c r="H479">
        <v>31452</v>
      </c>
      <c r="I479">
        <v>4019</v>
      </c>
      <c r="J479">
        <v>3</v>
      </c>
      <c r="K479">
        <v>1</v>
      </c>
      <c r="L479">
        <v>5</v>
      </c>
      <c r="M479" t="s">
        <v>25</v>
      </c>
      <c r="N479">
        <v>3</v>
      </c>
      <c r="O479">
        <v>26</v>
      </c>
      <c r="P479">
        <v>5</v>
      </c>
      <c r="Q479">
        <v>1</v>
      </c>
      <c r="R479">
        <v>3</v>
      </c>
      <c r="S479" t="s">
        <v>24</v>
      </c>
    </row>
    <row r="480" spans="1:19" x14ac:dyDescent="0.25">
      <c r="A480">
        <v>10479</v>
      </c>
      <c r="B480">
        <v>45</v>
      </c>
      <c r="C480" t="s">
        <v>19</v>
      </c>
      <c r="D480" t="s">
        <v>20</v>
      </c>
      <c r="E480" t="s">
        <v>21</v>
      </c>
      <c r="F480" t="s">
        <v>39</v>
      </c>
      <c r="G480" t="s">
        <v>30</v>
      </c>
      <c r="H480">
        <v>90916</v>
      </c>
      <c r="I480">
        <v>37696</v>
      </c>
      <c r="J480">
        <v>9</v>
      </c>
      <c r="K480">
        <v>8</v>
      </c>
      <c r="L480">
        <v>2</v>
      </c>
      <c r="M480" t="s">
        <v>25</v>
      </c>
      <c r="N480">
        <v>3</v>
      </c>
      <c r="O480">
        <v>16</v>
      </c>
      <c r="P480">
        <v>28</v>
      </c>
      <c r="Q480">
        <v>3</v>
      </c>
      <c r="R480">
        <v>4</v>
      </c>
      <c r="S480" t="s">
        <v>25</v>
      </c>
    </row>
    <row r="481" spans="1:19" x14ac:dyDescent="0.25">
      <c r="A481">
        <v>10480</v>
      </c>
      <c r="B481">
        <v>40</v>
      </c>
      <c r="C481" t="s">
        <v>19</v>
      </c>
      <c r="D481" t="s">
        <v>34</v>
      </c>
      <c r="E481" t="s">
        <v>33</v>
      </c>
      <c r="F481" t="s">
        <v>22</v>
      </c>
      <c r="G481" t="s">
        <v>38</v>
      </c>
      <c r="H481">
        <v>25897</v>
      </c>
      <c r="I481">
        <v>16799</v>
      </c>
      <c r="J481">
        <v>20</v>
      </c>
      <c r="K481">
        <v>6</v>
      </c>
      <c r="L481">
        <v>2</v>
      </c>
      <c r="M481" t="s">
        <v>25</v>
      </c>
      <c r="N481">
        <v>4</v>
      </c>
      <c r="O481">
        <v>25</v>
      </c>
      <c r="P481">
        <v>29</v>
      </c>
      <c r="Q481">
        <v>2</v>
      </c>
      <c r="R481">
        <v>4</v>
      </c>
      <c r="S481" t="s">
        <v>25</v>
      </c>
    </row>
    <row r="482" spans="1:19" x14ac:dyDescent="0.25">
      <c r="A482">
        <v>10481</v>
      </c>
      <c r="B482">
        <v>57</v>
      </c>
      <c r="C482" t="s">
        <v>19</v>
      </c>
      <c r="D482" t="s">
        <v>34</v>
      </c>
      <c r="E482" t="s">
        <v>27</v>
      </c>
      <c r="F482" t="s">
        <v>35</v>
      </c>
      <c r="G482" t="s">
        <v>30</v>
      </c>
      <c r="H482">
        <v>62576</v>
      </c>
      <c r="I482">
        <v>43094</v>
      </c>
      <c r="J482">
        <v>18</v>
      </c>
      <c r="K482">
        <v>1</v>
      </c>
      <c r="L482">
        <v>3</v>
      </c>
      <c r="M482" t="s">
        <v>25</v>
      </c>
      <c r="N482">
        <v>3</v>
      </c>
      <c r="O482">
        <v>31</v>
      </c>
      <c r="P482">
        <v>41</v>
      </c>
      <c r="Q482">
        <v>4</v>
      </c>
      <c r="R482">
        <v>3</v>
      </c>
      <c r="S482" t="s">
        <v>25</v>
      </c>
    </row>
    <row r="483" spans="1:19" x14ac:dyDescent="0.25">
      <c r="A483">
        <v>10482</v>
      </c>
      <c r="B483">
        <v>56</v>
      </c>
      <c r="C483" t="s">
        <v>19</v>
      </c>
      <c r="D483" t="s">
        <v>20</v>
      </c>
      <c r="E483" t="s">
        <v>36</v>
      </c>
      <c r="F483" t="s">
        <v>22</v>
      </c>
      <c r="G483" t="s">
        <v>30</v>
      </c>
      <c r="H483">
        <v>50591</v>
      </c>
      <c r="I483">
        <v>41340</v>
      </c>
      <c r="J483">
        <v>11</v>
      </c>
      <c r="K483">
        <v>10</v>
      </c>
      <c r="L483">
        <v>5</v>
      </c>
      <c r="M483" t="s">
        <v>24</v>
      </c>
      <c r="N483">
        <v>4</v>
      </c>
      <c r="O483">
        <v>22</v>
      </c>
      <c r="P483">
        <v>38</v>
      </c>
      <c r="Q483">
        <v>1</v>
      </c>
      <c r="R483">
        <v>2</v>
      </c>
      <c r="S483" t="s">
        <v>25</v>
      </c>
    </row>
    <row r="484" spans="1:19" x14ac:dyDescent="0.25">
      <c r="A484">
        <v>10483</v>
      </c>
      <c r="B484">
        <v>47</v>
      </c>
      <c r="C484" t="s">
        <v>19</v>
      </c>
      <c r="D484" t="s">
        <v>32</v>
      </c>
      <c r="E484" t="s">
        <v>27</v>
      </c>
      <c r="F484" t="s">
        <v>35</v>
      </c>
      <c r="G484" t="s">
        <v>23</v>
      </c>
      <c r="H484">
        <v>80157</v>
      </c>
      <c r="I484">
        <v>28083</v>
      </c>
      <c r="J484">
        <v>0</v>
      </c>
      <c r="K484">
        <v>2</v>
      </c>
      <c r="L484">
        <v>3</v>
      </c>
      <c r="M484" t="s">
        <v>24</v>
      </c>
      <c r="N484">
        <v>1</v>
      </c>
      <c r="O484">
        <v>17</v>
      </c>
      <c r="P484">
        <v>48</v>
      </c>
      <c r="Q484">
        <v>1</v>
      </c>
      <c r="R484">
        <v>3</v>
      </c>
      <c r="S484" t="s">
        <v>24</v>
      </c>
    </row>
    <row r="485" spans="1:19" x14ac:dyDescent="0.25">
      <c r="A485">
        <v>10484</v>
      </c>
      <c r="B485">
        <v>35</v>
      </c>
      <c r="C485" t="s">
        <v>19</v>
      </c>
      <c r="D485" t="s">
        <v>28</v>
      </c>
      <c r="E485" t="s">
        <v>36</v>
      </c>
      <c r="F485" t="s">
        <v>35</v>
      </c>
      <c r="G485" t="s">
        <v>38</v>
      </c>
      <c r="H485">
        <v>59120</v>
      </c>
      <c r="I485">
        <v>14674</v>
      </c>
      <c r="J485">
        <v>21</v>
      </c>
      <c r="K485">
        <v>12</v>
      </c>
      <c r="L485">
        <v>3</v>
      </c>
      <c r="M485" t="s">
        <v>25</v>
      </c>
      <c r="N485">
        <v>3</v>
      </c>
      <c r="O485">
        <v>19</v>
      </c>
      <c r="P485">
        <v>22</v>
      </c>
      <c r="Q485">
        <v>3</v>
      </c>
      <c r="R485">
        <v>3</v>
      </c>
      <c r="S485" t="s">
        <v>24</v>
      </c>
    </row>
    <row r="486" spans="1:19" x14ac:dyDescent="0.25">
      <c r="A486">
        <v>10485</v>
      </c>
      <c r="B486">
        <v>57</v>
      </c>
      <c r="C486" t="s">
        <v>31</v>
      </c>
      <c r="D486" t="s">
        <v>20</v>
      </c>
      <c r="E486" t="s">
        <v>27</v>
      </c>
      <c r="F486" t="s">
        <v>35</v>
      </c>
      <c r="G486" t="s">
        <v>30</v>
      </c>
      <c r="H486">
        <v>66142</v>
      </c>
      <c r="I486">
        <v>2484</v>
      </c>
      <c r="J486">
        <v>15</v>
      </c>
      <c r="K486">
        <v>8</v>
      </c>
      <c r="L486">
        <v>4</v>
      </c>
      <c r="M486" t="s">
        <v>25</v>
      </c>
      <c r="N486">
        <v>1</v>
      </c>
      <c r="O486">
        <v>29</v>
      </c>
      <c r="P486">
        <v>20</v>
      </c>
      <c r="Q486">
        <v>3</v>
      </c>
      <c r="R486">
        <v>1</v>
      </c>
      <c r="S486" t="s">
        <v>25</v>
      </c>
    </row>
    <row r="487" spans="1:19" x14ac:dyDescent="0.25">
      <c r="A487">
        <v>10486</v>
      </c>
      <c r="B487">
        <v>52</v>
      </c>
      <c r="C487" t="s">
        <v>31</v>
      </c>
      <c r="D487" t="s">
        <v>26</v>
      </c>
      <c r="E487" t="s">
        <v>33</v>
      </c>
      <c r="F487" t="s">
        <v>39</v>
      </c>
      <c r="G487" t="s">
        <v>30</v>
      </c>
      <c r="H487">
        <v>31312</v>
      </c>
      <c r="I487">
        <v>36331</v>
      </c>
      <c r="J487">
        <v>8</v>
      </c>
      <c r="K487">
        <v>8</v>
      </c>
      <c r="L487">
        <v>3</v>
      </c>
      <c r="M487" t="s">
        <v>24</v>
      </c>
      <c r="N487">
        <v>3</v>
      </c>
      <c r="O487">
        <v>17</v>
      </c>
      <c r="P487">
        <v>38</v>
      </c>
      <c r="Q487">
        <v>4</v>
      </c>
      <c r="R487">
        <v>4</v>
      </c>
      <c r="S487" t="s">
        <v>25</v>
      </c>
    </row>
    <row r="488" spans="1:19" x14ac:dyDescent="0.25">
      <c r="A488">
        <v>10487</v>
      </c>
      <c r="B488">
        <v>29</v>
      </c>
      <c r="C488" t="s">
        <v>19</v>
      </c>
      <c r="D488" t="s">
        <v>34</v>
      </c>
      <c r="E488" t="s">
        <v>21</v>
      </c>
      <c r="F488" t="s">
        <v>39</v>
      </c>
      <c r="G488" t="s">
        <v>38</v>
      </c>
      <c r="H488">
        <v>127820</v>
      </c>
      <c r="I488">
        <v>22113</v>
      </c>
      <c r="J488">
        <v>22</v>
      </c>
      <c r="K488">
        <v>4</v>
      </c>
      <c r="L488">
        <v>2</v>
      </c>
      <c r="M488" t="s">
        <v>25</v>
      </c>
      <c r="N488">
        <v>2</v>
      </c>
      <c r="O488">
        <v>36</v>
      </c>
      <c r="P488">
        <v>53</v>
      </c>
      <c r="Q488">
        <v>1</v>
      </c>
      <c r="R488">
        <v>2</v>
      </c>
      <c r="S488" t="s">
        <v>24</v>
      </c>
    </row>
    <row r="489" spans="1:19" x14ac:dyDescent="0.25">
      <c r="A489">
        <v>10488</v>
      </c>
      <c r="B489">
        <v>20</v>
      </c>
      <c r="C489" t="s">
        <v>19</v>
      </c>
      <c r="D489" t="s">
        <v>41</v>
      </c>
      <c r="E489" t="s">
        <v>33</v>
      </c>
      <c r="F489" t="s">
        <v>35</v>
      </c>
      <c r="G489" t="s">
        <v>30</v>
      </c>
      <c r="H489">
        <v>26868</v>
      </c>
      <c r="I489">
        <v>18526</v>
      </c>
      <c r="J489">
        <v>8</v>
      </c>
      <c r="K489">
        <v>10</v>
      </c>
      <c r="L489">
        <v>4</v>
      </c>
      <c r="M489" t="s">
        <v>25</v>
      </c>
      <c r="N489">
        <v>3</v>
      </c>
      <c r="O489">
        <v>5</v>
      </c>
      <c r="P489">
        <v>21</v>
      </c>
      <c r="Q489">
        <v>3</v>
      </c>
      <c r="R489">
        <v>2</v>
      </c>
      <c r="S489" t="s">
        <v>24</v>
      </c>
    </row>
    <row r="490" spans="1:19" x14ac:dyDescent="0.25">
      <c r="A490">
        <v>10489</v>
      </c>
      <c r="B490">
        <v>32</v>
      </c>
      <c r="C490" t="s">
        <v>19</v>
      </c>
      <c r="D490" t="s">
        <v>41</v>
      </c>
      <c r="E490" t="s">
        <v>27</v>
      </c>
      <c r="F490" t="s">
        <v>22</v>
      </c>
      <c r="G490" t="s">
        <v>38</v>
      </c>
      <c r="H490">
        <v>70532</v>
      </c>
      <c r="I490">
        <v>3271</v>
      </c>
      <c r="J490">
        <v>10</v>
      </c>
      <c r="K490">
        <v>1</v>
      </c>
      <c r="L490">
        <v>3</v>
      </c>
      <c r="M490" t="s">
        <v>25</v>
      </c>
      <c r="N490">
        <v>4</v>
      </c>
      <c r="O490">
        <v>29</v>
      </c>
      <c r="P490">
        <v>9</v>
      </c>
      <c r="Q490">
        <v>3</v>
      </c>
      <c r="R490">
        <v>1</v>
      </c>
      <c r="S490" t="s">
        <v>25</v>
      </c>
    </row>
    <row r="491" spans="1:19" x14ac:dyDescent="0.25">
      <c r="A491">
        <v>10490</v>
      </c>
      <c r="B491">
        <v>49</v>
      </c>
      <c r="C491" t="s">
        <v>31</v>
      </c>
      <c r="D491" t="s">
        <v>20</v>
      </c>
      <c r="E491" t="s">
        <v>36</v>
      </c>
      <c r="F491" t="s">
        <v>35</v>
      </c>
      <c r="G491" t="s">
        <v>30</v>
      </c>
      <c r="H491">
        <v>52399</v>
      </c>
      <c r="I491">
        <v>45541</v>
      </c>
      <c r="J491">
        <v>7</v>
      </c>
      <c r="K491">
        <v>0</v>
      </c>
      <c r="L491">
        <v>3</v>
      </c>
      <c r="M491" t="s">
        <v>25</v>
      </c>
      <c r="N491">
        <v>2</v>
      </c>
      <c r="O491">
        <v>3</v>
      </c>
      <c r="P491">
        <v>40</v>
      </c>
      <c r="Q491">
        <v>4</v>
      </c>
      <c r="R491">
        <v>3</v>
      </c>
      <c r="S491" t="s">
        <v>25</v>
      </c>
    </row>
    <row r="492" spans="1:19" x14ac:dyDescent="0.25">
      <c r="A492">
        <v>10491</v>
      </c>
      <c r="B492">
        <v>52</v>
      </c>
      <c r="C492" t="s">
        <v>19</v>
      </c>
      <c r="D492" t="s">
        <v>20</v>
      </c>
      <c r="E492" t="s">
        <v>27</v>
      </c>
      <c r="F492" t="s">
        <v>22</v>
      </c>
      <c r="G492" t="s">
        <v>38</v>
      </c>
      <c r="H492">
        <v>64576</v>
      </c>
      <c r="I492">
        <v>20054</v>
      </c>
      <c r="J492">
        <v>13</v>
      </c>
      <c r="K492">
        <v>7</v>
      </c>
      <c r="L492">
        <v>1</v>
      </c>
      <c r="M492" t="s">
        <v>24</v>
      </c>
      <c r="N492">
        <v>3</v>
      </c>
      <c r="O492">
        <v>4</v>
      </c>
      <c r="P492">
        <v>34</v>
      </c>
      <c r="Q492">
        <v>2</v>
      </c>
      <c r="R492">
        <v>3</v>
      </c>
      <c r="S492" t="s">
        <v>25</v>
      </c>
    </row>
    <row r="493" spans="1:19" x14ac:dyDescent="0.25">
      <c r="A493">
        <v>10492</v>
      </c>
      <c r="B493">
        <v>56</v>
      </c>
      <c r="C493" t="s">
        <v>31</v>
      </c>
      <c r="D493" t="s">
        <v>34</v>
      </c>
      <c r="E493" t="s">
        <v>33</v>
      </c>
      <c r="F493" t="s">
        <v>22</v>
      </c>
      <c r="G493" t="s">
        <v>30</v>
      </c>
      <c r="H493">
        <v>33009</v>
      </c>
      <c r="I493">
        <v>22465</v>
      </c>
      <c r="J493">
        <v>12</v>
      </c>
      <c r="K493">
        <v>12</v>
      </c>
      <c r="L493">
        <v>5</v>
      </c>
      <c r="M493" t="s">
        <v>25</v>
      </c>
      <c r="N493">
        <v>4</v>
      </c>
      <c r="O493">
        <v>32</v>
      </c>
      <c r="P493">
        <v>26</v>
      </c>
      <c r="Q493">
        <v>1</v>
      </c>
      <c r="R493">
        <v>3</v>
      </c>
      <c r="S493" t="s">
        <v>25</v>
      </c>
    </row>
    <row r="494" spans="1:19" x14ac:dyDescent="0.25">
      <c r="A494">
        <v>10493</v>
      </c>
      <c r="B494">
        <v>27</v>
      </c>
      <c r="C494" t="s">
        <v>19</v>
      </c>
      <c r="D494" t="s">
        <v>26</v>
      </c>
      <c r="E494" t="s">
        <v>36</v>
      </c>
      <c r="F494" t="s">
        <v>22</v>
      </c>
      <c r="G494" t="s">
        <v>23</v>
      </c>
      <c r="H494">
        <v>58746</v>
      </c>
      <c r="I494">
        <v>1160</v>
      </c>
      <c r="J494">
        <v>1</v>
      </c>
      <c r="K494">
        <v>14</v>
      </c>
      <c r="L494">
        <v>3</v>
      </c>
      <c r="M494" t="s">
        <v>25</v>
      </c>
      <c r="N494">
        <v>2</v>
      </c>
      <c r="O494">
        <v>28</v>
      </c>
      <c r="P494">
        <v>12</v>
      </c>
      <c r="Q494">
        <v>3</v>
      </c>
      <c r="R494">
        <v>1</v>
      </c>
      <c r="S494" t="s">
        <v>25</v>
      </c>
    </row>
    <row r="495" spans="1:19" x14ac:dyDescent="0.25">
      <c r="A495">
        <v>10494</v>
      </c>
      <c r="B495">
        <v>21</v>
      </c>
      <c r="C495" t="s">
        <v>19</v>
      </c>
      <c r="D495" t="s">
        <v>41</v>
      </c>
      <c r="E495" t="s">
        <v>27</v>
      </c>
      <c r="F495" t="s">
        <v>22</v>
      </c>
      <c r="G495" t="s">
        <v>30</v>
      </c>
      <c r="H495">
        <v>79231</v>
      </c>
      <c r="I495">
        <v>9001</v>
      </c>
      <c r="J495">
        <v>0</v>
      </c>
      <c r="K495">
        <v>3</v>
      </c>
      <c r="L495">
        <v>2</v>
      </c>
      <c r="M495" t="s">
        <v>25</v>
      </c>
      <c r="N495">
        <v>2</v>
      </c>
      <c r="O495">
        <v>28</v>
      </c>
      <c r="P495">
        <v>42</v>
      </c>
      <c r="Q495">
        <v>3</v>
      </c>
      <c r="R495">
        <v>2</v>
      </c>
      <c r="S495" t="s">
        <v>25</v>
      </c>
    </row>
    <row r="496" spans="1:19" x14ac:dyDescent="0.25">
      <c r="A496">
        <v>10495</v>
      </c>
      <c r="B496">
        <v>27</v>
      </c>
      <c r="C496" t="s">
        <v>19</v>
      </c>
      <c r="D496" t="s">
        <v>41</v>
      </c>
      <c r="E496" t="s">
        <v>21</v>
      </c>
      <c r="F496" t="s">
        <v>39</v>
      </c>
      <c r="G496" t="s">
        <v>23</v>
      </c>
      <c r="H496">
        <v>123359</v>
      </c>
      <c r="I496">
        <v>31740</v>
      </c>
      <c r="J496">
        <v>24</v>
      </c>
      <c r="K496">
        <v>6</v>
      </c>
      <c r="L496">
        <v>3</v>
      </c>
      <c r="M496" t="s">
        <v>25</v>
      </c>
      <c r="N496">
        <v>3</v>
      </c>
      <c r="O496">
        <v>13</v>
      </c>
      <c r="P496">
        <v>51</v>
      </c>
      <c r="Q496">
        <v>3</v>
      </c>
      <c r="R496">
        <v>2</v>
      </c>
      <c r="S496" t="s">
        <v>25</v>
      </c>
    </row>
    <row r="497" spans="1:19" x14ac:dyDescent="0.25">
      <c r="A497">
        <v>10496</v>
      </c>
      <c r="B497">
        <v>38</v>
      </c>
      <c r="C497" t="s">
        <v>31</v>
      </c>
      <c r="D497" t="s">
        <v>32</v>
      </c>
      <c r="E497" t="s">
        <v>33</v>
      </c>
      <c r="F497" t="s">
        <v>39</v>
      </c>
      <c r="G497" t="s">
        <v>30</v>
      </c>
      <c r="H497">
        <v>30794</v>
      </c>
      <c r="I497">
        <v>684</v>
      </c>
      <c r="J497">
        <v>12</v>
      </c>
      <c r="K497">
        <v>9</v>
      </c>
      <c r="L497">
        <v>3</v>
      </c>
      <c r="M497" t="s">
        <v>24</v>
      </c>
      <c r="N497">
        <v>4</v>
      </c>
      <c r="O497">
        <v>7</v>
      </c>
      <c r="P497">
        <v>50</v>
      </c>
      <c r="Q497">
        <v>1</v>
      </c>
      <c r="R497">
        <v>2</v>
      </c>
      <c r="S497" t="s">
        <v>25</v>
      </c>
    </row>
    <row r="498" spans="1:19" x14ac:dyDescent="0.25">
      <c r="A498">
        <v>10497</v>
      </c>
      <c r="B498">
        <v>23</v>
      </c>
      <c r="C498" t="s">
        <v>19</v>
      </c>
      <c r="D498" t="s">
        <v>34</v>
      </c>
      <c r="E498" t="s">
        <v>27</v>
      </c>
      <c r="F498" t="s">
        <v>39</v>
      </c>
      <c r="G498" t="s">
        <v>23</v>
      </c>
      <c r="H498">
        <v>69596</v>
      </c>
      <c r="I498">
        <v>41029</v>
      </c>
      <c r="J498">
        <v>5</v>
      </c>
      <c r="K498">
        <v>6</v>
      </c>
      <c r="L498">
        <v>3</v>
      </c>
      <c r="M498" t="s">
        <v>24</v>
      </c>
      <c r="N498">
        <v>2</v>
      </c>
      <c r="O498">
        <v>24</v>
      </c>
      <c r="P498">
        <v>9</v>
      </c>
      <c r="Q498">
        <v>2</v>
      </c>
      <c r="R498">
        <v>4</v>
      </c>
      <c r="S498" t="s">
        <v>25</v>
      </c>
    </row>
    <row r="499" spans="1:19" x14ac:dyDescent="0.25">
      <c r="A499">
        <v>10498</v>
      </c>
      <c r="B499">
        <v>46</v>
      </c>
      <c r="C499" t="s">
        <v>19</v>
      </c>
      <c r="D499" t="s">
        <v>20</v>
      </c>
      <c r="E499" t="s">
        <v>33</v>
      </c>
      <c r="F499" t="s">
        <v>22</v>
      </c>
      <c r="G499" t="s">
        <v>38</v>
      </c>
      <c r="H499">
        <v>25797</v>
      </c>
      <c r="I499">
        <v>40818</v>
      </c>
      <c r="J499">
        <v>17</v>
      </c>
      <c r="K499">
        <v>0</v>
      </c>
      <c r="L499">
        <v>3</v>
      </c>
      <c r="M499" t="s">
        <v>25</v>
      </c>
      <c r="N499">
        <v>3</v>
      </c>
      <c r="O499">
        <v>2</v>
      </c>
      <c r="P499">
        <v>37</v>
      </c>
      <c r="Q499">
        <v>3</v>
      </c>
      <c r="R499">
        <v>3</v>
      </c>
      <c r="S499" t="s">
        <v>25</v>
      </c>
    </row>
    <row r="500" spans="1:19" x14ac:dyDescent="0.25">
      <c r="A500">
        <v>10499</v>
      </c>
      <c r="B500">
        <v>54</v>
      </c>
      <c r="C500" t="s">
        <v>19</v>
      </c>
      <c r="D500" t="s">
        <v>20</v>
      </c>
      <c r="E500" t="s">
        <v>29</v>
      </c>
      <c r="F500" t="s">
        <v>35</v>
      </c>
      <c r="G500" t="s">
        <v>23</v>
      </c>
      <c r="H500">
        <v>168710</v>
      </c>
      <c r="I500">
        <v>37180</v>
      </c>
      <c r="J500">
        <v>11</v>
      </c>
      <c r="K500">
        <v>8</v>
      </c>
      <c r="L500">
        <v>3</v>
      </c>
      <c r="M500" t="s">
        <v>25</v>
      </c>
      <c r="N500">
        <v>2</v>
      </c>
      <c r="O500">
        <v>31</v>
      </c>
      <c r="P500">
        <v>8</v>
      </c>
      <c r="Q500">
        <v>4</v>
      </c>
      <c r="R500">
        <v>1</v>
      </c>
      <c r="S500" t="s">
        <v>25</v>
      </c>
    </row>
    <row r="501" spans="1:19" x14ac:dyDescent="0.25">
      <c r="A501">
        <v>10500</v>
      </c>
      <c r="B501">
        <v>33</v>
      </c>
      <c r="C501" t="s">
        <v>31</v>
      </c>
      <c r="D501" t="s">
        <v>32</v>
      </c>
      <c r="E501" t="s">
        <v>33</v>
      </c>
      <c r="F501" t="s">
        <v>39</v>
      </c>
      <c r="G501" t="s">
        <v>38</v>
      </c>
      <c r="H501">
        <v>35559</v>
      </c>
      <c r="I501">
        <v>44706</v>
      </c>
      <c r="J501">
        <v>10</v>
      </c>
      <c r="K501">
        <v>1</v>
      </c>
      <c r="L501">
        <v>3</v>
      </c>
      <c r="M501" t="s">
        <v>25</v>
      </c>
      <c r="N501">
        <v>2</v>
      </c>
      <c r="O501">
        <v>16</v>
      </c>
      <c r="P501">
        <v>22</v>
      </c>
      <c r="Q501">
        <v>3</v>
      </c>
      <c r="R501">
        <v>1</v>
      </c>
      <c r="S501" t="s">
        <v>25</v>
      </c>
    </row>
    <row r="502" spans="1:19" x14ac:dyDescent="0.25">
      <c r="A502">
        <v>10501</v>
      </c>
      <c r="B502">
        <v>21</v>
      </c>
      <c r="C502" t="s">
        <v>19</v>
      </c>
      <c r="D502" t="s">
        <v>20</v>
      </c>
      <c r="E502" t="s">
        <v>36</v>
      </c>
      <c r="F502" t="s">
        <v>39</v>
      </c>
      <c r="G502" t="s">
        <v>38</v>
      </c>
      <c r="H502">
        <v>52634</v>
      </c>
      <c r="I502">
        <v>42215</v>
      </c>
      <c r="J502">
        <v>8</v>
      </c>
      <c r="K502">
        <v>10</v>
      </c>
      <c r="L502">
        <v>2</v>
      </c>
      <c r="M502" t="s">
        <v>24</v>
      </c>
      <c r="N502">
        <v>2</v>
      </c>
      <c r="O502">
        <v>6</v>
      </c>
      <c r="P502">
        <v>32</v>
      </c>
      <c r="Q502">
        <v>3</v>
      </c>
      <c r="R502">
        <v>4</v>
      </c>
      <c r="S502" t="s">
        <v>25</v>
      </c>
    </row>
    <row r="503" spans="1:19" x14ac:dyDescent="0.25">
      <c r="A503">
        <v>10502</v>
      </c>
      <c r="B503">
        <v>59</v>
      </c>
      <c r="C503" t="s">
        <v>19</v>
      </c>
      <c r="D503" t="s">
        <v>20</v>
      </c>
      <c r="E503" t="s">
        <v>33</v>
      </c>
      <c r="F503" t="s">
        <v>35</v>
      </c>
      <c r="G503" t="s">
        <v>30</v>
      </c>
      <c r="H503">
        <v>43922</v>
      </c>
      <c r="I503">
        <v>5229</v>
      </c>
      <c r="J503">
        <v>17</v>
      </c>
      <c r="K503">
        <v>3</v>
      </c>
      <c r="L503">
        <v>3</v>
      </c>
      <c r="M503" t="s">
        <v>25</v>
      </c>
      <c r="N503">
        <v>2</v>
      </c>
      <c r="O503">
        <v>26</v>
      </c>
      <c r="P503">
        <v>15</v>
      </c>
      <c r="Q503">
        <v>3</v>
      </c>
      <c r="R503">
        <v>1</v>
      </c>
      <c r="S503" t="s">
        <v>24</v>
      </c>
    </row>
    <row r="504" spans="1:19" x14ac:dyDescent="0.25">
      <c r="A504">
        <v>10503</v>
      </c>
      <c r="B504">
        <v>56</v>
      </c>
      <c r="C504" t="s">
        <v>19</v>
      </c>
      <c r="D504" t="s">
        <v>32</v>
      </c>
      <c r="E504" t="s">
        <v>36</v>
      </c>
      <c r="F504" t="s">
        <v>39</v>
      </c>
      <c r="G504" t="s">
        <v>38</v>
      </c>
      <c r="H504">
        <v>54422</v>
      </c>
      <c r="I504">
        <v>29430</v>
      </c>
      <c r="J504">
        <v>2</v>
      </c>
      <c r="K504">
        <v>3</v>
      </c>
      <c r="L504">
        <v>4</v>
      </c>
      <c r="M504" t="s">
        <v>25</v>
      </c>
      <c r="N504">
        <v>4</v>
      </c>
      <c r="O504">
        <v>38</v>
      </c>
      <c r="P504">
        <v>13</v>
      </c>
      <c r="Q504">
        <v>3</v>
      </c>
      <c r="R504">
        <v>2</v>
      </c>
      <c r="S504" t="s">
        <v>25</v>
      </c>
    </row>
    <row r="505" spans="1:19" x14ac:dyDescent="0.25">
      <c r="A505">
        <v>10504</v>
      </c>
      <c r="B505">
        <v>20</v>
      </c>
      <c r="C505" t="s">
        <v>19</v>
      </c>
      <c r="D505" t="s">
        <v>28</v>
      </c>
      <c r="E505" t="s">
        <v>33</v>
      </c>
      <c r="F505" t="s">
        <v>37</v>
      </c>
      <c r="G505" t="s">
        <v>38</v>
      </c>
      <c r="H505">
        <v>28030</v>
      </c>
      <c r="I505">
        <v>9624</v>
      </c>
      <c r="J505">
        <v>22</v>
      </c>
      <c r="K505">
        <v>6</v>
      </c>
      <c r="L505">
        <v>2</v>
      </c>
      <c r="M505" t="s">
        <v>25</v>
      </c>
      <c r="N505">
        <v>3</v>
      </c>
      <c r="O505">
        <v>11</v>
      </c>
      <c r="P505">
        <v>7</v>
      </c>
      <c r="Q505">
        <v>4</v>
      </c>
      <c r="R505">
        <v>3</v>
      </c>
      <c r="S505" t="s">
        <v>25</v>
      </c>
    </row>
    <row r="506" spans="1:19" x14ac:dyDescent="0.25">
      <c r="A506">
        <v>10505</v>
      </c>
      <c r="B506">
        <v>57</v>
      </c>
      <c r="C506" t="s">
        <v>19</v>
      </c>
      <c r="D506" t="s">
        <v>41</v>
      </c>
      <c r="E506" t="s">
        <v>27</v>
      </c>
      <c r="F506" t="s">
        <v>39</v>
      </c>
      <c r="G506" t="s">
        <v>30</v>
      </c>
      <c r="H506">
        <v>66572</v>
      </c>
      <c r="I506">
        <v>1909</v>
      </c>
      <c r="J506">
        <v>19</v>
      </c>
      <c r="K506">
        <v>6</v>
      </c>
      <c r="L506">
        <v>5</v>
      </c>
      <c r="M506" t="s">
        <v>25</v>
      </c>
      <c r="N506">
        <v>4</v>
      </c>
      <c r="O506">
        <v>27</v>
      </c>
      <c r="P506">
        <v>57</v>
      </c>
      <c r="Q506">
        <v>2</v>
      </c>
      <c r="R506">
        <v>3</v>
      </c>
      <c r="S506" t="s">
        <v>25</v>
      </c>
    </row>
    <row r="507" spans="1:19" x14ac:dyDescent="0.25">
      <c r="A507">
        <v>10506</v>
      </c>
      <c r="B507">
        <v>52</v>
      </c>
      <c r="C507" t="s">
        <v>31</v>
      </c>
      <c r="D507" t="s">
        <v>20</v>
      </c>
      <c r="E507" t="s">
        <v>27</v>
      </c>
      <c r="F507" t="s">
        <v>22</v>
      </c>
      <c r="G507" t="s">
        <v>30</v>
      </c>
      <c r="H507">
        <v>84439</v>
      </c>
      <c r="I507">
        <v>43036</v>
      </c>
      <c r="J507">
        <v>5</v>
      </c>
      <c r="K507">
        <v>14</v>
      </c>
      <c r="L507">
        <v>3</v>
      </c>
      <c r="M507" t="s">
        <v>25</v>
      </c>
      <c r="N507">
        <v>3</v>
      </c>
      <c r="O507">
        <v>17</v>
      </c>
      <c r="P507">
        <v>53</v>
      </c>
      <c r="Q507">
        <v>1</v>
      </c>
      <c r="R507">
        <v>4</v>
      </c>
      <c r="S507" t="s">
        <v>25</v>
      </c>
    </row>
    <row r="508" spans="1:19" x14ac:dyDescent="0.25">
      <c r="A508">
        <v>10507</v>
      </c>
      <c r="B508">
        <v>26</v>
      </c>
      <c r="C508" t="s">
        <v>31</v>
      </c>
      <c r="D508" t="s">
        <v>26</v>
      </c>
      <c r="E508" t="s">
        <v>27</v>
      </c>
      <c r="F508" t="s">
        <v>22</v>
      </c>
      <c r="G508" t="s">
        <v>30</v>
      </c>
      <c r="H508">
        <v>78177</v>
      </c>
      <c r="I508">
        <v>41509</v>
      </c>
      <c r="J508">
        <v>2</v>
      </c>
      <c r="K508">
        <v>5</v>
      </c>
      <c r="L508">
        <v>3</v>
      </c>
      <c r="M508" t="s">
        <v>25</v>
      </c>
      <c r="N508">
        <v>4</v>
      </c>
      <c r="O508">
        <v>30</v>
      </c>
      <c r="P508">
        <v>47</v>
      </c>
      <c r="Q508">
        <v>4</v>
      </c>
      <c r="R508">
        <v>1</v>
      </c>
      <c r="S508" t="s">
        <v>25</v>
      </c>
    </row>
    <row r="509" spans="1:19" x14ac:dyDescent="0.25">
      <c r="A509">
        <v>10508</v>
      </c>
      <c r="B509">
        <v>48</v>
      </c>
      <c r="C509" t="s">
        <v>31</v>
      </c>
      <c r="D509" t="s">
        <v>34</v>
      </c>
      <c r="E509" t="s">
        <v>40</v>
      </c>
      <c r="F509" t="s">
        <v>39</v>
      </c>
      <c r="G509" t="s">
        <v>30</v>
      </c>
      <c r="H509">
        <v>15724</v>
      </c>
      <c r="I509">
        <v>40146</v>
      </c>
      <c r="J509">
        <v>4</v>
      </c>
      <c r="K509">
        <v>10</v>
      </c>
      <c r="L509">
        <v>2</v>
      </c>
      <c r="M509" t="s">
        <v>25</v>
      </c>
      <c r="N509">
        <v>1</v>
      </c>
      <c r="O509">
        <v>7</v>
      </c>
      <c r="P509">
        <v>53</v>
      </c>
      <c r="Q509">
        <v>2</v>
      </c>
      <c r="R509">
        <v>4</v>
      </c>
      <c r="S509" t="s">
        <v>25</v>
      </c>
    </row>
    <row r="510" spans="1:19" x14ac:dyDescent="0.25">
      <c r="A510">
        <v>10509</v>
      </c>
      <c r="B510">
        <v>46</v>
      </c>
      <c r="C510" t="s">
        <v>19</v>
      </c>
      <c r="D510" t="s">
        <v>34</v>
      </c>
      <c r="E510" t="s">
        <v>27</v>
      </c>
      <c r="F510" t="s">
        <v>39</v>
      </c>
      <c r="G510" t="s">
        <v>38</v>
      </c>
      <c r="H510">
        <v>62268</v>
      </c>
      <c r="I510">
        <v>17801</v>
      </c>
      <c r="J510">
        <v>12</v>
      </c>
      <c r="K510">
        <v>14</v>
      </c>
      <c r="L510">
        <v>4</v>
      </c>
      <c r="M510" t="s">
        <v>25</v>
      </c>
      <c r="N510">
        <v>3</v>
      </c>
      <c r="O510">
        <v>31</v>
      </c>
      <c r="P510">
        <v>45</v>
      </c>
      <c r="Q510">
        <v>4</v>
      </c>
      <c r="R510">
        <v>3</v>
      </c>
      <c r="S510" t="s">
        <v>25</v>
      </c>
    </row>
    <row r="511" spans="1:19" x14ac:dyDescent="0.25">
      <c r="A511">
        <v>10510</v>
      </c>
      <c r="B511">
        <v>23</v>
      </c>
      <c r="C511" t="s">
        <v>31</v>
      </c>
      <c r="D511" t="s">
        <v>26</v>
      </c>
      <c r="E511" t="s">
        <v>36</v>
      </c>
      <c r="F511" t="s">
        <v>39</v>
      </c>
      <c r="G511" t="s">
        <v>30</v>
      </c>
      <c r="H511">
        <v>48970</v>
      </c>
      <c r="I511">
        <v>37528</v>
      </c>
      <c r="J511">
        <v>17</v>
      </c>
      <c r="K511">
        <v>9</v>
      </c>
      <c r="L511">
        <v>3</v>
      </c>
      <c r="M511" t="s">
        <v>25</v>
      </c>
      <c r="N511">
        <v>2</v>
      </c>
      <c r="O511">
        <v>23</v>
      </c>
      <c r="P511">
        <v>56</v>
      </c>
      <c r="Q511">
        <v>2</v>
      </c>
      <c r="R511">
        <v>3</v>
      </c>
      <c r="S511" t="s">
        <v>25</v>
      </c>
    </row>
    <row r="512" spans="1:19" x14ac:dyDescent="0.25">
      <c r="A512">
        <v>10511</v>
      </c>
      <c r="B512">
        <v>55</v>
      </c>
      <c r="C512" t="s">
        <v>19</v>
      </c>
      <c r="D512" t="s">
        <v>20</v>
      </c>
      <c r="E512" t="s">
        <v>40</v>
      </c>
      <c r="F512" t="s">
        <v>39</v>
      </c>
      <c r="G512" t="s">
        <v>30</v>
      </c>
      <c r="H512">
        <v>14867</v>
      </c>
      <c r="I512">
        <v>35318</v>
      </c>
      <c r="J512">
        <v>7</v>
      </c>
      <c r="K512">
        <v>1</v>
      </c>
      <c r="L512">
        <v>4</v>
      </c>
      <c r="M512" t="s">
        <v>24</v>
      </c>
      <c r="N512">
        <v>4</v>
      </c>
      <c r="O512">
        <v>10</v>
      </c>
      <c r="P512">
        <v>27</v>
      </c>
      <c r="Q512">
        <v>4</v>
      </c>
      <c r="R512">
        <v>4</v>
      </c>
      <c r="S512" t="s">
        <v>25</v>
      </c>
    </row>
    <row r="513" spans="1:19" x14ac:dyDescent="0.25">
      <c r="A513">
        <v>10512</v>
      </c>
      <c r="B513">
        <v>26</v>
      </c>
      <c r="C513" t="s">
        <v>19</v>
      </c>
      <c r="D513" t="s">
        <v>34</v>
      </c>
      <c r="E513" t="s">
        <v>33</v>
      </c>
      <c r="F513" t="s">
        <v>35</v>
      </c>
      <c r="G513" t="s">
        <v>38</v>
      </c>
      <c r="H513">
        <v>33252</v>
      </c>
      <c r="I513">
        <v>10482</v>
      </c>
      <c r="J513">
        <v>9</v>
      </c>
      <c r="K513">
        <v>8</v>
      </c>
      <c r="L513">
        <v>2</v>
      </c>
      <c r="M513" t="s">
        <v>25</v>
      </c>
      <c r="N513">
        <v>1</v>
      </c>
      <c r="O513">
        <v>18</v>
      </c>
      <c r="P513">
        <v>28</v>
      </c>
      <c r="Q513">
        <v>4</v>
      </c>
      <c r="R513">
        <v>4</v>
      </c>
      <c r="S513" t="s">
        <v>25</v>
      </c>
    </row>
    <row r="514" spans="1:19" x14ac:dyDescent="0.25">
      <c r="A514">
        <v>10513</v>
      </c>
      <c r="B514">
        <v>52</v>
      </c>
      <c r="C514" t="s">
        <v>31</v>
      </c>
      <c r="D514" t="s">
        <v>20</v>
      </c>
      <c r="E514" t="s">
        <v>29</v>
      </c>
      <c r="F514" t="s">
        <v>22</v>
      </c>
      <c r="G514" t="s">
        <v>30</v>
      </c>
      <c r="H514">
        <v>155953</v>
      </c>
      <c r="I514">
        <v>5154</v>
      </c>
      <c r="J514">
        <v>0</v>
      </c>
      <c r="K514">
        <v>7</v>
      </c>
      <c r="L514">
        <v>4</v>
      </c>
      <c r="M514" t="s">
        <v>25</v>
      </c>
      <c r="N514">
        <v>2</v>
      </c>
      <c r="O514">
        <v>32</v>
      </c>
      <c r="P514">
        <v>16</v>
      </c>
      <c r="Q514">
        <v>4</v>
      </c>
      <c r="R514">
        <v>3</v>
      </c>
      <c r="S514" t="s">
        <v>25</v>
      </c>
    </row>
    <row r="515" spans="1:19" x14ac:dyDescent="0.25">
      <c r="A515">
        <v>10514</v>
      </c>
      <c r="B515">
        <v>23</v>
      </c>
      <c r="C515" t="s">
        <v>31</v>
      </c>
      <c r="D515" t="s">
        <v>34</v>
      </c>
      <c r="E515" t="s">
        <v>33</v>
      </c>
      <c r="F515" t="s">
        <v>39</v>
      </c>
      <c r="G515" t="s">
        <v>23</v>
      </c>
      <c r="H515">
        <v>34691</v>
      </c>
      <c r="I515">
        <v>19194</v>
      </c>
      <c r="J515">
        <v>20</v>
      </c>
      <c r="K515">
        <v>4</v>
      </c>
      <c r="L515">
        <v>2</v>
      </c>
      <c r="M515" t="s">
        <v>24</v>
      </c>
      <c r="N515">
        <v>2</v>
      </c>
      <c r="O515">
        <v>16</v>
      </c>
      <c r="P515">
        <v>21</v>
      </c>
      <c r="Q515">
        <v>4</v>
      </c>
      <c r="R515">
        <v>2</v>
      </c>
      <c r="S515" t="s">
        <v>25</v>
      </c>
    </row>
    <row r="516" spans="1:19" x14ac:dyDescent="0.25">
      <c r="A516">
        <v>10515</v>
      </c>
      <c r="B516">
        <v>41</v>
      </c>
      <c r="C516" t="s">
        <v>19</v>
      </c>
      <c r="D516" t="s">
        <v>20</v>
      </c>
      <c r="E516" t="s">
        <v>27</v>
      </c>
      <c r="F516" t="s">
        <v>39</v>
      </c>
      <c r="G516" t="s">
        <v>30</v>
      </c>
      <c r="H516">
        <v>64414</v>
      </c>
      <c r="I516">
        <v>38665</v>
      </c>
      <c r="J516">
        <v>14</v>
      </c>
      <c r="K516">
        <v>9</v>
      </c>
      <c r="L516">
        <v>3</v>
      </c>
      <c r="M516" t="s">
        <v>24</v>
      </c>
      <c r="N516">
        <v>1</v>
      </c>
      <c r="O516">
        <v>9</v>
      </c>
      <c r="P516">
        <v>54</v>
      </c>
      <c r="Q516">
        <v>3</v>
      </c>
      <c r="R516">
        <v>1</v>
      </c>
      <c r="S516" t="s">
        <v>24</v>
      </c>
    </row>
    <row r="517" spans="1:19" x14ac:dyDescent="0.25">
      <c r="A517">
        <v>10516</v>
      </c>
      <c r="B517">
        <v>41</v>
      </c>
      <c r="C517" t="s">
        <v>31</v>
      </c>
      <c r="D517" t="s">
        <v>41</v>
      </c>
      <c r="E517" t="s">
        <v>29</v>
      </c>
      <c r="F517" t="s">
        <v>39</v>
      </c>
      <c r="G517" t="s">
        <v>38</v>
      </c>
      <c r="H517">
        <v>177417</v>
      </c>
      <c r="I517">
        <v>9436</v>
      </c>
      <c r="J517">
        <v>5</v>
      </c>
      <c r="K517">
        <v>9</v>
      </c>
      <c r="L517">
        <v>3</v>
      </c>
      <c r="M517" t="s">
        <v>25</v>
      </c>
      <c r="N517">
        <v>1</v>
      </c>
      <c r="O517">
        <v>1</v>
      </c>
      <c r="P517">
        <v>56</v>
      </c>
      <c r="Q517">
        <v>2</v>
      </c>
      <c r="R517">
        <v>4</v>
      </c>
      <c r="S517" t="s">
        <v>25</v>
      </c>
    </row>
    <row r="518" spans="1:19" x14ac:dyDescent="0.25">
      <c r="A518">
        <v>10517</v>
      </c>
      <c r="B518">
        <v>55</v>
      </c>
      <c r="C518" t="s">
        <v>19</v>
      </c>
      <c r="D518" t="s">
        <v>26</v>
      </c>
      <c r="E518" t="s">
        <v>40</v>
      </c>
      <c r="F518" t="s">
        <v>35</v>
      </c>
      <c r="G518" t="s">
        <v>30</v>
      </c>
      <c r="H518">
        <v>16025</v>
      </c>
      <c r="I518">
        <v>35343</v>
      </c>
      <c r="J518">
        <v>21</v>
      </c>
      <c r="K518">
        <v>10</v>
      </c>
      <c r="L518">
        <v>1</v>
      </c>
      <c r="M518" t="s">
        <v>25</v>
      </c>
      <c r="N518">
        <v>3</v>
      </c>
      <c r="O518">
        <v>2</v>
      </c>
      <c r="P518">
        <v>43</v>
      </c>
      <c r="Q518">
        <v>2</v>
      </c>
      <c r="R518">
        <v>2</v>
      </c>
      <c r="S518" t="s">
        <v>25</v>
      </c>
    </row>
    <row r="519" spans="1:19" x14ac:dyDescent="0.25">
      <c r="A519">
        <v>10518</v>
      </c>
      <c r="B519">
        <v>23</v>
      </c>
      <c r="C519" t="s">
        <v>19</v>
      </c>
      <c r="D519" t="s">
        <v>34</v>
      </c>
      <c r="E519" t="s">
        <v>27</v>
      </c>
      <c r="F519" t="s">
        <v>39</v>
      </c>
      <c r="G519" t="s">
        <v>38</v>
      </c>
      <c r="H519">
        <v>81076</v>
      </c>
      <c r="I519">
        <v>27258</v>
      </c>
      <c r="J519">
        <v>24</v>
      </c>
      <c r="K519">
        <v>12</v>
      </c>
      <c r="L519">
        <v>1</v>
      </c>
      <c r="M519" t="s">
        <v>25</v>
      </c>
      <c r="N519">
        <v>3</v>
      </c>
      <c r="O519">
        <v>38</v>
      </c>
      <c r="P519">
        <v>9</v>
      </c>
      <c r="Q519">
        <v>2</v>
      </c>
      <c r="R519">
        <v>3</v>
      </c>
      <c r="S519" t="s">
        <v>25</v>
      </c>
    </row>
    <row r="520" spans="1:19" x14ac:dyDescent="0.25">
      <c r="A520">
        <v>10519</v>
      </c>
      <c r="B520">
        <v>29</v>
      </c>
      <c r="C520" t="s">
        <v>31</v>
      </c>
      <c r="D520" t="s">
        <v>34</v>
      </c>
      <c r="E520" t="s">
        <v>33</v>
      </c>
      <c r="F520" t="s">
        <v>35</v>
      </c>
      <c r="G520" t="s">
        <v>38</v>
      </c>
      <c r="H520">
        <v>37380</v>
      </c>
      <c r="I520">
        <v>22076</v>
      </c>
      <c r="J520">
        <v>18</v>
      </c>
      <c r="K520">
        <v>9</v>
      </c>
      <c r="L520">
        <v>3</v>
      </c>
      <c r="M520" t="s">
        <v>25</v>
      </c>
      <c r="N520">
        <v>1</v>
      </c>
      <c r="O520">
        <v>25</v>
      </c>
      <c r="P520">
        <v>55</v>
      </c>
      <c r="Q520">
        <v>3</v>
      </c>
      <c r="R520">
        <v>3</v>
      </c>
      <c r="S520" t="s">
        <v>25</v>
      </c>
    </row>
    <row r="521" spans="1:19" x14ac:dyDescent="0.25">
      <c r="A521">
        <v>10520</v>
      </c>
      <c r="B521">
        <v>25</v>
      </c>
      <c r="C521" t="s">
        <v>31</v>
      </c>
      <c r="D521" t="s">
        <v>20</v>
      </c>
      <c r="E521" t="s">
        <v>33</v>
      </c>
      <c r="F521" t="s">
        <v>39</v>
      </c>
      <c r="G521" t="s">
        <v>30</v>
      </c>
      <c r="H521">
        <v>35057</v>
      </c>
      <c r="I521">
        <v>4276</v>
      </c>
      <c r="J521">
        <v>18</v>
      </c>
      <c r="K521">
        <v>1</v>
      </c>
      <c r="L521">
        <v>3</v>
      </c>
      <c r="M521" t="s">
        <v>25</v>
      </c>
      <c r="N521">
        <v>4</v>
      </c>
      <c r="O521">
        <v>30</v>
      </c>
      <c r="P521">
        <v>43</v>
      </c>
      <c r="Q521">
        <v>4</v>
      </c>
      <c r="R521">
        <v>1</v>
      </c>
      <c r="S521" t="s">
        <v>25</v>
      </c>
    </row>
    <row r="522" spans="1:19" x14ac:dyDescent="0.25">
      <c r="A522">
        <v>10521</v>
      </c>
      <c r="B522">
        <v>59</v>
      </c>
      <c r="C522" t="s">
        <v>31</v>
      </c>
      <c r="D522" t="s">
        <v>34</v>
      </c>
      <c r="E522" t="s">
        <v>29</v>
      </c>
      <c r="F522" t="s">
        <v>39</v>
      </c>
      <c r="G522" t="s">
        <v>30</v>
      </c>
      <c r="H522">
        <v>131803</v>
      </c>
      <c r="I522">
        <v>22149</v>
      </c>
      <c r="J522">
        <v>0</v>
      </c>
      <c r="K522">
        <v>7</v>
      </c>
      <c r="L522">
        <v>2</v>
      </c>
      <c r="M522" t="s">
        <v>24</v>
      </c>
      <c r="N522">
        <v>1</v>
      </c>
      <c r="O522">
        <v>19</v>
      </c>
      <c r="P522">
        <v>33</v>
      </c>
      <c r="Q522">
        <v>4</v>
      </c>
      <c r="R522">
        <v>4</v>
      </c>
      <c r="S522" t="s">
        <v>25</v>
      </c>
    </row>
    <row r="523" spans="1:19" x14ac:dyDescent="0.25">
      <c r="A523">
        <v>10522</v>
      </c>
      <c r="B523">
        <v>50</v>
      </c>
      <c r="C523" t="s">
        <v>19</v>
      </c>
      <c r="D523" t="s">
        <v>20</v>
      </c>
      <c r="E523" t="s">
        <v>33</v>
      </c>
      <c r="F523" t="s">
        <v>35</v>
      </c>
      <c r="G523" t="s">
        <v>38</v>
      </c>
      <c r="H523">
        <v>39457</v>
      </c>
      <c r="I523">
        <v>7972</v>
      </c>
      <c r="J523">
        <v>17</v>
      </c>
      <c r="K523">
        <v>13</v>
      </c>
      <c r="L523">
        <v>3</v>
      </c>
      <c r="M523" t="s">
        <v>25</v>
      </c>
      <c r="N523">
        <v>4</v>
      </c>
      <c r="O523">
        <v>13</v>
      </c>
      <c r="P523">
        <v>33</v>
      </c>
      <c r="Q523">
        <v>3</v>
      </c>
      <c r="R523">
        <v>3</v>
      </c>
      <c r="S523" t="s">
        <v>25</v>
      </c>
    </row>
    <row r="524" spans="1:19" x14ac:dyDescent="0.25">
      <c r="A524">
        <v>10523</v>
      </c>
      <c r="B524">
        <v>56</v>
      </c>
      <c r="C524" t="s">
        <v>31</v>
      </c>
      <c r="D524" t="s">
        <v>41</v>
      </c>
      <c r="E524" t="s">
        <v>40</v>
      </c>
      <c r="F524" t="s">
        <v>35</v>
      </c>
      <c r="G524" t="s">
        <v>38</v>
      </c>
      <c r="H524">
        <v>11188</v>
      </c>
      <c r="I524">
        <v>17920</v>
      </c>
      <c r="J524">
        <v>24</v>
      </c>
      <c r="K524">
        <v>1</v>
      </c>
      <c r="L524">
        <v>4</v>
      </c>
      <c r="M524" t="s">
        <v>25</v>
      </c>
      <c r="N524">
        <v>4</v>
      </c>
      <c r="O524">
        <v>16</v>
      </c>
      <c r="P524">
        <v>41</v>
      </c>
      <c r="Q524">
        <v>3</v>
      </c>
      <c r="R524">
        <v>4</v>
      </c>
      <c r="S524" t="s">
        <v>25</v>
      </c>
    </row>
    <row r="525" spans="1:19" x14ac:dyDescent="0.25">
      <c r="A525">
        <v>10524</v>
      </c>
      <c r="B525">
        <v>53</v>
      </c>
      <c r="C525" t="s">
        <v>19</v>
      </c>
      <c r="D525" t="s">
        <v>41</v>
      </c>
      <c r="E525" t="s">
        <v>33</v>
      </c>
      <c r="F525" t="s">
        <v>22</v>
      </c>
      <c r="G525" t="s">
        <v>30</v>
      </c>
      <c r="H525">
        <v>29846</v>
      </c>
      <c r="I525">
        <v>49088</v>
      </c>
      <c r="J525">
        <v>2</v>
      </c>
      <c r="K525">
        <v>8</v>
      </c>
      <c r="L525">
        <v>3</v>
      </c>
      <c r="M525" t="s">
        <v>24</v>
      </c>
      <c r="N525">
        <v>3</v>
      </c>
      <c r="O525">
        <v>6</v>
      </c>
      <c r="P525">
        <v>56</v>
      </c>
      <c r="Q525">
        <v>2</v>
      </c>
      <c r="R525">
        <v>2</v>
      </c>
      <c r="S525" t="s">
        <v>25</v>
      </c>
    </row>
    <row r="526" spans="1:19" x14ac:dyDescent="0.25">
      <c r="A526">
        <v>10525</v>
      </c>
      <c r="B526">
        <v>24</v>
      </c>
      <c r="C526" t="s">
        <v>31</v>
      </c>
      <c r="D526" t="s">
        <v>32</v>
      </c>
      <c r="E526" t="s">
        <v>36</v>
      </c>
      <c r="F526" t="s">
        <v>22</v>
      </c>
      <c r="G526" t="s">
        <v>38</v>
      </c>
      <c r="H526">
        <v>53991</v>
      </c>
      <c r="I526">
        <v>17634</v>
      </c>
      <c r="J526">
        <v>16</v>
      </c>
      <c r="K526">
        <v>1</v>
      </c>
      <c r="L526">
        <v>3</v>
      </c>
      <c r="M526" t="s">
        <v>24</v>
      </c>
      <c r="N526">
        <v>3</v>
      </c>
      <c r="O526">
        <v>15</v>
      </c>
      <c r="P526">
        <v>9</v>
      </c>
      <c r="Q526">
        <v>2</v>
      </c>
      <c r="R526">
        <v>2</v>
      </c>
      <c r="S526" t="s">
        <v>25</v>
      </c>
    </row>
    <row r="527" spans="1:19" x14ac:dyDescent="0.25">
      <c r="A527">
        <v>10526</v>
      </c>
      <c r="B527">
        <v>37</v>
      </c>
      <c r="C527" t="s">
        <v>19</v>
      </c>
      <c r="D527" t="s">
        <v>41</v>
      </c>
      <c r="E527" t="s">
        <v>36</v>
      </c>
      <c r="F527" t="s">
        <v>39</v>
      </c>
      <c r="G527" t="s">
        <v>38</v>
      </c>
      <c r="H527">
        <v>64867</v>
      </c>
      <c r="I527">
        <v>43967</v>
      </c>
      <c r="J527">
        <v>15</v>
      </c>
      <c r="K527">
        <v>7</v>
      </c>
      <c r="L527">
        <v>2</v>
      </c>
      <c r="M527" t="s">
        <v>24</v>
      </c>
      <c r="N527">
        <v>3</v>
      </c>
      <c r="O527">
        <v>31</v>
      </c>
      <c r="P527">
        <v>16</v>
      </c>
      <c r="Q527">
        <v>4</v>
      </c>
      <c r="R527">
        <v>1</v>
      </c>
      <c r="S527" t="s">
        <v>25</v>
      </c>
    </row>
    <row r="528" spans="1:19" x14ac:dyDescent="0.25">
      <c r="A528">
        <v>10527</v>
      </c>
      <c r="B528">
        <v>33</v>
      </c>
      <c r="C528" t="s">
        <v>31</v>
      </c>
      <c r="D528" t="s">
        <v>34</v>
      </c>
      <c r="E528" t="s">
        <v>27</v>
      </c>
      <c r="F528" t="s">
        <v>39</v>
      </c>
      <c r="G528" t="s">
        <v>38</v>
      </c>
      <c r="H528">
        <v>87951</v>
      </c>
      <c r="I528">
        <v>23644</v>
      </c>
      <c r="J528">
        <v>8</v>
      </c>
      <c r="K528">
        <v>3</v>
      </c>
      <c r="L528">
        <v>4</v>
      </c>
      <c r="M528" t="s">
        <v>25</v>
      </c>
      <c r="N528">
        <v>3</v>
      </c>
      <c r="O528">
        <v>9</v>
      </c>
      <c r="P528">
        <v>49</v>
      </c>
      <c r="Q528">
        <v>4</v>
      </c>
      <c r="R528">
        <v>1</v>
      </c>
      <c r="S528" t="s">
        <v>25</v>
      </c>
    </row>
    <row r="529" spans="1:19" x14ac:dyDescent="0.25">
      <c r="A529">
        <v>10528</v>
      </c>
      <c r="B529">
        <v>31</v>
      </c>
      <c r="C529" t="s">
        <v>31</v>
      </c>
      <c r="D529" t="s">
        <v>20</v>
      </c>
      <c r="E529" t="s">
        <v>21</v>
      </c>
      <c r="F529" t="s">
        <v>35</v>
      </c>
      <c r="G529" t="s">
        <v>30</v>
      </c>
      <c r="H529">
        <v>105858</v>
      </c>
      <c r="I529">
        <v>28555</v>
      </c>
      <c r="J529">
        <v>20</v>
      </c>
      <c r="K529">
        <v>9</v>
      </c>
      <c r="L529">
        <v>3</v>
      </c>
      <c r="M529" t="s">
        <v>25</v>
      </c>
      <c r="N529">
        <v>1</v>
      </c>
      <c r="O529">
        <v>37</v>
      </c>
      <c r="P529">
        <v>16</v>
      </c>
      <c r="Q529">
        <v>4</v>
      </c>
      <c r="R529">
        <v>4</v>
      </c>
      <c r="S529" t="s">
        <v>25</v>
      </c>
    </row>
    <row r="530" spans="1:19" x14ac:dyDescent="0.25">
      <c r="A530">
        <v>10529</v>
      </c>
      <c r="B530">
        <v>41</v>
      </c>
      <c r="C530" t="s">
        <v>31</v>
      </c>
      <c r="D530" t="s">
        <v>26</v>
      </c>
      <c r="E530" t="s">
        <v>33</v>
      </c>
      <c r="F530" t="s">
        <v>39</v>
      </c>
      <c r="G530" t="s">
        <v>38</v>
      </c>
      <c r="H530">
        <v>33328</v>
      </c>
      <c r="I530">
        <v>44843</v>
      </c>
      <c r="J530">
        <v>21</v>
      </c>
      <c r="K530">
        <v>5</v>
      </c>
      <c r="L530">
        <v>5</v>
      </c>
      <c r="M530" t="s">
        <v>25</v>
      </c>
      <c r="N530">
        <v>3</v>
      </c>
      <c r="O530">
        <v>23</v>
      </c>
      <c r="P530">
        <v>46</v>
      </c>
      <c r="Q530">
        <v>2</v>
      </c>
      <c r="R530">
        <v>4</v>
      </c>
      <c r="S530" t="s">
        <v>24</v>
      </c>
    </row>
    <row r="531" spans="1:19" x14ac:dyDescent="0.25">
      <c r="A531">
        <v>10530</v>
      </c>
      <c r="B531">
        <v>46</v>
      </c>
      <c r="C531" t="s">
        <v>31</v>
      </c>
      <c r="D531" t="s">
        <v>41</v>
      </c>
      <c r="E531" t="s">
        <v>21</v>
      </c>
      <c r="F531" t="s">
        <v>22</v>
      </c>
      <c r="G531" t="s">
        <v>38</v>
      </c>
      <c r="H531">
        <v>118546</v>
      </c>
      <c r="I531">
        <v>19251</v>
      </c>
      <c r="J531">
        <v>6</v>
      </c>
      <c r="K531">
        <v>8</v>
      </c>
      <c r="L531">
        <v>3</v>
      </c>
      <c r="M531" t="s">
        <v>25</v>
      </c>
      <c r="N531">
        <v>3</v>
      </c>
      <c r="O531">
        <v>30</v>
      </c>
      <c r="P531">
        <v>57</v>
      </c>
      <c r="Q531">
        <v>4</v>
      </c>
      <c r="R531">
        <v>4</v>
      </c>
      <c r="S531" t="s">
        <v>25</v>
      </c>
    </row>
    <row r="532" spans="1:19" x14ac:dyDescent="0.25">
      <c r="A532">
        <v>10531</v>
      </c>
      <c r="B532">
        <v>23</v>
      </c>
      <c r="C532" t="s">
        <v>31</v>
      </c>
      <c r="D532" t="s">
        <v>20</v>
      </c>
      <c r="E532" t="s">
        <v>21</v>
      </c>
      <c r="F532" t="s">
        <v>35</v>
      </c>
      <c r="G532" t="s">
        <v>30</v>
      </c>
      <c r="H532">
        <v>113949</v>
      </c>
      <c r="I532">
        <v>14193</v>
      </c>
      <c r="J532">
        <v>20</v>
      </c>
      <c r="K532">
        <v>8</v>
      </c>
      <c r="L532">
        <v>3</v>
      </c>
      <c r="M532" t="s">
        <v>24</v>
      </c>
      <c r="N532">
        <v>2</v>
      </c>
      <c r="O532">
        <v>16</v>
      </c>
      <c r="P532">
        <v>59</v>
      </c>
      <c r="Q532">
        <v>2</v>
      </c>
      <c r="R532">
        <v>1</v>
      </c>
      <c r="S532" t="s">
        <v>25</v>
      </c>
    </row>
    <row r="533" spans="1:19" x14ac:dyDescent="0.25">
      <c r="A533">
        <v>10532</v>
      </c>
      <c r="B533">
        <v>33</v>
      </c>
      <c r="C533" t="s">
        <v>31</v>
      </c>
      <c r="D533" t="s">
        <v>34</v>
      </c>
      <c r="E533" t="s">
        <v>27</v>
      </c>
      <c r="F533" t="s">
        <v>37</v>
      </c>
      <c r="G533" t="s">
        <v>30</v>
      </c>
      <c r="H533">
        <v>80897</v>
      </c>
      <c r="I533">
        <v>15945</v>
      </c>
      <c r="J533">
        <v>16</v>
      </c>
      <c r="K533">
        <v>11</v>
      </c>
      <c r="L533">
        <v>4</v>
      </c>
      <c r="M533" t="s">
        <v>25</v>
      </c>
      <c r="N533">
        <v>4</v>
      </c>
      <c r="O533">
        <v>29</v>
      </c>
      <c r="P533">
        <v>10</v>
      </c>
      <c r="Q533">
        <v>3</v>
      </c>
      <c r="R533">
        <v>3</v>
      </c>
      <c r="S533" t="s">
        <v>25</v>
      </c>
    </row>
    <row r="534" spans="1:19" x14ac:dyDescent="0.25">
      <c r="A534">
        <v>10533</v>
      </c>
      <c r="B534">
        <v>47</v>
      </c>
      <c r="C534" t="s">
        <v>31</v>
      </c>
      <c r="D534" t="s">
        <v>26</v>
      </c>
      <c r="E534" t="s">
        <v>33</v>
      </c>
      <c r="F534" t="s">
        <v>39</v>
      </c>
      <c r="G534" t="s">
        <v>30</v>
      </c>
      <c r="H534">
        <v>27260</v>
      </c>
      <c r="I534">
        <v>41542</v>
      </c>
      <c r="J534">
        <v>21</v>
      </c>
      <c r="K534">
        <v>2</v>
      </c>
      <c r="L534">
        <v>2</v>
      </c>
      <c r="M534" t="s">
        <v>25</v>
      </c>
      <c r="N534">
        <v>1</v>
      </c>
      <c r="O534">
        <v>15</v>
      </c>
      <c r="P534">
        <v>22</v>
      </c>
      <c r="Q534">
        <v>3</v>
      </c>
      <c r="R534">
        <v>3</v>
      </c>
      <c r="S534" t="s">
        <v>24</v>
      </c>
    </row>
    <row r="535" spans="1:19" x14ac:dyDescent="0.25">
      <c r="A535">
        <v>10534</v>
      </c>
      <c r="B535">
        <v>43</v>
      </c>
      <c r="C535" t="s">
        <v>31</v>
      </c>
      <c r="D535" t="s">
        <v>28</v>
      </c>
      <c r="E535" t="s">
        <v>33</v>
      </c>
      <c r="F535" t="s">
        <v>39</v>
      </c>
      <c r="G535" t="s">
        <v>30</v>
      </c>
      <c r="H535">
        <v>35482</v>
      </c>
      <c r="I535">
        <v>21213</v>
      </c>
      <c r="J535">
        <v>21</v>
      </c>
      <c r="K535">
        <v>11</v>
      </c>
      <c r="L535">
        <v>4</v>
      </c>
      <c r="M535" t="s">
        <v>25</v>
      </c>
      <c r="N535">
        <v>3</v>
      </c>
      <c r="O535">
        <v>7</v>
      </c>
      <c r="P535">
        <v>49</v>
      </c>
      <c r="Q535">
        <v>3</v>
      </c>
      <c r="R535">
        <v>1</v>
      </c>
      <c r="S535" t="s">
        <v>25</v>
      </c>
    </row>
    <row r="536" spans="1:19" x14ac:dyDescent="0.25">
      <c r="A536">
        <v>10535</v>
      </c>
      <c r="B536">
        <v>43</v>
      </c>
      <c r="C536" t="s">
        <v>31</v>
      </c>
      <c r="D536" t="s">
        <v>26</v>
      </c>
      <c r="E536" t="s">
        <v>27</v>
      </c>
      <c r="F536" t="s">
        <v>35</v>
      </c>
      <c r="G536" t="s">
        <v>38</v>
      </c>
      <c r="H536">
        <v>69895</v>
      </c>
      <c r="I536">
        <v>5289</v>
      </c>
      <c r="J536">
        <v>22</v>
      </c>
      <c r="K536">
        <v>12</v>
      </c>
      <c r="L536">
        <v>4</v>
      </c>
      <c r="M536" t="s">
        <v>25</v>
      </c>
      <c r="N536">
        <v>4</v>
      </c>
      <c r="O536">
        <v>6</v>
      </c>
      <c r="P536">
        <v>11</v>
      </c>
      <c r="Q536">
        <v>3</v>
      </c>
      <c r="R536">
        <v>3</v>
      </c>
      <c r="S536" t="s">
        <v>25</v>
      </c>
    </row>
    <row r="537" spans="1:19" x14ac:dyDescent="0.25">
      <c r="A537">
        <v>10536</v>
      </c>
      <c r="B537">
        <v>42</v>
      </c>
      <c r="C537" t="s">
        <v>19</v>
      </c>
      <c r="D537" t="s">
        <v>20</v>
      </c>
      <c r="E537" t="s">
        <v>36</v>
      </c>
      <c r="F537" t="s">
        <v>35</v>
      </c>
      <c r="G537" t="s">
        <v>23</v>
      </c>
      <c r="H537">
        <v>47347</v>
      </c>
      <c r="I537">
        <v>15611</v>
      </c>
      <c r="J537">
        <v>7</v>
      </c>
      <c r="K537">
        <v>10</v>
      </c>
      <c r="L537">
        <v>4</v>
      </c>
      <c r="M537" t="s">
        <v>24</v>
      </c>
      <c r="N537">
        <v>3</v>
      </c>
      <c r="O537">
        <v>14</v>
      </c>
      <c r="P537">
        <v>36</v>
      </c>
      <c r="Q537">
        <v>3</v>
      </c>
      <c r="R537">
        <v>4</v>
      </c>
      <c r="S537" t="s">
        <v>25</v>
      </c>
    </row>
    <row r="538" spans="1:19" x14ac:dyDescent="0.25">
      <c r="A538">
        <v>10537</v>
      </c>
      <c r="B538">
        <v>20</v>
      </c>
      <c r="C538" t="s">
        <v>19</v>
      </c>
      <c r="D538" t="s">
        <v>28</v>
      </c>
      <c r="E538" t="s">
        <v>33</v>
      </c>
      <c r="F538" t="s">
        <v>22</v>
      </c>
      <c r="G538" t="s">
        <v>30</v>
      </c>
      <c r="H538">
        <v>25588</v>
      </c>
      <c r="I538">
        <v>37812</v>
      </c>
      <c r="J538">
        <v>7</v>
      </c>
      <c r="K538">
        <v>8</v>
      </c>
      <c r="L538">
        <v>4</v>
      </c>
      <c r="M538" t="s">
        <v>25</v>
      </c>
      <c r="N538">
        <v>2</v>
      </c>
      <c r="O538">
        <v>3</v>
      </c>
      <c r="P538">
        <v>40</v>
      </c>
      <c r="Q538">
        <v>3</v>
      </c>
      <c r="R538">
        <v>1</v>
      </c>
      <c r="S538" t="s">
        <v>25</v>
      </c>
    </row>
    <row r="539" spans="1:19" x14ac:dyDescent="0.25">
      <c r="A539">
        <v>10538</v>
      </c>
      <c r="B539">
        <v>52</v>
      </c>
      <c r="C539" t="s">
        <v>19</v>
      </c>
      <c r="D539" t="s">
        <v>41</v>
      </c>
      <c r="E539" t="s">
        <v>33</v>
      </c>
      <c r="F539" t="s">
        <v>39</v>
      </c>
      <c r="G539" t="s">
        <v>30</v>
      </c>
      <c r="H539">
        <v>28688</v>
      </c>
      <c r="I539">
        <v>8640</v>
      </c>
      <c r="J539">
        <v>15</v>
      </c>
      <c r="K539">
        <v>1</v>
      </c>
      <c r="L539">
        <v>3</v>
      </c>
      <c r="M539" t="s">
        <v>24</v>
      </c>
      <c r="N539">
        <v>2</v>
      </c>
      <c r="O539">
        <v>13</v>
      </c>
      <c r="P539">
        <v>13</v>
      </c>
      <c r="Q539">
        <v>2</v>
      </c>
      <c r="R539">
        <v>4</v>
      </c>
      <c r="S539" t="s">
        <v>24</v>
      </c>
    </row>
    <row r="540" spans="1:19" x14ac:dyDescent="0.25">
      <c r="A540">
        <v>10539</v>
      </c>
      <c r="B540">
        <v>33</v>
      </c>
      <c r="C540" t="s">
        <v>19</v>
      </c>
      <c r="D540" t="s">
        <v>41</v>
      </c>
      <c r="E540" t="s">
        <v>21</v>
      </c>
      <c r="F540" t="s">
        <v>37</v>
      </c>
      <c r="G540" t="s">
        <v>38</v>
      </c>
      <c r="H540">
        <v>125367</v>
      </c>
      <c r="I540">
        <v>41190</v>
      </c>
      <c r="J540">
        <v>14</v>
      </c>
      <c r="K540">
        <v>2</v>
      </c>
      <c r="L540">
        <v>1</v>
      </c>
      <c r="M540" t="s">
        <v>25</v>
      </c>
      <c r="N540">
        <v>1</v>
      </c>
      <c r="O540">
        <v>12</v>
      </c>
      <c r="P540">
        <v>24</v>
      </c>
      <c r="Q540">
        <v>1</v>
      </c>
      <c r="R540">
        <v>2</v>
      </c>
      <c r="S540" t="s">
        <v>24</v>
      </c>
    </row>
    <row r="541" spans="1:19" x14ac:dyDescent="0.25">
      <c r="A541">
        <v>10540</v>
      </c>
      <c r="B541">
        <v>48</v>
      </c>
      <c r="C541" t="s">
        <v>19</v>
      </c>
      <c r="D541" t="s">
        <v>34</v>
      </c>
      <c r="E541" t="s">
        <v>40</v>
      </c>
      <c r="F541" t="s">
        <v>22</v>
      </c>
      <c r="G541" t="s">
        <v>38</v>
      </c>
      <c r="H541">
        <v>12036</v>
      </c>
      <c r="I541">
        <v>48648</v>
      </c>
      <c r="J541">
        <v>23</v>
      </c>
      <c r="K541">
        <v>14</v>
      </c>
      <c r="L541">
        <v>3</v>
      </c>
      <c r="M541" t="s">
        <v>24</v>
      </c>
      <c r="N541">
        <v>2</v>
      </c>
      <c r="O541">
        <v>8</v>
      </c>
      <c r="P541">
        <v>41</v>
      </c>
      <c r="Q541">
        <v>2</v>
      </c>
      <c r="R541">
        <v>1</v>
      </c>
      <c r="S541" t="s">
        <v>25</v>
      </c>
    </row>
    <row r="542" spans="1:19" x14ac:dyDescent="0.25">
      <c r="A542">
        <v>10541</v>
      </c>
      <c r="B542">
        <v>46</v>
      </c>
      <c r="C542" t="s">
        <v>19</v>
      </c>
      <c r="D542" t="s">
        <v>26</v>
      </c>
      <c r="E542" t="s">
        <v>27</v>
      </c>
      <c r="F542" t="s">
        <v>39</v>
      </c>
      <c r="G542" t="s">
        <v>38</v>
      </c>
      <c r="H542">
        <v>77140</v>
      </c>
      <c r="I542">
        <v>6487</v>
      </c>
      <c r="J542">
        <v>20</v>
      </c>
      <c r="K542">
        <v>0</v>
      </c>
      <c r="L542">
        <v>2</v>
      </c>
      <c r="M542" t="s">
        <v>25</v>
      </c>
      <c r="N542">
        <v>3</v>
      </c>
      <c r="O542">
        <v>15</v>
      </c>
      <c r="P542">
        <v>35</v>
      </c>
      <c r="Q542">
        <v>4</v>
      </c>
      <c r="R542">
        <v>2</v>
      </c>
      <c r="S542" t="s">
        <v>25</v>
      </c>
    </row>
    <row r="543" spans="1:19" x14ac:dyDescent="0.25">
      <c r="A543">
        <v>10542</v>
      </c>
      <c r="B543">
        <v>43</v>
      </c>
      <c r="C543" t="s">
        <v>19</v>
      </c>
      <c r="D543" t="s">
        <v>26</v>
      </c>
      <c r="E543" t="s">
        <v>27</v>
      </c>
      <c r="F543" t="s">
        <v>39</v>
      </c>
      <c r="G543" t="s">
        <v>38</v>
      </c>
      <c r="H543">
        <v>88020</v>
      </c>
      <c r="I543">
        <v>31921</v>
      </c>
      <c r="J543">
        <v>10</v>
      </c>
      <c r="K543">
        <v>7</v>
      </c>
      <c r="L543">
        <v>4</v>
      </c>
      <c r="M543" t="s">
        <v>24</v>
      </c>
      <c r="N543">
        <v>1</v>
      </c>
      <c r="O543">
        <v>21</v>
      </c>
      <c r="P543">
        <v>22</v>
      </c>
      <c r="Q543">
        <v>1</v>
      </c>
      <c r="R543">
        <v>2</v>
      </c>
      <c r="S543" t="s">
        <v>24</v>
      </c>
    </row>
    <row r="544" spans="1:19" x14ac:dyDescent="0.25">
      <c r="A544">
        <v>10543</v>
      </c>
      <c r="B544">
        <v>27</v>
      </c>
      <c r="C544" t="s">
        <v>31</v>
      </c>
      <c r="D544" t="s">
        <v>28</v>
      </c>
      <c r="E544" t="s">
        <v>36</v>
      </c>
      <c r="F544" t="s">
        <v>39</v>
      </c>
      <c r="G544" t="s">
        <v>30</v>
      </c>
      <c r="H544">
        <v>62862</v>
      </c>
      <c r="I544">
        <v>32670</v>
      </c>
      <c r="J544">
        <v>20</v>
      </c>
      <c r="K544">
        <v>7</v>
      </c>
      <c r="L544">
        <v>5</v>
      </c>
      <c r="M544" t="s">
        <v>24</v>
      </c>
      <c r="N544">
        <v>3</v>
      </c>
      <c r="O544">
        <v>37</v>
      </c>
      <c r="P544">
        <v>46</v>
      </c>
      <c r="Q544">
        <v>3</v>
      </c>
      <c r="R544">
        <v>2</v>
      </c>
      <c r="S544" t="s">
        <v>25</v>
      </c>
    </row>
    <row r="545" spans="1:19" x14ac:dyDescent="0.25">
      <c r="A545">
        <v>10544</v>
      </c>
      <c r="B545">
        <v>49</v>
      </c>
      <c r="C545" t="s">
        <v>31</v>
      </c>
      <c r="D545" t="s">
        <v>20</v>
      </c>
      <c r="E545" t="s">
        <v>36</v>
      </c>
      <c r="F545" t="s">
        <v>35</v>
      </c>
      <c r="G545" t="s">
        <v>30</v>
      </c>
      <c r="H545">
        <v>54107</v>
      </c>
      <c r="I545">
        <v>7971</v>
      </c>
      <c r="J545">
        <v>5</v>
      </c>
      <c r="K545">
        <v>3</v>
      </c>
      <c r="L545">
        <v>4</v>
      </c>
      <c r="M545" t="s">
        <v>25</v>
      </c>
      <c r="N545">
        <v>2</v>
      </c>
      <c r="O545">
        <v>15</v>
      </c>
      <c r="P545">
        <v>33</v>
      </c>
      <c r="Q545">
        <v>3</v>
      </c>
      <c r="R545">
        <v>1</v>
      </c>
      <c r="S545" t="s">
        <v>25</v>
      </c>
    </row>
    <row r="546" spans="1:19" x14ac:dyDescent="0.25">
      <c r="A546">
        <v>10545</v>
      </c>
      <c r="B546">
        <v>23</v>
      </c>
      <c r="C546" t="s">
        <v>19</v>
      </c>
      <c r="D546" t="s">
        <v>41</v>
      </c>
      <c r="E546" t="s">
        <v>36</v>
      </c>
      <c r="F546" t="s">
        <v>35</v>
      </c>
      <c r="G546" t="s">
        <v>30</v>
      </c>
      <c r="H546">
        <v>48598</v>
      </c>
      <c r="I546">
        <v>51</v>
      </c>
      <c r="J546">
        <v>8</v>
      </c>
      <c r="K546">
        <v>4</v>
      </c>
      <c r="L546">
        <v>3</v>
      </c>
      <c r="M546" t="s">
        <v>25</v>
      </c>
      <c r="N546">
        <v>2</v>
      </c>
      <c r="O546">
        <v>4</v>
      </c>
      <c r="P546">
        <v>9</v>
      </c>
      <c r="Q546">
        <v>3</v>
      </c>
      <c r="R546">
        <v>2</v>
      </c>
      <c r="S546" t="s">
        <v>25</v>
      </c>
    </row>
    <row r="547" spans="1:19" x14ac:dyDescent="0.25">
      <c r="A547">
        <v>10546</v>
      </c>
      <c r="B547">
        <v>22</v>
      </c>
      <c r="C547" t="s">
        <v>31</v>
      </c>
      <c r="D547" t="s">
        <v>20</v>
      </c>
      <c r="E547" t="s">
        <v>36</v>
      </c>
      <c r="F547" t="s">
        <v>37</v>
      </c>
      <c r="G547" t="s">
        <v>38</v>
      </c>
      <c r="H547">
        <v>62662</v>
      </c>
      <c r="I547">
        <v>23284</v>
      </c>
      <c r="J547">
        <v>17</v>
      </c>
      <c r="K547">
        <v>11</v>
      </c>
      <c r="L547">
        <v>3</v>
      </c>
      <c r="M547" t="s">
        <v>24</v>
      </c>
      <c r="N547">
        <v>2</v>
      </c>
      <c r="O547">
        <v>19</v>
      </c>
      <c r="P547">
        <v>7</v>
      </c>
      <c r="Q547">
        <v>2</v>
      </c>
      <c r="R547">
        <v>4</v>
      </c>
      <c r="S547" t="s">
        <v>25</v>
      </c>
    </row>
    <row r="548" spans="1:19" x14ac:dyDescent="0.25">
      <c r="A548">
        <v>10547</v>
      </c>
      <c r="B548">
        <v>34</v>
      </c>
      <c r="C548" t="s">
        <v>19</v>
      </c>
      <c r="D548" t="s">
        <v>20</v>
      </c>
      <c r="E548" t="s">
        <v>36</v>
      </c>
      <c r="F548" t="s">
        <v>39</v>
      </c>
      <c r="G548" t="s">
        <v>30</v>
      </c>
      <c r="H548">
        <v>64560</v>
      </c>
      <c r="I548">
        <v>9474</v>
      </c>
      <c r="J548">
        <v>5</v>
      </c>
      <c r="K548">
        <v>3</v>
      </c>
      <c r="L548">
        <v>3</v>
      </c>
      <c r="M548" t="s">
        <v>25</v>
      </c>
      <c r="N548">
        <v>1</v>
      </c>
      <c r="O548">
        <v>11</v>
      </c>
      <c r="P548">
        <v>41</v>
      </c>
      <c r="Q548">
        <v>4</v>
      </c>
      <c r="R548">
        <v>1</v>
      </c>
      <c r="S548" t="s">
        <v>25</v>
      </c>
    </row>
    <row r="549" spans="1:19" x14ac:dyDescent="0.25">
      <c r="A549">
        <v>10548</v>
      </c>
      <c r="B549">
        <v>29</v>
      </c>
      <c r="C549" t="s">
        <v>19</v>
      </c>
      <c r="D549" t="s">
        <v>28</v>
      </c>
      <c r="E549" t="s">
        <v>40</v>
      </c>
      <c r="F549" t="s">
        <v>35</v>
      </c>
      <c r="G549" t="s">
        <v>30</v>
      </c>
      <c r="H549">
        <v>15913</v>
      </c>
      <c r="I549">
        <v>24469</v>
      </c>
      <c r="J549">
        <v>14</v>
      </c>
      <c r="K549">
        <v>10</v>
      </c>
      <c r="L549">
        <v>3</v>
      </c>
      <c r="M549" t="s">
        <v>25</v>
      </c>
      <c r="N549">
        <v>4</v>
      </c>
      <c r="O549">
        <v>23</v>
      </c>
      <c r="P549">
        <v>57</v>
      </c>
      <c r="Q549">
        <v>4</v>
      </c>
      <c r="R549">
        <v>3</v>
      </c>
      <c r="S549" t="s">
        <v>25</v>
      </c>
    </row>
    <row r="550" spans="1:19" x14ac:dyDescent="0.25">
      <c r="A550">
        <v>10549</v>
      </c>
      <c r="B550">
        <v>34</v>
      </c>
      <c r="C550" t="s">
        <v>31</v>
      </c>
      <c r="D550" t="s">
        <v>41</v>
      </c>
      <c r="E550" t="s">
        <v>36</v>
      </c>
      <c r="F550" t="s">
        <v>39</v>
      </c>
      <c r="G550" t="s">
        <v>38</v>
      </c>
      <c r="H550">
        <v>55649</v>
      </c>
      <c r="I550">
        <v>36923</v>
      </c>
      <c r="J550">
        <v>10</v>
      </c>
      <c r="K550">
        <v>11</v>
      </c>
      <c r="L550">
        <v>3</v>
      </c>
      <c r="M550" t="s">
        <v>25</v>
      </c>
      <c r="N550">
        <v>1</v>
      </c>
      <c r="O550">
        <v>34</v>
      </c>
      <c r="P550">
        <v>36</v>
      </c>
      <c r="Q550">
        <v>1</v>
      </c>
      <c r="R550">
        <v>2</v>
      </c>
      <c r="S550" t="s">
        <v>25</v>
      </c>
    </row>
    <row r="551" spans="1:19" x14ac:dyDescent="0.25">
      <c r="A551">
        <v>10550</v>
      </c>
      <c r="B551">
        <v>57</v>
      </c>
      <c r="C551" t="s">
        <v>31</v>
      </c>
      <c r="D551" t="s">
        <v>34</v>
      </c>
      <c r="E551" t="s">
        <v>27</v>
      </c>
      <c r="F551" t="s">
        <v>39</v>
      </c>
      <c r="G551" t="s">
        <v>38</v>
      </c>
      <c r="H551">
        <v>79733</v>
      </c>
      <c r="I551">
        <v>10858</v>
      </c>
      <c r="J551">
        <v>2</v>
      </c>
      <c r="K551">
        <v>2</v>
      </c>
      <c r="L551">
        <v>3</v>
      </c>
      <c r="M551" t="s">
        <v>25</v>
      </c>
      <c r="N551">
        <v>3</v>
      </c>
      <c r="O551">
        <v>24</v>
      </c>
      <c r="P551">
        <v>17</v>
      </c>
      <c r="Q551">
        <v>4</v>
      </c>
      <c r="R551">
        <v>3</v>
      </c>
      <c r="S551" t="s">
        <v>25</v>
      </c>
    </row>
    <row r="552" spans="1:19" x14ac:dyDescent="0.25">
      <c r="A552">
        <v>10551</v>
      </c>
      <c r="B552">
        <v>31</v>
      </c>
      <c r="C552" t="s">
        <v>19</v>
      </c>
      <c r="D552" t="s">
        <v>32</v>
      </c>
      <c r="E552" t="s">
        <v>36</v>
      </c>
      <c r="F552" t="s">
        <v>39</v>
      </c>
      <c r="G552" t="s">
        <v>30</v>
      </c>
      <c r="H552">
        <v>63118</v>
      </c>
      <c r="I552">
        <v>18105</v>
      </c>
      <c r="J552">
        <v>11</v>
      </c>
      <c r="K552">
        <v>11</v>
      </c>
      <c r="L552">
        <v>3</v>
      </c>
      <c r="M552" t="s">
        <v>25</v>
      </c>
      <c r="N552">
        <v>3</v>
      </c>
      <c r="O552">
        <v>26</v>
      </c>
      <c r="P552">
        <v>20</v>
      </c>
      <c r="Q552">
        <v>3</v>
      </c>
      <c r="R552">
        <v>4</v>
      </c>
      <c r="S552" t="s">
        <v>25</v>
      </c>
    </row>
    <row r="553" spans="1:19" x14ac:dyDescent="0.25">
      <c r="A553">
        <v>10552</v>
      </c>
      <c r="B553">
        <v>22</v>
      </c>
      <c r="C553" t="s">
        <v>31</v>
      </c>
      <c r="D553" t="s">
        <v>32</v>
      </c>
      <c r="E553" t="s">
        <v>40</v>
      </c>
      <c r="F553" t="s">
        <v>35</v>
      </c>
      <c r="G553" t="s">
        <v>38</v>
      </c>
      <c r="H553">
        <v>14359</v>
      </c>
      <c r="I553">
        <v>45590</v>
      </c>
      <c r="J553">
        <v>17</v>
      </c>
      <c r="K553">
        <v>13</v>
      </c>
      <c r="L553">
        <v>2</v>
      </c>
      <c r="M553" t="s">
        <v>25</v>
      </c>
      <c r="N553">
        <v>3</v>
      </c>
      <c r="O553">
        <v>2</v>
      </c>
      <c r="P553">
        <v>7</v>
      </c>
      <c r="Q553">
        <v>4</v>
      </c>
      <c r="R553">
        <v>1</v>
      </c>
      <c r="S553" t="s">
        <v>25</v>
      </c>
    </row>
    <row r="554" spans="1:19" x14ac:dyDescent="0.25">
      <c r="A554">
        <v>10553</v>
      </c>
      <c r="B554">
        <v>32</v>
      </c>
      <c r="C554" t="s">
        <v>19</v>
      </c>
      <c r="D554" t="s">
        <v>20</v>
      </c>
      <c r="E554" t="s">
        <v>27</v>
      </c>
      <c r="F554" t="s">
        <v>35</v>
      </c>
      <c r="G554" t="s">
        <v>38</v>
      </c>
      <c r="H554">
        <v>81988</v>
      </c>
      <c r="I554">
        <v>910</v>
      </c>
      <c r="J554">
        <v>16</v>
      </c>
      <c r="K554">
        <v>5</v>
      </c>
      <c r="L554">
        <v>3</v>
      </c>
      <c r="M554" t="s">
        <v>25</v>
      </c>
      <c r="N554">
        <v>3</v>
      </c>
      <c r="O554">
        <v>37</v>
      </c>
      <c r="P554">
        <v>43</v>
      </c>
      <c r="Q554">
        <v>4</v>
      </c>
      <c r="R554">
        <v>2</v>
      </c>
      <c r="S554" t="s">
        <v>25</v>
      </c>
    </row>
    <row r="555" spans="1:19" x14ac:dyDescent="0.25">
      <c r="A555">
        <v>10554</v>
      </c>
      <c r="B555">
        <v>45</v>
      </c>
      <c r="C555" t="s">
        <v>19</v>
      </c>
      <c r="D555" t="s">
        <v>28</v>
      </c>
      <c r="E555" t="s">
        <v>33</v>
      </c>
      <c r="F555" t="s">
        <v>37</v>
      </c>
      <c r="G555" t="s">
        <v>30</v>
      </c>
      <c r="H555">
        <v>30193</v>
      </c>
      <c r="I555">
        <v>29410</v>
      </c>
      <c r="J555">
        <v>16</v>
      </c>
      <c r="K555">
        <v>11</v>
      </c>
      <c r="L555">
        <v>3</v>
      </c>
      <c r="M555" t="s">
        <v>25</v>
      </c>
      <c r="N555">
        <v>3</v>
      </c>
      <c r="O555">
        <v>33</v>
      </c>
      <c r="P555">
        <v>26</v>
      </c>
      <c r="Q555">
        <v>1</v>
      </c>
      <c r="R555">
        <v>3</v>
      </c>
      <c r="S555" t="s">
        <v>24</v>
      </c>
    </row>
    <row r="556" spans="1:19" x14ac:dyDescent="0.25">
      <c r="A556">
        <v>10555</v>
      </c>
      <c r="B556">
        <v>53</v>
      </c>
      <c r="C556" t="s">
        <v>31</v>
      </c>
      <c r="D556" t="s">
        <v>26</v>
      </c>
      <c r="E556" t="s">
        <v>27</v>
      </c>
      <c r="F556" t="s">
        <v>39</v>
      </c>
      <c r="G556" t="s">
        <v>38</v>
      </c>
      <c r="H556">
        <v>63809</v>
      </c>
      <c r="I556">
        <v>21353</v>
      </c>
      <c r="J556">
        <v>18</v>
      </c>
      <c r="K556">
        <v>7</v>
      </c>
      <c r="L556">
        <v>2</v>
      </c>
      <c r="M556" t="s">
        <v>24</v>
      </c>
      <c r="N556">
        <v>2</v>
      </c>
      <c r="O556">
        <v>25</v>
      </c>
      <c r="P556">
        <v>40</v>
      </c>
      <c r="Q556">
        <v>3</v>
      </c>
      <c r="R556">
        <v>2</v>
      </c>
      <c r="S556" t="s">
        <v>25</v>
      </c>
    </row>
    <row r="557" spans="1:19" x14ac:dyDescent="0.25">
      <c r="A557">
        <v>10556</v>
      </c>
      <c r="B557">
        <v>43</v>
      </c>
      <c r="C557" t="s">
        <v>31</v>
      </c>
      <c r="D557" t="s">
        <v>34</v>
      </c>
      <c r="E557" t="s">
        <v>33</v>
      </c>
      <c r="F557" t="s">
        <v>39</v>
      </c>
      <c r="G557" t="s">
        <v>38</v>
      </c>
      <c r="H557">
        <v>40883</v>
      </c>
      <c r="I557">
        <v>12300</v>
      </c>
      <c r="J557">
        <v>7</v>
      </c>
      <c r="K557">
        <v>9</v>
      </c>
      <c r="L557">
        <v>3</v>
      </c>
      <c r="M557" t="s">
        <v>25</v>
      </c>
      <c r="N557">
        <v>3</v>
      </c>
      <c r="O557">
        <v>7</v>
      </c>
      <c r="P557">
        <v>18</v>
      </c>
      <c r="Q557">
        <v>3</v>
      </c>
      <c r="R557">
        <v>2</v>
      </c>
      <c r="S557" t="s">
        <v>25</v>
      </c>
    </row>
    <row r="558" spans="1:19" x14ac:dyDescent="0.25">
      <c r="A558">
        <v>10557</v>
      </c>
      <c r="B558">
        <v>34</v>
      </c>
      <c r="C558" t="s">
        <v>19</v>
      </c>
      <c r="D558" t="s">
        <v>20</v>
      </c>
      <c r="E558" t="s">
        <v>36</v>
      </c>
      <c r="F558" t="s">
        <v>22</v>
      </c>
      <c r="G558" t="s">
        <v>30</v>
      </c>
      <c r="H558">
        <v>63966</v>
      </c>
      <c r="I558">
        <v>39743</v>
      </c>
      <c r="J558">
        <v>24</v>
      </c>
      <c r="K558">
        <v>3</v>
      </c>
      <c r="L558">
        <v>4</v>
      </c>
      <c r="M558" t="s">
        <v>25</v>
      </c>
      <c r="N558">
        <v>4</v>
      </c>
      <c r="O558">
        <v>19</v>
      </c>
      <c r="P558">
        <v>6</v>
      </c>
      <c r="Q558">
        <v>2</v>
      </c>
      <c r="R558">
        <v>3</v>
      </c>
      <c r="S558" t="s">
        <v>25</v>
      </c>
    </row>
    <row r="559" spans="1:19" x14ac:dyDescent="0.25">
      <c r="A559">
        <v>10558</v>
      </c>
      <c r="B559">
        <v>44</v>
      </c>
      <c r="C559" t="s">
        <v>31</v>
      </c>
      <c r="D559" t="s">
        <v>20</v>
      </c>
      <c r="E559" t="s">
        <v>27</v>
      </c>
      <c r="F559" t="s">
        <v>39</v>
      </c>
      <c r="G559" t="s">
        <v>30</v>
      </c>
      <c r="H559">
        <v>73731</v>
      </c>
      <c r="I559">
        <v>37085</v>
      </c>
      <c r="J559">
        <v>20</v>
      </c>
      <c r="K559">
        <v>13</v>
      </c>
      <c r="L559">
        <v>3</v>
      </c>
      <c r="M559" t="s">
        <v>25</v>
      </c>
      <c r="N559">
        <v>2</v>
      </c>
      <c r="O559">
        <v>22</v>
      </c>
      <c r="P559">
        <v>25</v>
      </c>
      <c r="Q559">
        <v>3</v>
      </c>
      <c r="R559">
        <v>3</v>
      </c>
      <c r="S559" t="s">
        <v>25</v>
      </c>
    </row>
    <row r="560" spans="1:19" x14ac:dyDescent="0.25">
      <c r="A560">
        <v>10559</v>
      </c>
      <c r="B560">
        <v>41</v>
      </c>
      <c r="C560" t="s">
        <v>19</v>
      </c>
      <c r="D560" t="s">
        <v>20</v>
      </c>
      <c r="E560" t="s">
        <v>33</v>
      </c>
      <c r="F560" t="s">
        <v>39</v>
      </c>
      <c r="G560" t="s">
        <v>23</v>
      </c>
      <c r="H560">
        <v>31630</v>
      </c>
      <c r="I560">
        <v>31887</v>
      </c>
      <c r="J560">
        <v>4</v>
      </c>
      <c r="K560">
        <v>8</v>
      </c>
      <c r="L560">
        <v>3</v>
      </c>
      <c r="M560" t="s">
        <v>25</v>
      </c>
      <c r="N560">
        <v>3</v>
      </c>
      <c r="O560">
        <v>30</v>
      </c>
      <c r="P560">
        <v>56</v>
      </c>
      <c r="Q560">
        <v>3</v>
      </c>
      <c r="R560">
        <v>2</v>
      </c>
      <c r="S560" t="s">
        <v>25</v>
      </c>
    </row>
    <row r="561" spans="1:19" x14ac:dyDescent="0.25">
      <c r="A561">
        <v>10560</v>
      </c>
      <c r="B561">
        <v>54</v>
      </c>
      <c r="C561" t="s">
        <v>19</v>
      </c>
      <c r="D561" t="s">
        <v>20</v>
      </c>
      <c r="E561" t="s">
        <v>36</v>
      </c>
      <c r="F561" t="s">
        <v>39</v>
      </c>
      <c r="G561" t="s">
        <v>30</v>
      </c>
      <c r="H561">
        <v>55857</v>
      </c>
      <c r="I561">
        <v>13584</v>
      </c>
      <c r="J561">
        <v>5</v>
      </c>
      <c r="K561">
        <v>9</v>
      </c>
      <c r="L561">
        <v>4</v>
      </c>
      <c r="M561" t="s">
        <v>25</v>
      </c>
      <c r="N561">
        <v>2</v>
      </c>
      <c r="O561">
        <v>2</v>
      </c>
      <c r="P561">
        <v>24</v>
      </c>
      <c r="Q561">
        <v>3</v>
      </c>
      <c r="R561">
        <v>3</v>
      </c>
      <c r="S561" t="s">
        <v>24</v>
      </c>
    </row>
    <row r="562" spans="1:19" x14ac:dyDescent="0.25">
      <c r="A562">
        <v>10561</v>
      </c>
      <c r="B562">
        <v>27</v>
      </c>
      <c r="C562" t="s">
        <v>19</v>
      </c>
      <c r="D562" t="s">
        <v>20</v>
      </c>
      <c r="E562" t="s">
        <v>27</v>
      </c>
      <c r="F562" t="s">
        <v>35</v>
      </c>
      <c r="G562" t="s">
        <v>38</v>
      </c>
      <c r="H562">
        <v>79819</v>
      </c>
      <c r="I562">
        <v>34948</v>
      </c>
      <c r="J562">
        <v>8</v>
      </c>
      <c r="K562">
        <v>7</v>
      </c>
      <c r="L562">
        <v>2</v>
      </c>
      <c r="M562" t="s">
        <v>25</v>
      </c>
      <c r="N562">
        <v>3</v>
      </c>
      <c r="O562">
        <v>7</v>
      </c>
      <c r="P562">
        <v>31</v>
      </c>
      <c r="Q562">
        <v>2</v>
      </c>
      <c r="R562">
        <v>1</v>
      </c>
      <c r="S562" t="s">
        <v>25</v>
      </c>
    </row>
    <row r="563" spans="1:19" x14ac:dyDescent="0.25">
      <c r="A563">
        <v>10562</v>
      </c>
      <c r="B563">
        <v>58</v>
      </c>
      <c r="C563" t="s">
        <v>19</v>
      </c>
      <c r="D563" t="s">
        <v>41</v>
      </c>
      <c r="E563" t="s">
        <v>40</v>
      </c>
      <c r="F563" t="s">
        <v>22</v>
      </c>
      <c r="G563" t="s">
        <v>23</v>
      </c>
      <c r="H563">
        <v>11183</v>
      </c>
      <c r="I563">
        <v>1903</v>
      </c>
      <c r="J563">
        <v>23</v>
      </c>
      <c r="K563">
        <v>7</v>
      </c>
      <c r="L563">
        <v>4</v>
      </c>
      <c r="M563" t="s">
        <v>24</v>
      </c>
      <c r="N563">
        <v>3</v>
      </c>
      <c r="O563">
        <v>32</v>
      </c>
      <c r="P563">
        <v>49</v>
      </c>
      <c r="Q563">
        <v>3</v>
      </c>
      <c r="R563">
        <v>3</v>
      </c>
      <c r="S563" t="s">
        <v>25</v>
      </c>
    </row>
    <row r="564" spans="1:19" x14ac:dyDescent="0.25">
      <c r="A564">
        <v>10563</v>
      </c>
      <c r="B564">
        <v>58</v>
      </c>
      <c r="C564" t="s">
        <v>19</v>
      </c>
      <c r="D564" t="s">
        <v>34</v>
      </c>
      <c r="E564" t="s">
        <v>40</v>
      </c>
      <c r="F564" t="s">
        <v>39</v>
      </c>
      <c r="G564" t="s">
        <v>38</v>
      </c>
      <c r="H564">
        <v>12365</v>
      </c>
      <c r="I564">
        <v>40551</v>
      </c>
      <c r="J564">
        <v>20</v>
      </c>
      <c r="K564">
        <v>0</v>
      </c>
      <c r="L564">
        <v>3</v>
      </c>
      <c r="M564" t="s">
        <v>25</v>
      </c>
      <c r="N564">
        <v>3</v>
      </c>
      <c r="O564">
        <v>25</v>
      </c>
      <c r="P564">
        <v>6</v>
      </c>
      <c r="Q564">
        <v>4</v>
      </c>
      <c r="R564">
        <v>1</v>
      </c>
      <c r="S564" t="s">
        <v>25</v>
      </c>
    </row>
    <row r="565" spans="1:19" x14ac:dyDescent="0.25">
      <c r="A565">
        <v>10564</v>
      </c>
      <c r="B565">
        <v>41</v>
      </c>
      <c r="C565" t="s">
        <v>31</v>
      </c>
      <c r="D565" t="s">
        <v>41</v>
      </c>
      <c r="E565" t="s">
        <v>27</v>
      </c>
      <c r="F565" t="s">
        <v>39</v>
      </c>
      <c r="G565" t="s">
        <v>38</v>
      </c>
      <c r="H565">
        <v>81140</v>
      </c>
      <c r="I565">
        <v>44971</v>
      </c>
      <c r="J565">
        <v>13</v>
      </c>
      <c r="K565">
        <v>13</v>
      </c>
      <c r="L565">
        <v>5</v>
      </c>
      <c r="M565" t="s">
        <v>25</v>
      </c>
      <c r="N565">
        <v>3</v>
      </c>
      <c r="O565">
        <v>30</v>
      </c>
      <c r="P565">
        <v>11</v>
      </c>
      <c r="Q565">
        <v>1</v>
      </c>
      <c r="R565">
        <v>2</v>
      </c>
      <c r="S565" t="s">
        <v>25</v>
      </c>
    </row>
    <row r="566" spans="1:19" x14ac:dyDescent="0.25">
      <c r="A566">
        <v>10565</v>
      </c>
      <c r="B566">
        <v>48</v>
      </c>
      <c r="C566" t="s">
        <v>19</v>
      </c>
      <c r="D566" t="s">
        <v>34</v>
      </c>
      <c r="E566" t="s">
        <v>21</v>
      </c>
      <c r="F566" t="s">
        <v>39</v>
      </c>
      <c r="G566" t="s">
        <v>23</v>
      </c>
      <c r="H566">
        <v>123607</v>
      </c>
      <c r="I566">
        <v>11596</v>
      </c>
      <c r="J566">
        <v>11</v>
      </c>
      <c r="K566">
        <v>14</v>
      </c>
      <c r="L566">
        <v>2</v>
      </c>
      <c r="M566" t="s">
        <v>25</v>
      </c>
      <c r="N566">
        <v>3</v>
      </c>
      <c r="O566">
        <v>11</v>
      </c>
      <c r="P566">
        <v>51</v>
      </c>
      <c r="Q566">
        <v>3</v>
      </c>
      <c r="R566">
        <v>2</v>
      </c>
      <c r="S566" t="s">
        <v>25</v>
      </c>
    </row>
    <row r="567" spans="1:19" x14ac:dyDescent="0.25">
      <c r="A567">
        <v>10566</v>
      </c>
      <c r="B567">
        <v>34</v>
      </c>
      <c r="C567" t="s">
        <v>31</v>
      </c>
      <c r="D567" t="s">
        <v>28</v>
      </c>
      <c r="E567" t="s">
        <v>36</v>
      </c>
      <c r="F567" t="s">
        <v>35</v>
      </c>
      <c r="G567" t="s">
        <v>30</v>
      </c>
      <c r="H567">
        <v>60136</v>
      </c>
      <c r="I567">
        <v>8933</v>
      </c>
      <c r="J567">
        <v>5</v>
      </c>
      <c r="K567">
        <v>11</v>
      </c>
      <c r="L567">
        <v>3</v>
      </c>
      <c r="M567" t="s">
        <v>25</v>
      </c>
      <c r="N567">
        <v>2</v>
      </c>
      <c r="O567">
        <v>30</v>
      </c>
      <c r="P567">
        <v>38</v>
      </c>
      <c r="Q567">
        <v>4</v>
      </c>
      <c r="R567">
        <v>2</v>
      </c>
      <c r="S567" t="s">
        <v>25</v>
      </c>
    </row>
    <row r="568" spans="1:19" x14ac:dyDescent="0.25">
      <c r="A568">
        <v>10567</v>
      </c>
      <c r="B568">
        <v>42</v>
      </c>
      <c r="C568" t="s">
        <v>31</v>
      </c>
      <c r="D568" t="s">
        <v>34</v>
      </c>
      <c r="E568" t="s">
        <v>36</v>
      </c>
      <c r="F568" t="s">
        <v>39</v>
      </c>
      <c r="G568" t="s">
        <v>38</v>
      </c>
      <c r="H568">
        <v>54415</v>
      </c>
      <c r="I568">
        <v>7820</v>
      </c>
      <c r="J568">
        <v>3</v>
      </c>
      <c r="K568">
        <v>3</v>
      </c>
      <c r="L568">
        <v>3</v>
      </c>
      <c r="M568" t="s">
        <v>25</v>
      </c>
      <c r="N568">
        <v>4</v>
      </c>
      <c r="O568">
        <v>29</v>
      </c>
      <c r="P568">
        <v>12</v>
      </c>
      <c r="Q568">
        <v>3</v>
      </c>
      <c r="R568">
        <v>1</v>
      </c>
      <c r="S568" t="s">
        <v>25</v>
      </c>
    </row>
    <row r="569" spans="1:19" x14ac:dyDescent="0.25">
      <c r="A569">
        <v>10568</v>
      </c>
      <c r="B569">
        <v>50</v>
      </c>
      <c r="C569" t="s">
        <v>19</v>
      </c>
      <c r="D569" t="s">
        <v>20</v>
      </c>
      <c r="E569" t="s">
        <v>33</v>
      </c>
      <c r="F569" t="s">
        <v>22</v>
      </c>
      <c r="G569" t="s">
        <v>23</v>
      </c>
      <c r="H569">
        <v>35985</v>
      </c>
      <c r="I569">
        <v>31499</v>
      </c>
      <c r="J569">
        <v>16</v>
      </c>
      <c r="K569">
        <v>12</v>
      </c>
      <c r="L569">
        <v>3</v>
      </c>
      <c r="M569" t="s">
        <v>25</v>
      </c>
      <c r="N569">
        <v>1</v>
      </c>
      <c r="O569">
        <v>37</v>
      </c>
      <c r="P569">
        <v>29</v>
      </c>
      <c r="Q569">
        <v>1</v>
      </c>
      <c r="R569">
        <v>4</v>
      </c>
      <c r="S569" t="s">
        <v>24</v>
      </c>
    </row>
    <row r="570" spans="1:19" x14ac:dyDescent="0.25">
      <c r="A570">
        <v>10569</v>
      </c>
      <c r="B570">
        <v>31</v>
      </c>
      <c r="C570" t="s">
        <v>19</v>
      </c>
      <c r="D570" t="s">
        <v>20</v>
      </c>
      <c r="E570" t="s">
        <v>36</v>
      </c>
      <c r="F570" t="s">
        <v>39</v>
      </c>
      <c r="G570" t="s">
        <v>30</v>
      </c>
      <c r="H570">
        <v>65246</v>
      </c>
      <c r="I570">
        <v>6021</v>
      </c>
      <c r="J570">
        <v>5</v>
      </c>
      <c r="K570">
        <v>1</v>
      </c>
      <c r="L570">
        <v>3</v>
      </c>
      <c r="M570" t="s">
        <v>24</v>
      </c>
      <c r="N570">
        <v>4</v>
      </c>
      <c r="O570">
        <v>33</v>
      </c>
      <c r="P570">
        <v>38</v>
      </c>
      <c r="Q570">
        <v>3</v>
      </c>
      <c r="R570">
        <v>3</v>
      </c>
      <c r="S570" t="s">
        <v>25</v>
      </c>
    </row>
    <row r="571" spans="1:19" x14ac:dyDescent="0.25">
      <c r="A571">
        <v>10570</v>
      </c>
      <c r="B571">
        <v>50</v>
      </c>
      <c r="C571" t="s">
        <v>19</v>
      </c>
      <c r="D571" t="s">
        <v>26</v>
      </c>
      <c r="E571" t="s">
        <v>33</v>
      </c>
      <c r="F571" t="s">
        <v>37</v>
      </c>
      <c r="G571" t="s">
        <v>30</v>
      </c>
      <c r="H571">
        <v>34394</v>
      </c>
      <c r="I571">
        <v>13280</v>
      </c>
      <c r="J571">
        <v>15</v>
      </c>
      <c r="K571">
        <v>13</v>
      </c>
      <c r="L571">
        <v>4</v>
      </c>
      <c r="M571" t="s">
        <v>24</v>
      </c>
      <c r="N571">
        <v>3</v>
      </c>
      <c r="O571">
        <v>37</v>
      </c>
      <c r="P571">
        <v>8</v>
      </c>
      <c r="Q571">
        <v>4</v>
      </c>
      <c r="R571">
        <v>1</v>
      </c>
      <c r="S571" t="s">
        <v>25</v>
      </c>
    </row>
    <row r="572" spans="1:19" x14ac:dyDescent="0.25">
      <c r="A572">
        <v>10571</v>
      </c>
      <c r="B572">
        <v>28</v>
      </c>
      <c r="C572" t="s">
        <v>19</v>
      </c>
      <c r="D572" t="s">
        <v>41</v>
      </c>
      <c r="E572" t="s">
        <v>36</v>
      </c>
      <c r="F572" t="s">
        <v>39</v>
      </c>
      <c r="G572" t="s">
        <v>23</v>
      </c>
      <c r="H572">
        <v>52694</v>
      </c>
      <c r="I572">
        <v>43132</v>
      </c>
      <c r="J572">
        <v>16</v>
      </c>
      <c r="K572">
        <v>4</v>
      </c>
      <c r="L572">
        <v>3</v>
      </c>
      <c r="M572" t="s">
        <v>24</v>
      </c>
      <c r="N572">
        <v>3</v>
      </c>
      <c r="O572">
        <v>23</v>
      </c>
      <c r="P572">
        <v>53</v>
      </c>
      <c r="Q572">
        <v>3</v>
      </c>
      <c r="R572">
        <v>3</v>
      </c>
      <c r="S572" t="s">
        <v>25</v>
      </c>
    </row>
    <row r="573" spans="1:19" x14ac:dyDescent="0.25">
      <c r="A573">
        <v>10572</v>
      </c>
      <c r="B573">
        <v>32</v>
      </c>
      <c r="C573" t="s">
        <v>19</v>
      </c>
      <c r="D573" t="s">
        <v>41</v>
      </c>
      <c r="E573" t="s">
        <v>33</v>
      </c>
      <c r="F573" t="s">
        <v>39</v>
      </c>
      <c r="G573" t="s">
        <v>38</v>
      </c>
      <c r="H573">
        <v>37899</v>
      </c>
      <c r="I573">
        <v>21354</v>
      </c>
      <c r="J573">
        <v>8</v>
      </c>
      <c r="K573">
        <v>8</v>
      </c>
      <c r="L573">
        <v>4</v>
      </c>
      <c r="M573" t="s">
        <v>25</v>
      </c>
      <c r="N573">
        <v>2</v>
      </c>
      <c r="O573">
        <v>12</v>
      </c>
      <c r="P573">
        <v>35</v>
      </c>
      <c r="Q573">
        <v>2</v>
      </c>
      <c r="R573">
        <v>2</v>
      </c>
      <c r="S573" t="s">
        <v>24</v>
      </c>
    </row>
    <row r="574" spans="1:19" x14ac:dyDescent="0.25">
      <c r="A574">
        <v>10573</v>
      </c>
      <c r="B574">
        <v>23</v>
      </c>
      <c r="C574" t="s">
        <v>31</v>
      </c>
      <c r="D574" t="s">
        <v>26</v>
      </c>
      <c r="E574" t="s">
        <v>36</v>
      </c>
      <c r="F574" t="s">
        <v>39</v>
      </c>
      <c r="G574" t="s">
        <v>38</v>
      </c>
      <c r="H574">
        <v>66170</v>
      </c>
      <c r="I574">
        <v>27467</v>
      </c>
      <c r="J574">
        <v>20</v>
      </c>
      <c r="K574">
        <v>4</v>
      </c>
      <c r="L574">
        <v>4</v>
      </c>
      <c r="M574" t="s">
        <v>25</v>
      </c>
      <c r="N574">
        <v>3</v>
      </c>
      <c r="O574">
        <v>32</v>
      </c>
      <c r="P574">
        <v>41</v>
      </c>
      <c r="Q574">
        <v>3</v>
      </c>
      <c r="R574">
        <v>1</v>
      </c>
      <c r="S574" t="s">
        <v>25</v>
      </c>
    </row>
    <row r="575" spans="1:19" x14ac:dyDescent="0.25">
      <c r="A575">
        <v>10574</v>
      </c>
      <c r="B575">
        <v>42</v>
      </c>
      <c r="C575" t="s">
        <v>19</v>
      </c>
      <c r="D575" t="s">
        <v>20</v>
      </c>
      <c r="E575" t="s">
        <v>21</v>
      </c>
      <c r="F575" t="s">
        <v>35</v>
      </c>
      <c r="G575" t="s">
        <v>23</v>
      </c>
      <c r="H575">
        <v>121688</v>
      </c>
      <c r="I575">
        <v>3216</v>
      </c>
      <c r="J575">
        <v>24</v>
      </c>
      <c r="K575">
        <v>2</v>
      </c>
      <c r="L575">
        <v>2</v>
      </c>
      <c r="M575" t="s">
        <v>24</v>
      </c>
      <c r="N575">
        <v>1</v>
      </c>
      <c r="O575">
        <v>6</v>
      </c>
      <c r="P575">
        <v>37</v>
      </c>
      <c r="Q575">
        <v>3</v>
      </c>
      <c r="R575">
        <v>3</v>
      </c>
      <c r="S575" t="s">
        <v>25</v>
      </c>
    </row>
    <row r="576" spans="1:19" x14ac:dyDescent="0.25">
      <c r="A576">
        <v>10575</v>
      </c>
      <c r="B576">
        <v>46</v>
      </c>
      <c r="C576" t="s">
        <v>19</v>
      </c>
      <c r="D576" t="s">
        <v>20</v>
      </c>
      <c r="E576" t="s">
        <v>27</v>
      </c>
      <c r="F576" t="s">
        <v>39</v>
      </c>
      <c r="G576" t="s">
        <v>30</v>
      </c>
      <c r="H576">
        <v>83619</v>
      </c>
      <c r="I576">
        <v>1701</v>
      </c>
      <c r="J576">
        <v>6</v>
      </c>
      <c r="K576">
        <v>12</v>
      </c>
      <c r="L576">
        <v>1</v>
      </c>
      <c r="M576" t="s">
        <v>24</v>
      </c>
      <c r="N576">
        <v>1</v>
      </c>
      <c r="O576">
        <v>19</v>
      </c>
      <c r="P576">
        <v>13</v>
      </c>
      <c r="Q576">
        <v>1</v>
      </c>
      <c r="R576">
        <v>1</v>
      </c>
      <c r="S576" t="s">
        <v>24</v>
      </c>
    </row>
    <row r="577" spans="1:19" x14ac:dyDescent="0.25">
      <c r="A577">
        <v>10576</v>
      </c>
      <c r="B577">
        <v>51</v>
      </c>
      <c r="C577" t="s">
        <v>19</v>
      </c>
      <c r="D577" t="s">
        <v>32</v>
      </c>
      <c r="E577" t="s">
        <v>36</v>
      </c>
      <c r="F577" t="s">
        <v>22</v>
      </c>
      <c r="G577" t="s">
        <v>38</v>
      </c>
      <c r="H577">
        <v>67923</v>
      </c>
      <c r="I577">
        <v>46353</v>
      </c>
      <c r="J577">
        <v>1</v>
      </c>
      <c r="K577">
        <v>11</v>
      </c>
      <c r="L577">
        <v>3</v>
      </c>
      <c r="M577" t="s">
        <v>25</v>
      </c>
      <c r="N577">
        <v>3</v>
      </c>
      <c r="O577">
        <v>28</v>
      </c>
      <c r="P577">
        <v>40</v>
      </c>
      <c r="Q577">
        <v>2</v>
      </c>
      <c r="R577">
        <v>4</v>
      </c>
      <c r="S577" t="s">
        <v>25</v>
      </c>
    </row>
    <row r="578" spans="1:19" x14ac:dyDescent="0.25">
      <c r="A578">
        <v>10577</v>
      </c>
      <c r="B578">
        <v>36</v>
      </c>
      <c r="C578" t="s">
        <v>19</v>
      </c>
      <c r="D578" t="s">
        <v>26</v>
      </c>
      <c r="E578" t="s">
        <v>33</v>
      </c>
      <c r="F578" t="s">
        <v>39</v>
      </c>
      <c r="G578" t="s">
        <v>23</v>
      </c>
      <c r="H578">
        <v>28239</v>
      </c>
      <c r="I578">
        <v>38294</v>
      </c>
      <c r="J578">
        <v>13</v>
      </c>
      <c r="K578">
        <v>6</v>
      </c>
      <c r="L578">
        <v>3</v>
      </c>
      <c r="M578" t="s">
        <v>25</v>
      </c>
      <c r="N578">
        <v>4</v>
      </c>
      <c r="O578">
        <v>28</v>
      </c>
      <c r="P578">
        <v>20</v>
      </c>
      <c r="Q578">
        <v>3</v>
      </c>
      <c r="R578">
        <v>3</v>
      </c>
      <c r="S578" t="s">
        <v>25</v>
      </c>
    </row>
    <row r="579" spans="1:19" x14ac:dyDescent="0.25">
      <c r="A579">
        <v>10578</v>
      </c>
      <c r="B579">
        <v>36</v>
      </c>
      <c r="C579" t="s">
        <v>19</v>
      </c>
      <c r="D579" t="s">
        <v>32</v>
      </c>
      <c r="E579" t="s">
        <v>36</v>
      </c>
      <c r="F579" t="s">
        <v>35</v>
      </c>
      <c r="G579" t="s">
        <v>38</v>
      </c>
      <c r="H579">
        <v>66256</v>
      </c>
      <c r="I579">
        <v>36210</v>
      </c>
      <c r="J579">
        <v>23</v>
      </c>
      <c r="K579">
        <v>6</v>
      </c>
      <c r="L579">
        <v>4</v>
      </c>
      <c r="M579" t="s">
        <v>25</v>
      </c>
      <c r="N579">
        <v>1</v>
      </c>
      <c r="O579">
        <v>33</v>
      </c>
      <c r="P579">
        <v>17</v>
      </c>
      <c r="Q579">
        <v>3</v>
      </c>
      <c r="R579">
        <v>2</v>
      </c>
      <c r="S579" t="s">
        <v>24</v>
      </c>
    </row>
    <row r="580" spans="1:19" x14ac:dyDescent="0.25">
      <c r="A580">
        <v>10579</v>
      </c>
      <c r="B580">
        <v>24</v>
      </c>
      <c r="C580" t="s">
        <v>19</v>
      </c>
      <c r="D580" t="s">
        <v>32</v>
      </c>
      <c r="E580" t="s">
        <v>27</v>
      </c>
      <c r="F580" t="s">
        <v>35</v>
      </c>
      <c r="G580" t="s">
        <v>38</v>
      </c>
      <c r="H580">
        <v>71652</v>
      </c>
      <c r="I580">
        <v>48791</v>
      </c>
      <c r="J580">
        <v>17</v>
      </c>
      <c r="K580">
        <v>4</v>
      </c>
      <c r="L580">
        <v>3</v>
      </c>
      <c r="M580" t="s">
        <v>25</v>
      </c>
      <c r="N580">
        <v>3</v>
      </c>
      <c r="O580">
        <v>25</v>
      </c>
      <c r="P580">
        <v>56</v>
      </c>
      <c r="Q580">
        <v>3</v>
      </c>
      <c r="R580">
        <v>2</v>
      </c>
      <c r="S580" t="s">
        <v>25</v>
      </c>
    </row>
    <row r="581" spans="1:19" x14ac:dyDescent="0.25">
      <c r="A581">
        <v>10580</v>
      </c>
      <c r="B581">
        <v>58</v>
      </c>
      <c r="C581" t="s">
        <v>31</v>
      </c>
      <c r="D581" t="s">
        <v>20</v>
      </c>
      <c r="E581" t="s">
        <v>33</v>
      </c>
      <c r="F581" t="s">
        <v>35</v>
      </c>
      <c r="G581" t="s">
        <v>38</v>
      </c>
      <c r="H581">
        <v>39235</v>
      </c>
      <c r="I581">
        <v>14849</v>
      </c>
      <c r="J581">
        <v>23</v>
      </c>
      <c r="K581">
        <v>0</v>
      </c>
      <c r="L581">
        <v>4</v>
      </c>
      <c r="M581" t="s">
        <v>25</v>
      </c>
      <c r="N581">
        <v>3</v>
      </c>
      <c r="O581">
        <v>29</v>
      </c>
      <c r="P581">
        <v>16</v>
      </c>
      <c r="Q581">
        <v>2</v>
      </c>
      <c r="R581">
        <v>3</v>
      </c>
      <c r="S581" t="s">
        <v>25</v>
      </c>
    </row>
    <row r="582" spans="1:19" x14ac:dyDescent="0.25">
      <c r="A582">
        <v>10581</v>
      </c>
      <c r="B582">
        <v>21</v>
      </c>
      <c r="C582" t="s">
        <v>19</v>
      </c>
      <c r="D582" t="s">
        <v>32</v>
      </c>
      <c r="E582" t="s">
        <v>36</v>
      </c>
      <c r="F582" t="s">
        <v>39</v>
      </c>
      <c r="G582" t="s">
        <v>38</v>
      </c>
      <c r="H582">
        <v>60290</v>
      </c>
      <c r="I582">
        <v>6060</v>
      </c>
      <c r="J582">
        <v>0</v>
      </c>
      <c r="K582">
        <v>5</v>
      </c>
      <c r="L582">
        <v>5</v>
      </c>
      <c r="M582" t="s">
        <v>25</v>
      </c>
      <c r="N582">
        <v>3</v>
      </c>
      <c r="O582">
        <v>20</v>
      </c>
      <c r="P582">
        <v>21</v>
      </c>
      <c r="Q582">
        <v>4</v>
      </c>
      <c r="R582">
        <v>2</v>
      </c>
      <c r="S582" t="s">
        <v>25</v>
      </c>
    </row>
    <row r="583" spans="1:19" x14ac:dyDescent="0.25">
      <c r="A583">
        <v>10582</v>
      </c>
      <c r="B583">
        <v>48</v>
      </c>
      <c r="C583" t="s">
        <v>19</v>
      </c>
      <c r="D583" t="s">
        <v>41</v>
      </c>
      <c r="E583" t="s">
        <v>33</v>
      </c>
      <c r="F583" t="s">
        <v>39</v>
      </c>
      <c r="G583" t="s">
        <v>23</v>
      </c>
      <c r="H583">
        <v>30273</v>
      </c>
      <c r="I583">
        <v>35017</v>
      </c>
      <c r="J583">
        <v>9</v>
      </c>
      <c r="K583">
        <v>4</v>
      </c>
      <c r="L583">
        <v>1</v>
      </c>
      <c r="M583" t="s">
        <v>24</v>
      </c>
      <c r="N583">
        <v>3</v>
      </c>
      <c r="O583">
        <v>31</v>
      </c>
      <c r="P583">
        <v>45</v>
      </c>
      <c r="Q583">
        <v>3</v>
      </c>
      <c r="R583">
        <v>1</v>
      </c>
      <c r="S583" t="s">
        <v>25</v>
      </c>
    </row>
    <row r="584" spans="1:19" x14ac:dyDescent="0.25">
      <c r="A584">
        <v>10583</v>
      </c>
      <c r="B584">
        <v>30</v>
      </c>
      <c r="C584" t="s">
        <v>19</v>
      </c>
      <c r="D584" t="s">
        <v>34</v>
      </c>
      <c r="E584" t="s">
        <v>33</v>
      </c>
      <c r="F584" t="s">
        <v>39</v>
      </c>
      <c r="G584" t="s">
        <v>38</v>
      </c>
      <c r="H584">
        <v>31931</v>
      </c>
      <c r="I584">
        <v>10456</v>
      </c>
      <c r="J584">
        <v>16</v>
      </c>
      <c r="K584">
        <v>11</v>
      </c>
      <c r="L584">
        <v>3</v>
      </c>
      <c r="M584" t="s">
        <v>25</v>
      </c>
      <c r="N584">
        <v>3</v>
      </c>
      <c r="O584">
        <v>19</v>
      </c>
      <c r="P584">
        <v>18</v>
      </c>
      <c r="Q584">
        <v>3</v>
      </c>
      <c r="R584">
        <v>2</v>
      </c>
      <c r="S584" t="s">
        <v>25</v>
      </c>
    </row>
    <row r="585" spans="1:19" x14ac:dyDescent="0.25">
      <c r="A585">
        <v>10584</v>
      </c>
      <c r="B585">
        <v>26</v>
      </c>
      <c r="C585" t="s">
        <v>31</v>
      </c>
      <c r="D585" t="s">
        <v>26</v>
      </c>
      <c r="E585" t="s">
        <v>21</v>
      </c>
      <c r="F585" t="s">
        <v>39</v>
      </c>
      <c r="G585" t="s">
        <v>38</v>
      </c>
      <c r="H585">
        <v>98556</v>
      </c>
      <c r="I585">
        <v>18922</v>
      </c>
      <c r="J585">
        <v>16</v>
      </c>
      <c r="K585">
        <v>4</v>
      </c>
      <c r="L585">
        <v>3</v>
      </c>
      <c r="M585" t="s">
        <v>25</v>
      </c>
      <c r="N585">
        <v>3</v>
      </c>
      <c r="O585">
        <v>8</v>
      </c>
      <c r="P585">
        <v>17</v>
      </c>
      <c r="Q585">
        <v>2</v>
      </c>
      <c r="R585">
        <v>1</v>
      </c>
      <c r="S585" t="s">
        <v>25</v>
      </c>
    </row>
    <row r="586" spans="1:19" x14ac:dyDescent="0.25">
      <c r="A586">
        <v>10585</v>
      </c>
      <c r="B586">
        <v>32</v>
      </c>
      <c r="C586" t="s">
        <v>19</v>
      </c>
      <c r="D586" t="s">
        <v>28</v>
      </c>
      <c r="E586" t="s">
        <v>33</v>
      </c>
      <c r="F586" t="s">
        <v>22</v>
      </c>
      <c r="G586" t="s">
        <v>23</v>
      </c>
      <c r="H586">
        <v>34249</v>
      </c>
      <c r="I586">
        <v>6655</v>
      </c>
      <c r="J586">
        <v>14</v>
      </c>
      <c r="K586">
        <v>3</v>
      </c>
      <c r="L586">
        <v>1</v>
      </c>
      <c r="M586" t="s">
        <v>25</v>
      </c>
      <c r="N586">
        <v>4</v>
      </c>
      <c r="O586">
        <v>6</v>
      </c>
      <c r="P586">
        <v>31</v>
      </c>
      <c r="Q586">
        <v>3</v>
      </c>
      <c r="R586">
        <v>4</v>
      </c>
      <c r="S586" t="s">
        <v>25</v>
      </c>
    </row>
    <row r="587" spans="1:19" x14ac:dyDescent="0.25">
      <c r="A587">
        <v>10586</v>
      </c>
      <c r="B587">
        <v>33</v>
      </c>
      <c r="C587" t="s">
        <v>19</v>
      </c>
      <c r="D587" t="s">
        <v>32</v>
      </c>
      <c r="E587" t="s">
        <v>36</v>
      </c>
      <c r="F587" t="s">
        <v>35</v>
      </c>
      <c r="G587" t="s">
        <v>30</v>
      </c>
      <c r="H587">
        <v>61526</v>
      </c>
      <c r="I587">
        <v>28016</v>
      </c>
      <c r="J587">
        <v>20</v>
      </c>
      <c r="K587">
        <v>13</v>
      </c>
      <c r="L587">
        <v>3</v>
      </c>
      <c r="M587" t="s">
        <v>25</v>
      </c>
      <c r="N587">
        <v>4</v>
      </c>
      <c r="O587">
        <v>12</v>
      </c>
      <c r="P587">
        <v>58</v>
      </c>
      <c r="Q587">
        <v>3</v>
      </c>
      <c r="R587">
        <v>4</v>
      </c>
      <c r="S587" t="s">
        <v>25</v>
      </c>
    </row>
    <row r="588" spans="1:19" x14ac:dyDescent="0.25">
      <c r="A588">
        <v>10587</v>
      </c>
      <c r="B588">
        <v>54</v>
      </c>
      <c r="C588" t="s">
        <v>19</v>
      </c>
      <c r="D588" t="s">
        <v>26</v>
      </c>
      <c r="E588" t="s">
        <v>36</v>
      </c>
      <c r="F588" t="s">
        <v>35</v>
      </c>
      <c r="G588" t="s">
        <v>30</v>
      </c>
      <c r="H588">
        <v>54839</v>
      </c>
      <c r="I588">
        <v>14690</v>
      </c>
      <c r="J588">
        <v>3</v>
      </c>
      <c r="K588">
        <v>0</v>
      </c>
      <c r="L588">
        <v>3</v>
      </c>
      <c r="M588" t="s">
        <v>25</v>
      </c>
      <c r="N588">
        <v>2</v>
      </c>
      <c r="O588">
        <v>12</v>
      </c>
      <c r="P588">
        <v>15</v>
      </c>
      <c r="Q588">
        <v>1</v>
      </c>
      <c r="R588">
        <v>4</v>
      </c>
      <c r="S588" t="s">
        <v>24</v>
      </c>
    </row>
    <row r="589" spans="1:19" x14ac:dyDescent="0.25">
      <c r="A589">
        <v>10588</v>
      </c>
      <c r="B589">
        <v>22</v>
      </c>
      <c r="C589" t="s">
        <v>19</v>
      </c>
      <c r="D589" t="s">
        <v>28</v>
      </c>
      <c r="E589" t="s">
        <v>36</v>
      </c>
      <c r="F589" t="s">
        <v>35</v>
      </c>
      <c r="G589" t="s">
        <v>38</v>
      </c>
      <c r="H589">
        <v>51299</v>
      </c>
      <c r="I589">
        <v>24709</v>
      </c>
      <c r="J589">
        <v>19</v>
      </c>
      <c r="K589">
        <v>10</v>
      </c>
      <c r="L589">
        <v>3</v>
      </c>
      <c r="M589" t="s">
        <v>24</v>
      </c>
      <c r="N589">
        <v>3</v>
      </c>
      <c r="O589">
        <v>13</v>
      </c>
      <c r="P589">
        <v>26</v>
      </c>
      <c r="Q589">
        <v>2</v>
      </c>
      <c r="R589">
        <v>3</v>
      </c>
      <c r="S589" t="s">
        <v>25</v>
      </c>
    </row>
    <row r="590" spans="1:19" x14ac:dyDescent="0.25">
      <c r="A590">
        <v>10589</v>
      </c>
      <c r="B590">
        <v>33</v>
      </c>
      <c r="C590" t="s">
        <v>19</v>
      </c>
      <c r="D590" t="s">
        <v>41</v>
      </c>
      <c r="E590" t="s">
        <v>21</v>
      </c>
      <c r="F590" t="s">
        <v>39</v>
      </c>
      <c r="G590" t="s">
        <v>38</v>
      </c>
      <c r="H590">
        <v>127997</v>
      </c>
      <c r="I590">
        <v>24187</v>
      </c>
      <c r="J590">
        <v>22</v>
      </c>
      <c r="K590">
        <v>14</v>
      </c>
      <c r="L590">
        <v>4</v>
      </c>
      <c r="M590" t="s">
        <v>25</v>
      </c>
      <c r="N590">
        <v>4</v>
      </c>
      <c r="O590">
        <v>26</v>
      </c>
      <c r="P590">
        <v>24</v>
      </c>
      <c r="Q590">
        <v>2</v>
      </c>
      <c r="R590">
        <v>2</v>
      </c>
      <c r="S590" t="s">
        <v>25</v>
      </c>
    </row>
    <row r="591" spans="1:19" x14ac:dyDescent="0.25">
      <c r="A591">
        <v>10590</v>
      </c>
      <c r="B591">
        <v>34</v>
      </c>
      <c r="C591" t="s">
        <v>19</v>
      </c>
      <c r="D591" t="s">
        <v>26</v>
      </c>
      <c r="E591" t="s">
        <v>33</v>
      </c>
      <c r="F591" t="s">
        <v>22</v>
      </c>
      <c r="G591" t="s">
        <v>30</v>
      </c>
      <c r="H591">
        <v>38242</v>
      </c>
      <c r="I591">
        <v>25298</v>
      </c>
      <c r="J591">
        <v>10</v>
      </c>
      <c r="K591">
        <v>4</v>
      </c>
      <c r="L591">
        <v>5</v>
      </c>
      <c r="M591" t="s">
        <v>25</v>
      </c>
      <c r="N591">
        <v>2</v>
      </c>
      <c r="O591">
        <v>8</v>
      </c>
      <c r="P591">
        <v>9</v>
      </c>
      <c r="Q591">
        <v>3</v>
      </c>
      <c r="R591">
        <v>3</v>
      </c>
      <c r="S591" t="s">
        <v>25</v>
      </c>
    </row>
    <row r="592" spans="1:19" x14ac:dyDescent="0.25">
      <c r="A592">
        <v>10591</v>
      </c>
      <c r="B592">
        <v>55</v>
      </c>
      <c r="C592" t="s">
        <v>19</v>
      </c>
      <c r="D592" t="s">
        <v>20</v>
      </c>
      <c r="E592" t="s">
        <v>27</v>
      </c>
      <c r="F592" t="s">
        <v>22</v>
      </c>
      <c r="G592" t="s">
        <v>38</v>
      </c>
      <c r="H592">
        <v>75919</v>
      </c>
      <c r="I592">
        <v>47653</v>
      </c>
      <c r="J592">
        <v>4</v>
      </c>
      <c r="K592">
        <v>13</v>
      </c>
      <c r="L592">
        <v>2</v>
      </c>
      <c r="M592" t="s">
        <v>25</v>
      </c>
      <c r="N592">
        <v>4</v>
      </c>
      <c r="O592">
        <v>14</v>
      </c>
      <c r="P592">
        <v>8</v>
      </c>
      <c r="Q592">
        <v>3</v>
      </c>
      <c r="R592">
        <v>4</v>
      </c>
      <c r="S592" t="s">
        <v>25</v>
      </c>
    </row>
    <row r="593" spans="1:19" x14ac:dyDescent="0.25">
      <c r="A593">
        <v>10592</v>
      </c>
      <c r="B593">
        <v>35</v>
      </c>
      <c r="C593" t="s">
        <v>31</v>
      </c>
      <c r="D593" t="s">
        <v>28</v>
      </c>
      <c r="E593" t="s">
        <v>36</v>
      </c>
      <c r="F593" t="s">
        <v>35</v>
      </c>
      <c r="G593" t="s">
        <v>23</v>
      </c>
      <c r="H593">
        <v>61849</v>
      </c>
      <c r="I593">
        <v>49477</v>
      </c>
      <c r="J593">
        <v>5</v>
      </c>
      <c r="K593">
        <v>2</v>
      </c>
      <c r="L593">
        <v>5</v>
      </c>
      <c r="M593" t="s">
        <v>24</v>
      </c>
      <c r="N593">
        <v>2</v>
      </c>
      <c r="O593">
        <v>31</v>
      </c>
      <c r="P593">
        <v>25</v>
      </c>
      <c r="Q593">
        <v>3</v>
      </c>
      <c r="R593">
        <v>4</v>
      </c>
      <c r="S593" t="s">
        <v>25</v>
      </c>
    </row>
    <row r="594" spans="1:19" x14ac:dyDescent="0.25">
      <c r="A594">
        <v>10593</v>
      </c>
      <c r="B594">
        <v>26</v>
      </c>
      <c r="C594" t="s">
        <v>31</v>
      </c>
      <c r="D594" t="s">
        <v>32</v>
      </c>
      <c r="E594" t="s">
        <v>33</v>
      </c>
      <c r="F594" t="s">
        <v>39</v>
      </c>
      <c r="G594" t="s">
        <v>38</v>
      </c>
      <c r="H594">
        <v>36659</v>
      </c>
      <c r="I594">
        <v>35109</v>
      </c>
      <c r="J594">
        <v>10</v>
      </c>
      <c r="K594">
        <v>0</v>
      </c>
      <c r="L594">
        <v>3</v>
      </c>
      <c r="M594" t="s">
        <v>25</v>
      </c>
      <c r="N594">
        <v>1</v>
      </c>
      <c r="O594">
        <v>17</v>
      </c>
      <c r="P594">
        <v>12</v>
      </c>
      <c r="Q594">
        <v>4</v>
      </c>
      <c r="R594">
        <v>3</v>
      </c>
      <c r="S594" t="s">
        <v>25</v>
      </c>
    </row>
    <row r="595" spans="1:19" x14ac:dyDescent="0.25">
      <c r="A595">
        <v>10594</v>
      </c>
      <c r="B595">
        <v>36</v>
      </c>
      <c r="C595" t="s">
        <v>19</v>
      </c>
      <c r="D595" t="s">
        <v>41</v>
      </c>
      <c r="E595" t="s">
        <v>21</v>
      </c>
      <c r="F595" t="s">
        <v>37</v>
      </c>
      <c r="G595" t="s">
        <v>30</v>
      </c>
      <c r="H595">
        <v>112402</v>
      </c>
      <c r="I595">
        <v>13965</v>
      </c>
      <c r="J595">
        <v>5</v>
      </c>
      <c r="K595">
        <v>7</v>
      </c>
      <c r="L595">
        <v>3</v>
      </c>
      <c r="M595" t="s">
        <v>25</v>
      </c>
      <c r="N595">
        <v>4</v>
      </c>
      <c r="O595">
        <v>27</v>
      </c>
      <c r="P595">
        <v>33</v>
      </c>
      <c r="Q595">
        <v>2</v>
      </c>
      <c r="R595">
        <v>1</v>
      </c>
      <c r="S595" t="s">
        <v>25</v>
      </c>
    </row>
    <row r="596" spans="1:19" x14ac:dyDescent="0.25">
      <c r="A596">
        <v>10595</v>
      </c>
      <c r="B596">
        <v>48</v>
      </c>
      <c r="C596" t="s">
        <v>19</v>
      </c>
      <c r="D596" t="s">
        <v>28</v>
      </c>
      <c r="E596" t="s">
        <v>33</v>
      </c>
      <c r="F596" t="s">
        <v>35</v>
      </c>
      <c r="G596" t="s">
        <v>30</v>
      </c>
      <c r="H596">
        <v>31765</v>
      </c>
      <c r="I596">
        <v>22658</v>
      </c>
      <c r="J596">
        <v>15</v>
      </c>
      <c r="K596">
        <v>10</v>
      </c>
      <c r="L596">
        <v>3</v>
      </c>
      <c r="M596" t="s">
        <v>25</v>
      </c>
      <c r="N596">
        <v>3</v>
      </c>
      <c r="O596">
        <v>16</v>
      </c>
      <c r="P596">
        <v>55</v>
      </c>
      <c r="Q596">
        <v>3</v>
      </c>
      <c r="R596">
        <v>1</v>
      </c>
      <c r="S596" t="s">
        <v>25</v>
      </c>
    </row>
    <row r="597" spans="1:19" x14ac:dyDescent="0.25">
      <c r="A597">
        <v>10596</v>
      </c>
      <c r="B597">
        <v>41</v>
      </c>
      <c r="C597" t="s">
        <v>31</v>
      </c>
      <c r="D597" t="s">
        <v>20</v>
      </c>
      <c r="E597" t="s">
        <v>33</v>
      </c>
      <c r="F597" t="s">
        <v>35</v>
      </c>
      <c r="G597" t="s">
        <v>30</v>
      </c>
      <c r="H597">
        <v>35681</v>
      </c>
      <c r="I597">
        <v>9114</v>
      </c>
      <c r="J597">
        <v>6</v>
      </c>
      <c r="K597">
        <v>2</v>
      </c>
      <c r="L597">
        <v>3</v>
      </c>
      <c r="M597" t="s">
        <v>25</v>
      </c>
      <c r="N597">
        <v>1</v>
      </c>
      <c r="O597">
        <v>19</v>
      </c>
      <c r="P597">
        <v>54</v>
      </c>
      <c r="Q597">
        <v>2</v>
      </c>
      <c r="R597">
        <v>3</v>
      </c>
      <c r="S597" t="s">
        <v>24</v>
      </c>
    </row>
    <row r="598" spans="1:19" x14ac:dyDescent="0.25">
      <c r="A598">
        <v>10597</v>
      </c>
      <c r="B598">
        <v>59</v>
      </c>
      <c r="C598" t="s">
        <v>19</v>
      </c>
      <c r="D598" t="s">
        <v>34</v>
      </c>
      <c r="E598" t="s">
        <v>36</v>
      </c>
      <c r="F598" t="s">
        <v>35</v>
      </c>
      <c r="G598" t="s">
        <v>38</v>
      </c>
      <c r="H598">
        <v>49263</v>
      </c>
      <c r="I598">
        <v>40843</v>
      </c>
      <c r="J598">
        <v>10</v>
      </c>
      <c r="K598">
        <v>2</v>
      </c>
      <c r="L598">
        <v>3</v>
      </c>
      <c r="M598" t="s">
        <v>25</v>
      </c>
      <c r="N598">
        <v>2</v>
      </c>
      <c r="O598">
        <v>27</v>
      </c>
      <c r="P598">
        <v>13</v>
      </c>
      <c r="Q598">
        <v>4</v>
      </c>
      <c r="R598">
        <v>3</v>
      </c>
      <c r="S598" t="s">
        <v>25</v>
      </c>
    </row>
    <row r="599" spans="1:19" x14ac:dyDescent="0.25">
      <c r="A599">
        <v>10598</v>
      </c>
      <c r="B599">
        <v>26</v>
      </c>
      <c r="C599" t="s">
        <v>19</v>
      </c>
      <c r="D599" t="s">
        <v>28</v>
      </c>
      <c r="E599" t="s">
        <v>21</v>
      </c>
      <c r="F599" t="s">
        <v>22</v>
      </c>
      <c r="G599" t="s">
        <v>30</v>
      </c>
      <c r="H599">
        <v>111996</v>
      </c>
      <c r="I599">
        <v>42582</v>
      </c>
      <c r="J599">
        <v>24</v>
      </c>
      <c r="K599">
        <v>10</v>
      </c>
      <c r="L599">
        <v>3</v>
      </c>
      <c r="M599" t="s">
        <v>25</v>
      </c>
      <c r="N599">
        <v>4</v>
      </c>
      <c r="O599">
        <v>4</v>
      </c>
      <c r="P599">
        <v>28</v>
      </c>
      <c r="Q599">
        <v>3</v>
      </c>
      <c r="R599">
        <v>3</v>
      </c>
      <c r="S599" t="s">
        <v>25</v>
      </c>
    </row>
    <row r="600" spans="1:19" x14ac:dyDescent="0.25">
      <c r="A600">
        <v>10599</v>
      </c>
      <c r="B600">
        <v>41</v>
      </c>
      <c r="C600" t="s">
        <v>31</v>
      </c>
      <c r="D600" t="s">
        <v>28</v>
      </c>
      <c r="E600" t="s">
        <v>27</v>
      </c>
      <c r="F600" t="s">
        <v>22</v>
      </c>
      <c r="G600" t="s">
        <v>38</v>
      </c>
      <c r="H600">
        <v>69118</v>
      </c>
      <c r="I600">
        <v>46947</v>
      </c>
      <c r="J600">
        <v>20</v>
      </c>
      <c r="K600">
        <v>6</v>
      </c>
      <c r="L600">
        <v>3</v>
      </c>
      <c r="M600" t="s">
        <v>24</v>
      </c>
      <c r="N600">
        <v>2</v>
      </c>
      <c r="O600">
        <v>7</v>
      </c>
      <c r="P600">
        <v>33</v>
      </c>
      <c r="Q600">
        <v>1</v>
      </c>
      <c r="R600">
        <v>4</v>
      </c>
      <c r="S600" t="s">
        <v>24</v>
      </c>
    </row>
    <row r="601" spans="1:19" x14ac:dyDescent="0.25">
      <c r="A601">
        <v>10600</v>
      </c>
      <c r="B601">
        <v>51</v>
      </c>
      <c r="C601" t="s">
        <v>31</v>
      </c>
      <c r="D601" t="s">
        <v>41</v>
      </c>
      <c r="E601" t="s">
        <v>33</v>
      </c>
      <c r="F601" t="s">
        <v>39</v>
      </c>
      <c r="G601" t="s">
        <v>23</v>
      </c>
      <c r="H601">
        <v>39278</v>
      </c>
      <c r="I601">
        <v>42964</v>
      </c>
      <c r="J601">
        <v>20</v>
      </c>
      <c r="K601">
        <v>11</v>
      </c>
      <c r="L601">
        <v>3</v>
      </c>
      <c r="M601" t="s">
        <v>24</v>
      </c>
      <c r="N601">
        <v>2</v>
      </c>
      <c r="O601">
        <v>39</v>
      </c>
      <c r="P601">
        <v>47</v>
      </c>
      <c r="Q601">
        <v>3</v>
      </c>
      <c r="R601">
        <v>3</v>
      </c>
      <c r="S601" t="s">
        <v>25</v>
      </c>
    </row>
    <row r="602" spans="1:19" x14ac:dyDescent="0.25">
      <c r="A602">
        <v>10601</v>
      </c>
      <c r="B602">
        <v>25</v>
      </c>
      <c r="C602" t="s">
        <v>19</v>
      </c>
      <c r="D602" t="s">
        <v>20</v>
      </c>
      <c r="E602" t="s">
        <v>33</v>
      </c>
      <c r="F602" t="s">
        <v>22</v>
      </c>
      <c r="G602" t="s">
        <v>38</v>
      </c>
      <c r="H602">
        <v>25763</v>
      </c>
      <c r="I602">
        <v>10518</v>
      </c>
      <c r="J602">
        <v>19</v>
      </c>
      <c r="K602">
        <v>12</v>
      </c>
      <c r="L602">
        <v>1</v>
      </c>
      <c r="M602" t="s">
        <v>25</v>
      </c>
      <c r="N602">
        <v>4</v>
      </c>
      <c r="O602">
        <v>14</v>
      </c>
      <c r="P602">
        <v>56</v>
      </c>
      <c r="Q602">
        <v>1</v>
      </c>
      <c r="R602">
        <v>3</v>
      </c>
      <c r="S602" t="s">
        <v>25</v>
      </c>
    </row>
    <row r="603" spans="1:19" x14ac:dyDescent="0.25">
      <c r="A603">
        <v>10602</v>
      </c>
      <c r="B603">
        <v>40</v>
      </c>
      <c r="C603" t="s">
        <v>31</v>
      </c>
      <c r="D603" t="s">
        <v>34</v>
      </c>
      <c r="E603" t="s">
        <v>36</v>
      </c>
      <c r="F603" t="s">
        <v>39</v>
      </c>
      <c r="G603" t="s">
        <v>23</v>
      </c>
      <c r="H603">
        <v>52433</v>
      </c>
      <c r="I603">
        <v>497</v>
      </c>
      <c r="J603">
        <v>9</v>
      </c>
      <c r="K603">
        <v>9</v>
      </c>
      <c r="L603">
        <v>1</v>
      </c>
      <c r="M603" t="s">
        <v>25</v>
      </c>
      <c r="N603">
        <v>3</v>
      </c>
      <c r="O603">
        <v>4</v>
      </c>
      <c r="P603">
        <v>53</v>
      </c>
      <c r="Q603">
        <v>3</v>
      </c>
      <c r="R603">
        <v>4</v>
      </c>
      <c r="S603" t="s">
        <v>25</v>
      </c>
    </row>
    <row r="604" spans="1:19" x14ac:dyDescent="0.25">
      <c r="A604">
        <v>10603</v>
      </c>
      <c r="B604">
        <v>52</v>
      </c>
      <c r="C604" t="s">
        <v>31</v>
      </c>
      <c r="D604" t="s">
        <v>26</v>
      </c>
      <c r="E604" t="s">
        <v>36</v>
      </c>
      <c r="F604" t="s">
        <v>39</v>
      </c>
      <c r="G604" t="s">
        <v>23</v>
      </c>
      <c r="H604">
        <v>48605</v>
      </c>
      <c r="I604">
        <v>42703</v>
      </c>
      <c r="J604">
        <v>4</v>
      </c>
      <c r="K604">
        <v>6</v>
      </c>
      <c r="L604">
        <v>4</v>
      </c>
      <c r="M604" t="s">
        <v>25</v>
      </c>
      <c r="N604">
        <v>2</v>
      </c>
      <c r="O604">
        <v>3</v>
      </c>
      <c r="P604">
        <v>28</v>
      </c>
      <c r="Q604">
        <v>4</v>
      </c>
      <c r="R604">
        <v>2</v>
      </c>
      <c r="S604" t="s">
        <v>25</v>
      </c>
    </row>
    <row r="605" spans="1:19" x14ac:dyDescent="0.25">
      <c r="A605">
        <v>10604</v>
      </c>
      <c r="B605">
        <v>35</v>
      </c>
      <c r="C605" t="s">
        <v>31</v>
      </c>
      <c r="D605" t="s">
        <v>20</v>
      </c>
      <c r="E605" t="s">
        <v>33</v>
      </c>
      <c r="F605" t="s">
        <v>39</v>
      </c>
      <c r="G605" t="s">
        <v>30</v>
      </c>
      <c r="H605">
        <v>26773</v>
      </c>
      <c r="I605">
        <v>5079</v>
      </c>
      <c r="J605">
        <v>14</v>
      </c>
      <c r="K605">
        <v>4</v>
      </c>
      <c r="L605">
        <v>2</v>
      </c>
      <c r="M605" t="s">
        <v>25</v>
      </c>
      <c r="N605">
        <v>2</v>
      </c>
      <c r="O605">
        <v>39</v>
      </c>
      <c r="P605">
        <v>42</v>
      </c>
      <c r="Q605">
        <v>1</v>
      </c>
      <c r="R605">
        <v>3</v>
      </c>
      <c r="S605" t="s">
        <v>24</v>
      </c>
    </row>
    <row r="606" spans="1:19" x14ac:dyDescent="0.25">
      <c r="A606">
        <v>10605</v>
      </c>
      <c r="B606">
        <v>36</v>
      </c>
      <c r="C606" t="s">
        <v>19</v>
      </c>
      <c r="D606" t="s">
        <v>26</v>
      </c>
      <c r="E606" t="s">
        <v>36</v>
      </c>
      <c r="F606" t="s">
        <v>39</v>
      </c>
      <c r="G606" t="s">
        <v>30</v>
      </c>
      <c r="H606">
        <v>68279</v>
      </c>
      <c r="I606">
        <v>26118</v>
      </c>
      <c r="J606">
        <v>13</v>
      </c>
      <c r="K606">
        <v>1</v>
      </c>
      <c r="L606">
        <v>1</v>
      </c>
      <c r="M606" t="s">
        <v>25</v>
      </c>
      <c r="N606">
        <v>1</v>
      </c>
      <c r="O606">
        <v>13</v>
      </c>
      <c r="P606">
        <v>52</v>
      </c>
      <c r="Q606">
        <v>4</v>
      </c>
      <c r="R606">
        <v>1</v>
      </c>
      <c r="S606" t="s">
        <v>25</v>
      </c>
    </row>
    <row r="607" spans="1:19" x14ac:dyDescent="0.25">
      <c r="A607">
        <v>10606</v>
      </c>
      <c r="B607">
        <v>32</v>
      </c>
      <c r="C607" t="s">
        <v>19</v>
      </c>
      <c r="D607" t="s">
        <v>41</v>
      </c>
      <c r="E607" t="s">
        <v>33</v>
      </c>
      <c r="F607" t="s">
        <v>39</v>
      </c>
      <c r="G607" t="s">
        <v>23</v>
      </c>
      <c r="H607">
        <v>30423</v>
      </c>
      <c r="I607">
        <v>30810</v>
      </c>
      <c r="J607">
        <v>21</v>
      </c>
      <c r="K607">
        <v>4</v>
      </c>
      <c r="L607">
        <v>3</v>
      </c>
      <c r="M607" t="s">
        <v>25</v>
      </c>
      <c r="N607">
        <v>4</v>
      </c>
      <c r="O607">
        <v>2</v>
      </c>
      <c r="P607">
        <v>41</v>
      </c>
      <c r="Q607">
        <v>2</v>
      </c>
      <c r="R607">
        <v>2</v>
      </c>
      <c r="S607" t="s">
        <v>25</v>
      </c>
    </row>
    <row r="608" spans="1:19" x14ac:dyDescent="0.25">
      <c r="A608">
        <v>10607</v>
      </c>
      <c r="B608">
        <v>30</v>
      </c>
      <c r="C608" t="s">
        <v>31</v>
      </c>
      <c r="D608" t="s">
        <v>41</v>
      </c>
      <c r="E608" t="s">
        <v>33</v>
      </c>
      <c r="F608" t="s">
        <v>39</v>
      </c>
      <c r="G608" t="s">
        <v>30</v>
      </c>
      <c r="H608">
        <v>33266</v>
      </c>
      <c r="I608">
        <v>26598</v>
      </c>
      <c r="J608">
        <v>15</v>
      </c>
      <c r="K608">
        <v>2</v>
      </c>
      <c r="L608">
        <v>2</v>
      </c>
      <c r="M608" t="s">
        <v>25</v>
      </c>
      <c r="N608">
        <v>2</v>
      </c>
      <c r="O608">
        <v>28</v>
      </c>
      <c r="P608">
        <v>48</v>
      </c>
      <c r="Q608">
        <v>3</v>
      </c>
      <c r="R608">
        <v>2</v>
      </c>
      <c r="S608" t="s">
        <v>25</v>
      </c>
    </row>
    <row r="609" spans="1:19" x14ac:dyDescent="0.25">
      <c r="A609">
        <v>10608</v>
      </c>
      <c r="B609">
        <v>20</v>
      </c>
      <c r="C609" t="s">
        <v>19</v>
      </c>
      <c r="D609" t="s">
        <v>20</v>
      </c>
      <c r="E609" t="s">
        <v>36</v>
      </c>
      <c r="F609" t="s">
        <v>35</v>
      </c>
      <c r="G609" t="s">
        <v>30</v>
      </c>
      <c r="H609">
        <v>57071</v>
      </c>
      <c r="I609">
        <v>7965</v>
      </c>
      <c r="J609">
        <v>1</v>
      </c>
      <c r="K609">
        <v>4</v>
      </c>
      <c r="L609">
        <v>4</v>
      </c>
      <c r="M609" t="s">
        <v>24</v>
      </c>
      <c r="N609">
        <v>3</v>
      </c>
      <c r="O609">
        <v>5</v>
      </c>
      <c r="P609">
        <v>54</v>
      </c>
      <c r="Q609">
        <v>1</v>
      </c>
      <c r="R609">
        <v>3</v>
      </c>
      <c r="S609" t="s">
        <v>25</v>
      </c>
    </row>
    <row r="610" spans="1:19" x14ac:dyDescent="0.25">
      <c r="A610">
        <v>10609</v>
      </c>
      <c r="B610">
        <v>45</v>
      </c>
      <c r="C610" t="s">
        <v>31</v>
      </c>
      <c r="D610" t="s">
        <v>34</v>
      </c>
      <c r="E610" t="s">
        <v>27</v>
      </c>
      <c r="F610" t="s">
        <v>39</v>
      </c>
      <c r="G610" t="s">
        <v>30</v>
      </c>
      <c r="H610">
        <v>72221</v>
      </c>
      <c r="I610">
        <v>25255</v>
      </c>
      <c r="J610">
        <v>0</v>
      </c>
      <c r="K610">
        <v>10</v>
      </c>
      <c r="L610">
        <v>3</v>
      </c>
      <c r="M610" t="s">
        <v>25</v>
      </c>
      <c r="N610">
        <v>2</v>
      </c>
      <c r="O610">
        <v>1</v>
      </c>
      <c r="P610">
        <v>35</v>
      </c>
      <c r="Q610">
        <v>4</v>
      </c>
      <c r="R610">
        <v>3</v>
      </c>
      <c r="S610" t="s">
        <v>25</v>
      </c>
    </row>
    <row r="611" spans="1:19" x14ac:dyDescent="0.25">
      <c r="A611">
        <v>10610</v>
      </c>
      <c r="B611">
        <v>40</v>
      </c>
      <c r="C611" t="s">
        <v>19</v>
      </c>
      <c r="D611" t="s">
        <v>28</v>
      </c>
      <c r="E611" t="s">
        <v>33</v>
      </c>
      <c r="F611" t="s">
        <v>39</v>
      </c>
      <c r="G611" t="s">
        <v>38</v>
      </c>
      <c r="H611">
        <v>27786</v>
      </c>
      <c r="I611">
        <v>49322</v>
      </c>
      <c r="J611">
        <v>20</v>
      </c>
      <c r="K611">
        <v>12</v>
      </c>
      <c r="L611">
        <v>5</v>
      </c>
      <c r="M611" t="s">
        <v>25</v>
      </c>
      <c r="N611">
        <v>2</v>
      </c>
      <c r="O611">
        <v>4</v>
      </c>
      <c r="P611">
        <v>26</v>
      </c>
      <c r="Q611">
        <v>2</v>
      </c>
      <c r="R611">
        <v>3</v>
      </c>
      <c r="S611" t="s">
        <v>25</v>
      </c>
    </row>
    <row r="612" spans="1:19" x14ac:dyDescent="0.25">
      <c r="A612">
        <v>10611</v>
      </c>
      <c r="B612">
        <v>49</v>
      </c>
      <c r="C612" t="s">
        <v>19</v>
      </c>
      <c r="D612" t="s">
        <v>41</v>
      </c>
      <c r="E612" t="s">
        <v>33</v>
      </c>
      <c r="F612" t="s">
        <v>39</v>
      </c>
      <c r="G612" t="s">
        <v>38</v>
      </c>
      <c r="H612">
        <v>25236</v>
      </c>
      <c r="I612">
        <v>35191</v>
      </c>
      <c r="J612">
        <v>10</v>
      </c>
      <c r="K612">
        <v>12</v>
      </c>
      <c r="L612">
        <v>5</v>
      </c>
      <c r="M612" t="s">
        <v>25</v>
      </c>
      <c r="N612">
        <v>4</v>
      </c>
      <c r="O612">
        <v>34</v>
      </c>
      <c r="P612">
        <v>43</v>
      </c>
      <c r="Q612">
        <v>2</v>
      </c>
      <c r="R612">
        <v>3</v>
      </c>
      <c r="S612" t="s">
        <v>25</v>
      </c>
    </row>
    <row r="613" spans="1:19" x14ac:dyDescent="0.25">
      <c r="A613">
        <v>10612</v>
      </c>
      <c r="B613">
        <v>43</v>
      </c>
      <c r="C613" t="s">
        <v>19</v>
      </c>
      <c r="D613" t="s">
        <v>34</v>
      </c>
      <c r="E613" t="s">
        <v>36</v>
      </c>
      <c r="F613" t="s">
        <v>39</v>
      </c>
      <c r="G613" t="s">
        <v>38</v>
      </c>
      <c r="H613">
        <v>65487</v>
      </c>
      <c r="I613">
        <v>3098</v>
      </c>
      <c r="J613">
        <v>0</v>
      </c>
      <c r="K613">
        <v>1</v>
      </c>
      <c r="L613">
        <v>4</v>
      </c>
      <c r="M613" t="s">
        <v>25</v>
      </c>
      <c r="N613">
        <v>4</v>
      </c>
      <c r="O613">
        <v>24</v>
      </c>
      <c r="P613">
        <v>43</v>
      </c>
      <c r="Q613">
        <v>3</v>
      </c>
      <c r="R613">
        <v>3</v>
      </c>
      <c r="S613" t="s">
        <v>25</v>
      </c>
    </row>
    <row r="614" spans="1:19" x14ac:dyDescent="0.25">
      <c r="A614">
        <v>10613</v>
      </c>
      <c r="B614">
        <v>33</v>
      </c>
      <c r="C614" t="s">
        <v>19</v>
      </c>
      <c r="D614" t="s">
        <v>20</v>
      </c>
      <c r="E614" t="s">
        <v>21</v>
      </c>
      <c r="F614" t="s">
        <v>39</v>
      </c>
      <c r="G614" t="s">
        <v>38</v>
      </c>
      <c r="H614">
        <v>105775</v>
      </c>
      <c r="I614">
        <v>15683</v>
      </c>
      <c r="J614">
        <v>12</v>
      </c>
      <c r="K614">
        <v>7</v>
      </c>
      <c r="L614">
        <v>2</v>
      </c>
      <c r="M614" t="s">
        <v>25</v>
      </c>
      <c r="N614">
        <v>2</v>
      </c>
      <c r="O614">
        <v>11</v>
      </c>
      <c r="P614">
        <v>49</v>
      </c>
      <c r="Q614">
        <v>3</v>
      </c>
      <c r="R614">
        <v>2</v>
      </c>
      <c r="S614" t="s">
        <v>25</v>
      </c>
    </row>
    <row r="615" spans="1:19" x14ac:dyDescent="0.25">
      <c r="A615">
        <v>10614</v>
      </c>
      <c r="B615">
        <v>43</v>
      </c>
      <c r="C615" t="s">
        <v>31</v>
      </c>
      <c r="D615" t="s">
        <v>20</v>
      </c>
      <c r="E615" t="s">
        <v>40</v>
      </c>
      <c r="F615" t="s">
        <v>39</v>
      </c>
      <c r="G615" t="s">
        <v>38</v>
      </c>
      <c r="H615">
        <v>16321</v>
      </c>
      <c r="I615">
        <v>23211</v>
      </c>
      <c r="J615">
        <v>22</v>
      </c>
      <c r="K615">
        <v>5</v>
      </c>
      <c r="L615">
        <v>2</v>
      </c>
      <c r="M615" t="s">
        <v>25</v>
      </c>
      <c r="N615">
        <v>4</v>
      </c>
      <c r="O615">
        <v>29</v>
      </c>
      <c r="P615">
        <v>11</v>
      </c>
      <c r="Q615">
        <v>4</v>
      </c>
      <c r="R615">
        <v>2</v>
      </c>
      <c r="S615" t="s">
        <v>25</v>
      </c>
    </row>
    <row r="616" spans="1:19" x14ac:dyDescent="0.25">
      <c r="A616">
        <v>10615</v>
      </c>
      <c r="B616">
        <v>45</v>
      </c>
      <c r="C616" t="s">
        <v>19</v>
      </c>
      <c r="D616" t="s">
        <v>32</v>
      </c>
      <c r="E616" t="s">
        <v>29</v>
      </c>
      <c r="F616" t="s">
        <v>39</v>
      </c>
      <c r="G616" t="s">
        <v>23</v>
      </c>
      <c r="H616">
        <v>160910</v>
      </c>
      <c r="I616">
        <v>26918</v>
      </c>
      <c r="J616">
        <v>2</v>
      </c>
      <c r="K616">
        <v>1</v>
      </c>
      <c r="L616">
        <v>3</v>
      </c>
      <c r="M616" t="s">
        <v>25</v>
      </c>
      <c r="N616">
        <v>4</v>
      </c>
      <c r="O616">
        <v>3</v>
      </c>
      <c r="P616">
        <v>45</v>
      </c>
      <c r="Q616">
        <v>3</v>
      </c>
      <c r="R616">
        <v>3</v>
      </c>
      <c r="S616" t="s">
        <v>25</v>
      </c>
    </row>
    <row r="617" spans="1:19" x14ac:dyDescent="0.25">
      <c r="A617">
        <v>10616</v>
      </c>
      <c r="B617">
        <v>25</v>
      </c>
      <c r="C617" t="s">
        <v>19</v>
      </c>
      <c r="D617" t="s">
        <v>20</v>
      </c>
      <c r="E617" t="s">
        <v>36</v>
      </c>
      <c r="F617" t="s">
        <v>39</v>
      </c>
      <c r="G617" t="s">
        <v>38</v>
      </c>
      <c r="H617">
        <v>68132</v>
      </c>
      <c r="I617">
        <v>4889</v>
      </c>
      <c r="J617">
        <v>21</v>
      </c>
      <c r="K617">
        <v>4</v>
      </c>
      <c r="L617">
        <v>3</v>
      </c>
      <c r="M617" t="s">
        <v>24</v>
      </c>
      <c r="N617">
        <v>3</v>
      </c>
      <c r="O617">
        <v>27</v>
      </c>
      <c r="P617">
        <v>11</v>
      </c>
      <c r="Q617">
        <v>3</v>
      </c>
      <c r="R617">
        <v>3</v>
      </c>
      <c r="S617" t="s">
        <v>25</v>
      </c>
    </row>
    <row r="618" spans="1:19" x14ac:dyDescent="0.25">
      <c r="A618">
        <v>10617</v>
      </c>
      <c r="B618">
        <v>45</v>
      </c>
      <c r="C618" t="s">
        <v>31</v>
      </c>
      <c r="D618" t="s">
        <v>20</v>
      </c>
      <c r="E618" t="s">
        <v>33</v>
      </c>
      <c r="F618" t="s">
        <v>39</v>
      </c>
      <c r="G618" t="s">
        <v>38</v>
      </c>
      <c r="H618">
        <v>33204</v>
      </c>
      <c r="I618">
        <v>1408</v>
      </c>
      <c r="J618">
        <v>23</v>
      </c>
      <c r="K618">
        <v>0</v>
      </c>
      <c r="L618">
        <v>2</v>
      </c>
      <c r="M618" t="s">
        <v>25</v>
      </c>
      <c r="N618">
        <v>3</v>
      </c>
      <c r="O618">
        <v>14</v>
      </c>
      <c r="P618">
        <v>25</v>
      </c>
      <c r="Q618">
        <v>4</v>
      </c>
      <c r="R618">
        <v>2</v>
      </c>
      <c r="S618" t="s">
        <v>25</v>
      </c>
    </row>
    <row r="619" spans="1:19" x14ac:dyDescent="0.25">
      <c r="A619">
        <v>10618</v>
      </c>
      <c r="B619">
        <v>30</v>
      </c>
      <c r="C619" t="s">
        <v>19</v>
      </c>
      <c r="D619" t="s">
        <v>26</v>
      </c>
      <c r="E619" t="s">
        <v>33</v>
      </c>
      <c r="F619" t="s">
        <v>35</v>
      </c>
      <c r="G619" t="s">
        <v>30</v>
      </c>
      <c r="H619">
        <v>41878</v>
      </c>
      <c r="I619">
        <v>13775</v>
      </c>
      <c r="J619">
        <v>13</v>
      </c>
      <c r="K619">
        <v>11</v>
      </c>
      <c r="L619">
        <v>3</v>
      </c>
      <c r="M619" t="s">
        <v>25</v>
      </c>
      <c r="N619">
        <v>3</v>
      </c>
      <c r="O619">
        <v>18</v>
      </c>
      <c r="P619">
        <v>26</v>
      </c>
      <c r="Q619">
        <v>4</v>
      </c>
      <c r="R619">
        <v>4</v>
      </c>
      <c r="S619" t="s">
        <v>25</v>
      </c>
    </row>
    <row r="620" spans="1:19" x14ac:dyDescent="0.25">
      <c r="A620">
        <v>10619</v>
      </c>
      <c r="B620">
        <v>26</v>
      </c>
      <c r="C620" t="s">
        <v>19</v>
      </c>
      <c r="D620" t="s">
        <v>20</v>
      </c>
      <c r="E620" t="s">
        <v>36</v>
      </c>
      <c r="F620" t="s">
        <v>22</v>
      </c>
      <c r="G620" t="s">
        <v>30</v>
      </c>
      <c r="H620">
        <v>66332</v>
      </c>
      <c r="I620">
        <v>36365</v>
      </c>
      <c r="J620">
        <v>12</v>
      </c>
      <c r="K620">
        <v>12</v>
      </c>
      <c r="L620">
        <v>3</v>
      </c>
      <c r="M620" t="s">
        <v>25</v>
      </c>
      <c r="N620">
        <v>2</v>
      </c>
      <c r="O620">
        <v>5</v>
      </c>
      <c r="P620">
        <v>28</v>
      </c>
      <c r="Q620">
        <v>4</v>
      </c>
      <c r="R620">
        <v>3</v>
      </c>
      <c r="S620" t="s">
        <v>25</v>
      </c>
    </row>
    <row r="621" spans="1:19" x14ac:dyDescent="0.25">
      <c r="A621">
        <v>10620</v>
      </c>
      <c r="B621">
        <v>56</v>
      </c>
      <c r="C621" t="s">
        <v>19</v>
      </c>
      <c r="D621" t="s">
        <v>41</v>
      </c>
      <c r="E621" t="s">
        <v>27</v>
      </c>
      <c r="F621" t="s">
        <v>35</v>
      </c>
      <c r="G621" t="s">
        <v>30</v>
      </c>
      <c r="H621">
        <v>86174</v>
      </c>
      <c r="I621">
        <v>47318</v>
      </c>
      <c r="J621">
        <v>10</v>
      </c>
      <c r="K621">
        <v>4</v>
      </c>
      <c r="L621">
        <v>3</v>
      </c>
      <c r="M621" t="s">
        <v>25</v>
      </c>
      <c r="N621">
        <v>4</v>
      </c>
      <c r="O621">
        <v>38</v>
      </c>
      <c r="P621">
        <v>8</v>
      </c>
      <c r="Q621">
        <v>3</v>
      </c>
      <c r="R621">
        <v>3</v>
      </c>
      <c r="S621" t="s">
        <v>25</v>
      </c>
    </row>
    <row r="622" spans="1:19" x14ac:dyDescent="0.25">
      <c r="A622">
        <v>10621</v>
      </c>
      <c r="B622">
        <v>32</v>
      </c>
      <c r="C622" t="s">
        <v>31</v>
      </c>
      <c r="D622" t="s">
        <v>32</v>
      </c>
      <c r="E622" t="s">
        <v>27</v>
      </c>
      <c r="F622" t="s">
        <v>35</v>
      </c>
      <c r="G622" t="s">
        <v>30</v>
      </c>
      <c r="H622">
        <v>64429</v>
      </c>
      <c r="I622">
        <v>5361</v>
      </c>
      <c r="J622">
        <v>3</v>
      </c>
      <c r="K622">
        <v>1</v>
      </c>
      <c r="L622">
        <v>3</v>
      </c>
      <c r="M622" t="s">
        <v>25</v>
      </c>
      <c r="N622">
        <v>2</v>
      </c>
      <c r="O622">
        <v>12</v>
      </c>
      <c r="P622">
        <v>23</v>
      </c>
      <c r="Q622">
        <v>3</v>
      </c>
      <c r="R622">
        <v>2</v>
      </c>
      <c r="S622" t="s">
        <v>25</v>
      </c>
    </row>
    <row r="623" spans="1:19" x14ac:dyDescent="0.25">
      <c r="A623">
        <v>10622</v>
      </c>
      <c r="B623">
        <v>34</v>
      </c>
      <c r="C623" t="s">
        <v>19</v>
      </c>
      <c r="D623" t="s">
        <v>26</v>
      </c>
      <c r="E623" t="s">
        <v>36</v>
      </c>
      <c r="F623" t="s">
        <v>35</v>
      </c>
      <c r="G623" t="s">
        <v>38</v>
      </c>
      <c r="H623">
        <v>45886</v>
      </c>
      <c r="I623">
        <v>28342</v>
      </c>
      <c r="J623">
        <v>5</v>
      </c>
      <c r="K623">
        <v>4</v>
      </c>
      <c r="L623">
        <v>5</v>
      </c>
      <c r="M623" t="s">
        <v>24</v>
      </c>
      <c r="N623">
        <v>4</v>
      </c>
      <c r="O623">
        <v>34</v>
      </c>
      <c r="P623">
        <v>57</v>
      </c>
      <c r="Q623">
        <v>4</v>
      </c>
      <c r="R623">
        <v>3</v>
      </c>
      <c r="S623" t="s">
        <v>25</v>
      </c>
    </row>
    <row r="624" spans="1:19" x14ac:dyDescent="0.25">
      <c r="A624">
        <v>10623</v>
      </c>
      <c r="B624">
        <v>55</v>
      </c>
      <c r="C624" t="s">
        <v>19</v>
      </c>
      <c r="D624" t="s">
        <v>34</v>
      </c>
      <c r="E624" t="s">
        <v>36</v>
      </c>
      <c r="F624" t="s">
        <v>39</v>
      </c>
      <c r="G624" t="s">
        <v>38</v>
      </c>
      <c r="H624">
        <v>46780</v>
      </c>
      <c r="I624">
        <v>33593</v>
      </c>
      <c r="J624">
        <v>19</v>
      </c>
      <c r="K624">
        <v>12</v>
      </c>
      <c r="L624">
        <v>2</v>
      </c>
      <c r="M624" t="s">
        <v>24</v>
      </c>
      <c r="N624">
        <v>3</v>
      </c>
      <c r="O624">
        <v>27</v>
      </c>
      <c r="P624">
        <v>12</v>
      </c>
      <c r="Q624">
        <v>3</v>
      </c>
      <c r="R624">
        <v>3</v>
      </c>
      <c r="S624" t="s">
        <v>25</v>
      </c>
    </row>
    <row r="625" spans="1:19" x14ac:dyDescent="0.25">
      <c r="A625">
        <v>10624</v>
      </c>
      <c r="B625">
        <v>39</v>
      </c>
      <c r="C625" t="s">
        <v>19</v>
      </c>
      <c r="D625" t="s">
        <v>20</v>
      </c>
      <c r="E625" t="s">
        <v>36</v>
      </c>
      <c r="F625" t="s">
        <v>39</v>
      </c>
      <c r="G625" t="s">
        <v>23</v>
      </c>
      <c r="H625">
        <v>65012</v>
      </c>
      <c r="I625">
        <v>24312</v>
      </c>
      <c r="J625">
        <v>4</v>
      </c>
      <c r="K625">
        <v>14</v>
      </c>
      <c r="L625">
        <v>2</v>
      </c>
      <c r="M625" t="s">
        <v>24</v>
      </c>
      <c r="N625">
        <v>3</v>
      </c>
      <c r="O625">
        <v>24</v>
      </c>
      <c r="P625">
        <v>8</v>
      </c>
      <c r="Q625">
        <v>2</v>
      </c>
      <c r="R625">
        <v>3</v>
      </c>
      <c r="S625" t="s">
        <v>24</v>
      </c>
    </row>
    <row r="626" spans="1:19" x14ac:dyDescent="0.25">
      <c r="A626">
        <v>10625</v>
      </c>
      <c r="B626">
        <v>55</v>
      </c>
      <c r="C626" t="s">
        <v>19</v>
      </c>
      <c r="D626" t="s">
        <v>20</v>
      </c>
      <c r="E626" t="s">
        <v>33</v>
      </c>
      <c r="F626" t="s">
        <v>39</v>
      </c>
      <c r="G626" t="s">
        <v>38</v>
      </c>
      <c r="H626">
        <v>28212</v>
      </c>
      <c r="I626">
        <v>46815</v>
      </c>
      <c r="J626">
        <v>9</v>
      </c>
      <c r="K626">
        <v>4</v>
      </c>
      <c r="L626">
        <v>3</v>
      </c>
      <c r="M626" t="s">
        <v>25</v>
      </c>
      <c r="N626">
        <v>3</v>
      </c>
      <c r="O626">
        <v>4</v>
      </c>
      <c r="P626">
        <v>46</v>
      </c>
      <c r="Q626">
        <v>4</v>
      </c>
      <c r="R626">
        <v>2</v>
      </c>
      <c r="S626" t="s">
        <v>25</v>
      </c>
    </row>
    <row r="627" spans="1:19" x14ac:dyDescent="0.25">
      <c r="A627">
        <v>10626</v>
      </c>
      <c r="B627">
        <v>37</v>
      </c>
      <c r="C627" t="s">
        <v>31</v>
      </c>
      <c r="D627" t="s">
        <v>41</v>
      </c>
      <c r="E627" t="s">
        <v>27</v>
      </c>
      <c r="F627" t="s">
        <v>39</v>
      </c>
      <c r="G627" t="s">
        <v>38</v>
      </c>
      <c r="H627">
        <v>89074</v>
      </c>
      <c r="I627">
        <v>27584</v>
      </c>
      <c r="J627">
        <v>15</v>
      </c>
      <c r="K627">
        <v>1</v>
      </c>
      <c r="L627">
        <v>3</v>
      </c>
      <c r="M627" t="s">
        <v>25</v>
      </c>
      <c r="N627">
        <v>1</v>
      </c>
      <c r="O627">
        <v>22</v>
      </c>
      <c r="P627">
        <v>57</v>
      </c>
      <c r="Q627">
        <v>4</v>
      </c>
      <c r="R627">
        <v>1</v>
      </c>
      <c r="S627" t="s">
        <v>24</v>
      </c>
    </row>
    <row r="628" spans="1:19" x14ac:dyDescent="0.25">
      <c r="A628">
        <v>10627</v>
      </c>
      <c r="B628">
        <v>31</v>
      </c>
      <c r="C628" t="s">
        <v>31</v>
      </c>
      <c r="D628" t="s">
        <v>20</v>
      </c>
      <c r="E628" t="s">
        <v>33</v>
      </c>
      <c r="F628" t="s">
        <v>35</v>
      </c>
      <c r="G628" t="s">
        <v>30</v>
      </c>
      <c r="H628">
        <v>27098</v>
      </c>
      <c r="I628">
        <v>9910</v>
      </c>
      <c r="J628">
        <v>18</v>
      </c>
      <c r="K628">
        <v>8</v>
      </c>
      <c r="L628">
        <v>3</v>
      </c>
      <c r="M628" t="s">
        <v>25</v>
      </c>
      <c r="N628">
        <v>4</v>
      </c>
      <c r="O628">
        <v>12</v>
      </c>
      <c r="P628">
        <v>11</v>
      </c>
      <c r="Q628">
        <v>3</v>
      </c>
      <c r="R628">
        <v>4</v>
      </c>
      <c r="S628" t="s">
        <v>24</v>
      </c>
    </row>
    <row r="629" spans="1:19" x14ac:dyDescent="0.25">
      <c r="A629">
        <v>10628</v>
      </c>
      <c r="B629">
        <v>56</v>
      </c>
      <c r="C629" t="s">
        <v>31</v>
      </c>
      <c r="D629" t="s">
        <v>26</v>
      </c>
      <c r="E629" t="s">
        <v>36</v>
      </c>
      <c r="F629" t="s">
        <v>39</v>
      </c>
      <c r="G629" t="s">
        <v>30</v>
      </c>
      <c r="H629">
        <v>69182</v>
      </c>
      <c r="I629">
        <v>6387</v>
      </c>
      <c r="J629">
        <v>6</v>
      </c>
      <c r="K629">
        <v>8</v>
      </c>
      <c r="L629">
        <v>3</v>
      </c>
      <c r="M629" t="s">
        <v>25</v>
      </c>
      <c r="N629">
        <v>1</v>
      </c>
      <c r="O629">
        <v>13</v>
      </c>
      <c r="P629">
        <v>44</v>
      </c>
      <c r="Q629">
        <v>2</v>
      </c>
      <c r="R629">
        <v>3</v>
      </c>
      <c r="S629" t="s">
        <v>25</v>
      </c>
    </row>
    <row r="630" spans="1:19" x14ac:dyDescent="0.25">
      <c r="A630">
        <v>10629</v>
      </c>
      <c r="B630">
        <v>44</v>
      </c>
      <c r="C630" t="s">
        <v>31</v>
      </c>
      <c r="D630" t="s">
        <v>20</v>
      </c>
      <c r="E630" t="s">
        <v>36</v>
      </c>
      <c r="F630" t="s">
        <v>39</v>
      </c>
      <c r="G630" t="s">
        <v>30</v>
      </c>
      <c r="H630">
        <v>67523</v>
      </c>
      <c r="I630">
        <v>20637</v>
      </c>
      <c r="J630">
        <v>16</v>
      </c>
      <c r="K630">
        <v>7</v>
      </c>
      <c r="L630">
        <v>3</v>
      </c>
      <c r="M630" t="s">
        <v>25</v>
      </c>
      <c r="N630">
        <v>4</v>
      </c>
      <c r="O630">
        <v>16</v>
      </c>
      <c r="P630">
        <v>17</v>
      </c>
      <c r="Q630">
        <v>1</v>
      </c>
      <c r="R630">
        <v>4</v>
      </c>
      <c r="S630" t="s">
        <v>25</v>
      </c>
    </row>
    <row r="631" spans="1:19" x14ac:dyDescent="0.25">
      <c r="A631">
        <v>10630</v>
      </c>
      <c r="B631">
        <v>46</v>
      </c>
      <c r="C631" t="s">
        <v>31</v>
      </c>
      <c r="D631" t="s">
        <v>34</v>
      </c>
      <c r="E631" t="s">
        <v>33</v>
      </c>
      <c r="F631" t="s">
        <v>35</v>
      </c>
      <c r="G631" t="s">
        <v>30</v>
      </c>
      <c r="H631">
        <v>41717</v>
      </c>
      <c r="I631">
        <v>27407</v>
      </c>
      <c r="J631">
        <v>12</v>
      </c>
      <c r="K631">
        <v>9</v>
      </c>
      <c r="L631">
        <v>3</v>
      </c>
      <c r="M631" t="s">
        <v>25</v>
      </c>
      <c r="N631">
        <v>4</v>
      </c>
      <c r="O631">
        <v>36</v>
      </c>
      <c r="P631">
        <v>13</v>
      </c>
      <c r="Q631">
        <v>4</v>
      </c>
      <c r="R631">
        <v>2</v>
      </c>
      <c r="S631" t="s">
        <v>25</v>
      </c>
    </row>
    <row r="632" spans="1:19" x14ac:dyDescent="0.25">
      <c r="A632">
        <v>10631</v>
      </c>
      <c r="B632">
        <v>35</v>
      </c>
      <c r="C632" t="s">
        <v>19</v>
      </c>
      <c r="D632" t="s">
        <v>20</v>
      </c>
      <c r="E632" t="s">
        <v>21</v>
      </c>
      <c r="F632" t="s">
        <v>39</v>
      </c>
      <c r="G632" t="s">
        <v>38</v>
      </c>
      <c r="H632">
        <v>127432</v>
      </c>
      <c r="I632">
        <v>7440</v>
      </c>
      <c r="J632">
        <v>15</v>
      </c>
      <c r="K632">
        <v>5</v>
      </c>
      <c r="L632">
        <v>4</v>
      </c>
      <c r="M632" t="s">
        <v>25</v>
      </c>
      <c r="N632">
        <v>2</v>
      </c>
      <c r="O632">
        <v>14</v>
      </c>
      <c r="P632">
        <v>26</v>
      </c>
      <c r="Q632">
        <v>1</v>
      </c>
      <c r="R632">
        <v>4</v>
      </c>
      <c r="S632" t="s">
        <v>25</v>
      </c>
    </row>
    <row r="633" spans="1:19" x14ac:dyDescent="0.25">
      <c r="A633">
        <v>10632</v>
      </c>
      <c r="B633">
        <v>46</v>
      </c>
      <c r="C633" t="s">
        <v>19</v>
      </c>
      <c r="D633" t="s">
        <v>28</v>
      </c>
      <c r="E633" t="s">
        <v>33</v>
      </c>
      <c r="F633" t="s">
        <v>22</v>
      </c>
      <c r="G633" t="s">
        <v>38</v>
      </c>
      <c r="H633">
        <v>32008</v>
      </c>
      <c r="I633">
        <v>37486</v>
      </c>
      <c r="J633">
        <v>0</v>
      </c>
      <c r="K633">
        <v>8</v>
      </c>
      <c r="L633">
        <v>4</v>
      </c>
      <c r="M633" t="s">
        <v>25</v>
      </c>
      <c r="N633">
        <v>3</v>
      </c>
      <c r="O633">
        <v>39</v>
      </c>
      <c r="P633">
        <v>22</v>
      </c>
      <c r="Q633">
        <v>3</v>
      </c>
      <c r="R633">
        <v>1</v>
      </c>
      <c r="S633" t="s">
        <v>25</v>
      </c>
    </row>
    <row r="634" spans="1:19" x14ac:dyDescent="0.25">
      <c r="A634">
        <v>10633</v>
      </c>
      <c r="B634">
        <v>33</v>
      </c>
      <c r="C634" t="s">
        <v>19</v>
      </c>
      <c r="D634" t="s">
        <v>20</v>
      </c>
      <c r="E634" t="s">
        <v>36</v>
      </c>
      <c r="F634" t="s">
        <v>35</v>
      </c>
      <c r="G634" t="s">
        <v>38</v>
      </c>
      <c r="H634">
        <v>50158</v>
      </c>
      <c r="I634">
        <v>14263</v>
      </c>
      <c r="J634">
        <v>23</v>
      </c>
      <c r="K634">
        <v>3</v>
      </c>
      <c r="L634">
        <v>2</v>
      </c>
      <c r="M634" t="s">
        <v>24</v>
      </c>
      <c r="N634">
        <v>3</v>
      </c>
      <c r="O634">
        <v>4</v>
      </c>
      <c r="P634">
        <v>58</v>
      </c>
      <c r="Q634">
        <v>4</v>
      </c>
      <c r="R634">
        <v>4</v>
      </c>
      <c r="S634" t="s">
        <v>25</v>
      </c>
    </row>
    <row r="635" spans="1:19" x14ac:dyDescent="0.25">
      <c r="A635">
        <v>10634</v>
      </c>
      <c r="B635">
        <v>39</v>
      </c>
      <c r="C635" t="s">
        <v>19</v>
      </c>
      <c r="D635" t="s">
        <v>32</v>
      </c>
      <c r="E635" t="s">
        <v>29</v>
      </c>
      <c r="F635" t="s">
        <v>39</v>
      </c>
      <c r="G635" t="s">
        <v>30</v>
      </c>
      <c r="H635">
        <v>165907</v>
      </c>
      <c r="I635">
        <v>1942</v>
      </c>
      <c r="J635">
        <v>4</v>
      </c>
      <c r="K635">
        <v>8</v>
      </c>
      <c r="L635">
        <v>3</v>
      </c>
      <c r="M635" t="s">
        <v>25</v>
      </c>
      <c r="N635">
        <v>3</v>
      </c>
      <c r="O635">
        <v>6</v>
      </c>
      <c r="P635">
        <v>14</v>
      </c>
      <c r="Q635">
        <v>4</v>
      </c>
      <c r="R635">
        <v>3</v>
      </c>
      <c r="S635" t="s">
        <v>25</v>
      </c>
    </row>
    <row r="636" spans="1:19" x14ac:dyDescent="0.25">
      <c r="A636">
        <v>10635</v>
      </c>
      <c r="B636">
        <v>30</v>
      </c>
      <c r="C636" t="s">
        <v>19</v>
      </c>
      <c r="D636" t="s">
        <v>32</v>
      </c>
      <c r="E636" t="s">
        <v>27</v>
      </c>
      <c r="F636" t="s">
        <v>39</v>
      </c>
      <c r="G636" t="s">
        <v>30</v>
      </c>
      <c r="H636">
        <v>89613</v>
      </c>
      <c r="I636">
        <v>3688</v>
      </c>
      <c r="J636">
        <v>4</v>
      </c>
      <c r="K636">
        <v>6</v>
      </c>
      <c r="L636">
        <v>2</v>
      </c>
      <c r="M636" t="s">
        <v>25</v>
      </c>
      <c r="N636">
        <v>4</v>
      </c>
      <c r="O636">
        <v>31</v>
      </c>
      <c r="P636">
        <v>27</v>
      </c>
      <c r="Q636">
        <v>2</v>
      </c>
      <c r="R636">
        <v>1</v>
      </c>
      <c r="S636" t="s">
        <v>25</v>
      </c>
    </row>
    <row r="637" spans="1:19" x14ac:dyDescent="0.25">
      <c r="A637">
        <v>10636</v>
      </c>
      <c r="B637">
        <v>51</v>
      </c>
      <c r="C637" t="s">
        <v>31</v>
      </c>
      <c r="D637" t="s">
        <v>41</v>
      </c>
      <c r="E637" t="s">
        <v>36</v>
      </c>
      <c r="F637" t="s">
        <v>39</v>
      </c>
      <c r="G637" t="s">
        <v>30</v>
      </c>
      <c r="H637">
        <v>68925</v>
      </c>
      <c r="I637">
        <v>23487</v>
      </c>
      <c r="J637">
        <v>13</v>
      </c>
      <c r="K637">
        <v>6</v>
      </c>
      <c r="L637">
        <v>3</v>
      </c>
      <c r="M637" t="s">
        <v>25</v>
      </c>
      <c r="N637">
        <v>3</v>
      </c>
      <c r="O637">
        <v>29</v>
      </c>
      <c r="P637">
        <v>10</v>
      </c>
      <c r="Q637">
        <v>3</v>
      </c>
      <c r="R637">
        <v>1</v>
      </c>
      <c r="S637" t="s">
        <v>25</v>
      </c>
    </row>
    <row r="638" spans="1:19" x14ac:dyDescent="0.25">
      <c r="A638">
        <v>10637</v>
      </c>
      <c r="B638">
        <v>51</v>
      </c>
      <c r="C638" t="s">
        <v>19</v>
      </c>
      <c r="D638" t="s">
        <v>34</v>
      </c>
      <c r="E638" t="s">
        <v>21</v>
      </c>
      <c r="F638" t="s">
        <v>39</v>
      </c>
      <c r="G638" t="s">
        <v>38</v>
      </c>
      <c r="H638">
        <v>123639</v>
      </c>
      <c r="I638">
        <v>12186</v>
      </c>
      <c r="J638">
        <v>18</v>
      </c>
      <c r="K638">
        <v>14</v>
      </c>
      <c r="L638">
        <v>3</v>
      </c>
      <c r="M638" t="s">
        <v>25</v>
      </c>
      <c r="N638">
        <v>3</v>
      </c>
      <c r="O638">
        <v>4</v>
      </c>
      <c r="P638">
        <v>52</v>
      </c>
      <c r="Q638">
        <v>3</v>
      </c>
      <c r="R638">
        <v>3</v>
      </c>
      <c r="S638" t="s">
        <v>25</v>
      </c>
    </row>
    <row r="639" spans="1:19" x14ac:dyDescent="0.25">
      <c r="A639">
        <v>10638</v>
      </c>
      <c r="B639">
        <v>57</v>
      </c>
      <c r="C639" t="s">
        <v>19</v>
      </c>
      <c r="D639" t="s">
        <v>41</v>
      </c>
      <c r="E639" t="s">
        <v>27</v>
      </c>
      <c r="F639" t="s">
        <v>39</v>
      </c>
      <c r="G639" t="s">
        <v>23</v>
      </c>
      <c r="H639">
        <v>66942</v>
      </c>
      <c r="I639">
        <v>46489</v>
      </c>
      <c r="J639">
        <v>7</v>
      </c>
      <c r="K639">
        <v>6</v>
      </c>
      <c r="L639">
        <v>5</v>
      </c>
      <c r="M639" t="s">
        <v>24</v>
      </c>
      <c r="N639">
        <v>3</v>
      </c>
      <c r="O639">
        <v>16</v>
      </c>
      <c r="P639">
        <v>45</v>
      </c>
      <c r="Q639">
        <v>1</v>
      </c>
      <c r="R639">
        <v>2</v>
      </c>
      <c r="S639" t="s">
        <v>24</v>
      </c>
    </row>
    <row r="640" spans="1:19" x14ac:dyDescent="0.25">
      <c r="A640">
        <v>10639</v>
      </c>
      <c r="B640">
        <v>52</v>
      </c>
      <c r="C640" t="s">
        <v>19</v>
      </c>
      <c r="D640" t="s">
        <v>41</v>
      </c>
      <c r="E640" t="s">
        <v>33</v>
      </c>
      <c r="F640" t="s">
        <v>37</v>
      </c>
      <c r="G640" t="s">
        <v>38</v>
      </c>
      <c r="H640">
        <v>34023</v>
      </c>
      <c r="I640">
        <v>25156</v>
      </c>
      <c r="J640">
        <v>0</v>
      </c>
      <c r="K640">
        <v>3</v>
      </c>
      <c r="L640">
        <v>3</v>
      </c>
      <c r="M640" t="s">
        <v>24</v>
      </c>
      <c r="N640">
        <v>4</v>
      </c>
      <c r="O640">
        <v>1</v>
      </c>
      <c r="P640">
        <v>7</v>
      </c>
      <c r="Q640">
        <v>3</v>
      </c>
      <c r="R640">
        <v>2</v>
      </c>
      <c r="S640" t="s">
        <v>25</v>
      </c>
    </row>
    <row r="641" spans="1:19" x14ac:dyDescent="0.25">
      <c r="A641">
        <v>10640</v>
      </c>
      <c r="B641">
        <v>23</v>
      </c>
      <c r="C641" t="s">
        <v>19</v>
      </c>
      <c r="D641" t="s">
        <v>41</v>
      </c>
      <c r="E641" t="s">
        <v>33</v>
      </c>
      <c r="F641" t="s">
        <v>35</v>
      </c>
      <c r="G641" t="s">
        <v>30</v>
      </c>
      <c r="H641">
        <v>38350</v>
      </c>
      <c r="I641">
        <v>22706</v>
      </c>
      <c r="J641">
        <v>4</v>
      </c>
      <c r="K641">
        <v>6</v>
      </c>
      <c r="L641">
        <v>3</v>
      </c>
      <c r="M641" t="s">
        <v>25</v>
      </c>
      <c r="N641">
        <v>3</v>
      </c>
      <c r="O641">
        <v>34</v>
      </c>
      <c r="P641">
        <v>23</v>
      </c>
      <c r="Q641">
        <v>4</v>
      </c>
      <c r="R641">
        <v>2</v>
      </c>
      <c r="S641" t="s">
        <v>25</v>
      </c>
    </row>
    <row r="642" spans="1:19" x14ac:dyDescent="0.25">
      <c r="A642">
        <v>10641</v>
      </c>
      <c r="B642">
        <v>35</v>
      </c>
      <c r="C642" t="s">
        <v>19</v>
      </c>
      <c r="D642" t="s">
        <v>20</v>
      </c>
      <c r="E642" t="s">
        <v>36</v>
      </c>
      <c r="F642" t="s">
        <v>39</v>
      </c>
      <c r="G642" t="s">
        <v>30</v>
      </c>
      <c r="H642">
        <v>51862</v>
      </c>
      <c r="I642">
        <v>27201</v>
      </c>
      <c r="J642">
        <v>2</v>
      </c>
      <c r="K642">
        <v>14</v>
      </c>
      <c r="L642">
        <v>4</v>
      </c>
      <c r="M642" t="s">
        <v>25</v>
      </c>
      <c r="N642">
        <v>2</v>
      </c>
      <c r="O642">
        <v>6</v>
      </c>
      <c r="P642">
        <v>18</v>
      </c>
      <c r="Q642">
        <v>3</v>
      </c>
      <c r="R642">
        <v>2</v>
      </c>
      <c r="S642" t="s">
        <v>25</v>
      </c>
    </row>
    <row r="643" spans="1:19" x14ac:dyDescent="0.25">
      <c r="A643">
        <v>10642</v>
      </c>
      <c r="B643">
        <v>35</v>
      </c>
      <c r="C643" t="s">
        <v>19</v>
      </c>
      <c r="D643" t="s">
        <v>20</v>
      </c>
      <c r="E643" t="s">
        <v>36</v>
      </c>
      <c r="F643" t="s">
        <v>39</v>
      </c>
      <c r="G643" t="s">
        <v>30</v>
      </c>
      <c r="H643">
        <v>49014</v>
      </c>
      <c r="I643">
        <v>29790</v>
      </c>
      <c r="J643">
        <v>13</v>
      </c>
      <c r="K643">
        <v>5</v>
      </c>
      <c r="L643">
        <v>3</v>
      </c>
      <c r="M643" t="s">
        <v>25</v>
      </c>
      <c r="N643">
        <v>3</v>
      </c>
      <c r="O643">
        <v>17</v>
      </c>
      <c r="P643">
        <v>20</v>
      </c>
      <c r="Q643">
        <v>4</v>
      </c>
      <c r="R643">
        <v>2</v>
      </c>
      <c r="S643" t="s">
        <v>25</v>
      </c>
    </row>
    <row r="644" spans="1:19" x14ac:dyDescent="0.25">
      <c r="A644">
        <v>10643</v>
      </c>
      <c r="B644">
        <v>36</v>
      </c>
      <c r="C644" t="s">
        <v>19</v>
      </c>
      <c r="D644" t="s">
        <v>20</v>
      </c>
      <c r="E644" t="s">
        <v>27</v>
      </c>
      <c r="F644" t="s">
        <v>39</v>
      </c>
      <c r="G644" t="s">
        <v>38</v>
      </c>
      <c r="H644">
        <v>77504</v>
      </c>
      <c r="I644">
        <v>17105</v>
      </c>
      <c r="J644">
        <v>19</v>
      </c>
      <c r="K644">
        <v>6</v>
      </c>
      <c r="L644">
        <v>3</v>
      </c>
      <c r="M644" t="s">
        <v>25</v>
      </c>
      <c r="N644">
        <v>3</v>
      </c>
      <c r="O644">
        <v>20</v>
      </c>
      <c r="P644">
        <v>26</v>
      </c>
      <c r="Q644">
        <v>3</v>
      </c>
      <c r="R644">
        <v>2</v>
      </c>
      <c r="S644" t="s">
        <v>25</v>
      </c>
    </row>
    <row r="645" spans="1:19" x14ac:dyDescent="0.25">
      <c r="A645">
        <v>10644</v>
      </c>
      <c r="B645">
        <v>42</v>
      </c>
      <c r="C645" t="s">
        <v>31</v>
      </c>
      <c r="D645" t="s">
        <v>32</v>
      </c>
      <c r="E645" t="s">
        <v>27</v>
      </c>
      <c r="F645" t="s">
        <v>22</v>
      </c>
      <c r="G645" t="s">
        <v>30</v>
      </c>
      <c r="H645">
        <v>89612</v>
      </c>
      <c r="I645">
        <v>21825</v>
      </c>
      <c r="J645">
        <v>6</v>
      </c>
      <c r="K645">
        <v>0</v>
      </c>
      <c r="L645">
        <v>2</v>
      </c>
      <c r="M645" t="s">
        <v>25</v>
      </c>
      <c r="N645">
        <v>1</v>
      </c>
      <c r="O645">
        <v>28</v>
      </c>
      <c r="P645">
        <v>31</v>
      </c>
      <c r="Q645">
        <v>1</v>
      </c>
      <c r="R645">
        <v>4</v>
      </c>
      <c r="S645" t="s">
        <v>25</v>
      </c>
    </row>
    <row r="646" spans="1:19" x14ac:dyDescent="0.25">
      <c r="A646">
        <v>10645</v>
      </c>
      <c r="B646">
        <v>57</v>
      </c>
      <c r="C646" t="s">
        <v>19</v>
      </c>
      <c r="D646" t="s">
        <v>41</v>
      </c>
      <c r="E646" t="s">
        <v>40</v>
      </c>
      <c r="F646" t="s">
        <v>39</v>
      </c>
      <c r="G646" t="s">
        <v>38</v>
      </c>
      <c r="H646">
        <v>13255</v>
      </c>
      <c r="I646">
        <v>29393</v>
      </c>
      <c r="J646">
        <v>23</v>
      </c>
      <c r="K646">
        <v>8</v>
      </c>
      <c r="L646">
        <v>3</v>
      </c>
      <c r="M646" t="s">
        <v>24</v>
      </c>
      <c r="N646">
        <v>3</v>
      </c>
      <c r="O646">
        <v>30</v>
      </c>
      <c r="P646">
        <v>28</v>
      </c>
      <c r="Q646">
        <v>4</v>
      </c>
      <c r="R646">
        <v>3</v>
      </c>
      <c r="S646" t="s">
        <v>25</v>
      </c>
    </row>
    <row r="647" spans="1:19" x14ac:dyDescent="0.25">
      <c r="A647">
        <v>10646</v>
      </c>
      <c r="B647">
        <v>32</v>
      </c>
      <c r="C647" t="s">
        <v>19</v>
      </c>
      <c r="D647" t="s">
        <v>41</v>
      </c>
      <c r="E647" t="s">
        <v>40</v>
      </c>
      <c r="F647" t="s">
        <v>39</v>
      </c>
      <c r="G647" t="s">
        <v>30</v>
      </c>
      <c r="H647">
        <v>15302</v>
      </c>
      <c r="I647">
        <v>21435</v>
      </c>
      <c r="J647">
        <v>17</v>
      </c>
      <c r="K647">
        <v>10</v>
      </c>
      <c r="L647">
        <v>4</v>
      </c>
      <c r="M647" t="s">
        <v>25</v>
      </c>
      <c r="N647">
        <v>3</v>
      </c>
      <c r="O647">
        <v>39</v>
      </c>
      <c r="P647">
        <v>19</v>
      </c>
      <c r="Q647">
        <v>4</v>
      </c>
      <c r="R647">
        <v>3</v>
      </c>
      <c r="S647" t="s">
        <v>25</v>
      </c>
    </row>
    <row r="648" spans="1:19" x14ac:dyDescent="0.25">
      <c r="A648">
        <v>10647</v>
      </c>
      <c r="B648">
        <v>28</v>
      </c>
      <c r="C648" t="s">
        <v>19</v>
      </c>
      <c r="D648" t="s">
        <v>32</v>
      </c>
      <c r="E648" t="s">
        <v>36</v>
      </c>
      <c r="F648" t="s">
        <v>35</v>
      </c>
      <c r="G648" t="s">
        <v>30</v>
      </c>
      <c r="H648">
        <v>52055</v>
      </c>
      <c r="I648">
        <v>28646</v>
      </c>
      <c r="J648">
        <v>17</v>
      </c>
      <c r="K648">
        <v>11</v>
      </c>
      <c r="L648">
        <v>3</v>
      </c>
      <c r="M648" t="s">
        <v>25</v>
      </c>
      <c r="N648">
        <v>1</v>
      </c>
      <c r="O648">
        <v>15</v>
      </c>
      <c r="P648">
        <v>5</v>
      </c>
      <c r="Q648">
        <v>3</v>
      </c>
      <c r="R648">
        <v>3</v>
      </c>
      <c r="S648" t="s">
        <v>25</v>
      </c>
    </row>
    <row r="649" spans="1:19" x14ac:dyDescent="0.25">
      <c r="A649">
        <v>10648</v>
      </c>
      <c r="B649">
        <v>34</v>
      </c>
      <c r="C649" t="s">
        <v>19</v>
      </c>
      <c r="D649" t="s">
        <v>34</v>
      </c>
      <c r="E649" t="s">
        <v>40</v>
      </c>
      <c r="F649" t="s">
        <v>35</v>
      </c>
      <c r="G649" t="s">
        <v>30</v>
      </c>
      <c r="H649">
        <v>11484</v>
      </c>
      <c r="I649">
        <v>37450</v>
      </c>
      <c r="J649">
        <v>7</v>
      </c>
      <c r="K649">
        <v>5</v>
      </c>
      <c r="L649">
        <v>4</v>
      </c>
      <c r="M649" t="s">
        <v>25</v>
      </c>
      <c r="N649">
        <v>3</v>
      </c>
      <c r="O649">
        <v>17</v>
      </c>
      <c r="P649">
        <v>11</v>
      </c>
      <c r="Q649">
        <v>2</v>
      </c>
      <c r="R649">
        <v>4</v>
      </c>
      <c r="S649" t="s">
        <v>25</v>
      </c>
    </row>
    <row r="650" spans="1:19" x14ac:dyDescent="0.25">
      <c r="A650">
        <v>10649</v>
      </c>
      <c r="B650">
        <v>37</v>
      </c>
      <c r="C650" t="s">
        <v>19</v>
      </c>
      <c r="D650" t="s">
        <v>20</v>
      </c>
      <c r="E650" t="s">
        <v>33</v>
      </c>
      <c r="F650" t="s">
        <v>22</v>
      </c>
      <c r="G650" t="s">
        <v>30</v>
      </c>
      <c r="H650">
        <v>44416</v>
      </c>
      <c r="I650">
        <v>4849</v>
      </c>
      <c r="J650">
        <v>7</v>
      </c>
      <c r="K650">
        <v>3</v>
      </c>
      <c r="L650">
        <v>3</v>
      </c>
      <c r="M650" t="s">
        <v>25</v>
      </c>
      <c r="N650">
        <v>3</v>
      </c>
      <c r="O650">
        <v>21</v>
      </c>
      <c r="P650">
        <v>31</v>
      </c>
      <c r="Q650">
        <v>1</v>
      </c>
      <c r="R650">
        <v>2</v>
      </c>
      <c r="S650" t="s">
        <v>24</v>
      </c>
    </row>
    <row r="651" spans="1:19" x14ac:dyDescent="0.25">
      <c r="A651">
        <v>10650</v>
      </c>
      <c r="B651">
        <v>27</v>
      </c>
      <c r="C651" t="s">
        <v>19</v>
      </c>
      <c r="D651" t="s">
        <v>20</v>
      </c>
      <c r="E651" t="s">
        <v>33</v>
      </c>
      <c r="F651" t="s">
        <v>35</v>
      </c>
      <c r="G651" t="s">
        <v>38</v>
      </c>
      <c r="H651">
        <v>25452</v>
      </c>
      <c r="I651">
        <v>37116</v>
      </c>
      <c r="J651">
        <v>20</v>
      </c>
      <c r="K651">
        <v>3</v>
      </c>
      <c r="L651">
        <v>5</v>
      </c>
      <c r="M651" t="s">
        <v>24</v>
      </c>
      <c r="N651">
        <v>2</v>
      </c>
      <c r="O651">
        <v>2</v>
      </c>
      <c r="P651">
        <v>34</v>
      </c>
      <c r="Q651">
        <v>4</v>
      </c>
      <c r="R651">
        <v>4</v>
      </c>
      <c r="S651" t="s">
        <v>25</v>
      </c>
    </row>
    <row r="652" spans="1:19" x14ac:dyDescent="0.25">
      <c r="A652">
        <v>10651</v>
      </c>
      <c r="B652">
        <v>48</v>
      </c>
      <c r="C652" t="s">
        <v>19</v>
      </c>
      <c r="D652" t="s">
        <v>34</v>
      </c>
      <c r="E652" t="s">
        <v>33</v>
      </c>
      <c r="F652" t="s">
        <v>39</v>
      </c>
      <c r="G652" t="s">
        <v>38</v>
      </c>
      <c r="H652">
        <v>41489</v>
      </c>
      <c r="I652">
        <v>18433</v>
      </c>
      <c r="J652">
        <v>8</v>
      </c>
      <c r="K652">
        <v>0</v>
      </c>
      <c r="L652">
        <v>4</v>
      </c>
      <c r="M652" t="s">
        <v>24</v>
      </c>
      <c r="N652">
        <v>2</v>
      </c>
      <c r="O652">
        <v>21</v>
      </c>
      <c r="P652">
        <v>41</v>
      </c>
      <c r="Q652">
        <v>4</v>
      </c>
      <c r="R652">
        <v>3</v>
      </c>
      <c r="S652" t="s">
        <v>25</v>
      </c>
    </row>
    <row r="653" spans="1:19" x14ac:dyDescent="0.25">
      <c r="A653">
        <v>10652</v>
      </c>
      <c r="B653">
        <v>20</v>
      </c>
      <c r="C653" t="s">
        <v>19</v>
      </c>
      <c r="D653" t="s">
        <v>41</v>
      </c>
      <c r="E653" t="s">
        <v>29</v>
      </c>
      <c r="F653" t="s">
        <v>22</v>
      </c>
      <c r="G653" t="s">
        <v>38</v>
      </c>
      <c r="H653">
        <v>124860</v>
      </c>
      <c r="I653">
        <v>11164</v>
      </c>
      <c r="J653">
        <v>11</v>
      </c>
      <c r="K653">
        <v>10</v>
      </c>
      <c r="L653">
        <v>3</v>
      </c>
      <c r="M653" t="s">
        <v>25</v>
      </c>
      <c r="N653">
        <v>4</v>
      </c>
      <c r="O653">
        <v>20</v>
      </c>
      <c r="P653">
        <v>14</v>
      </c>
      <c r="Q653">
        <v>1</v>
      </c>
      <c r="R653">
        <v>3</v>
      </c>
      <c r="S653" t="s">
        <v>24</v>
      </c>
    </row>
    <row r="654" spans="1:19" x14ac:dyDescent="0.25">
      <c r="A654">
        <v>10653</v>
      </c>
      <c r="B654">
        <v>53</v>
      </c>
      <c r="C654" t="s">
        <v>19</v>
      </c>
      <c r="D654" t="s">
        <v>26</v>
      </c>
      <c r="E654" t="s">
        <v>27</v>
      </c>
      <c r="F654" t="s">
        <v>35</v>
      </c>
      <c r="G654" t="s">
        <v>38</v>
      </c>
      <c r="H654">
        <v>86868</v>
      </c>
      <c r="I654">
        <v>44343</v>
      </c>
      <c r="J654">
        <v>21</v>
      </c>
      <c r="K654">
        <v>13</v>
      </c>
      <c r="L654">
        <v>4</v>
      </c>
      <c r="M654" t="s">
        <v>24</v>
      </c>
      <c r="N654">
        <v>3</v>
      </c>
      <c r="O654">
        <v>7</v>
      </c>
      <c r="P654">
        <v>20</v>
      </c>
      <c r="Q654">
        <v>4</v>
      </c>
      <c r="R654">
        <v>3</v>
      </c>
      <c r="S654" t="s">
        <v>25</v>
      </c>
    </row>
    <row r="655" spans="1:19" x14ac:dyDescent="0.25">
      <c r="A655">
        <v>10654</v>
      </c>
      <c r="B655">
        <v>31</v>
      </c>
      <c r="C655" t="s">
        <v>31</v>
      </c>
      <c r="D655" t="s">
        <v>26</v>
      </c>
      <c r="E655" t="s">
        <v>40</v>
      </c>
      <c r="F655" t="s">
        <v>39</v>
      </c>
      <c r="G655" t="s">
        <v>38</v>
      </c>
      <c r="H655">
        <v>10104</v>
      </c>
      <c r="I655">
        <v>28457</v>
      </c>
      <c r="J655">
        <v>18</v>
      </c>
      <c r="K655">
        <v>4</v>
      </c>
      <c r="L655">
        <v>4</v>
      </c>
      <c r="M655" t="s">
        <v>25</v>
      </c>
      <c r="N655">
        <v>1</v>
      </c>
      <c r="O655">
        <v>27</v>
      </c>
      <c r="P655">
        <v>56</v>
      </c>
      <c r="Q655">
        <v>1</v>
      </c>
      <c r="R655">
        <v>1</v>
      </c>
      <c r="S655" t="s">
        <v>25</v>
      </c>
    </row>
    <row r="656" spans="1:19" x14ac:dyDescent="0.25">
      <c r="A656">
        <v>10655</v>
      </c>
      <c r="B656">
        <v>39</v>
      </c>
      <c r="C656" t="s">
        <v>31</v>
      </c>
      <c r="D656" t="s">
        <v>41</v>
      </c>
      <c r="E656" t="s">
        <v>27</v>
      </c>
      <c r="F656" t="s">
        <v>39</v>
      </c>
      <c r="G656" t="s">
        <v>23</v>
      </c>
      <c r="H656">
        <v>70934</v>
      </c>
      <c r="I656">
        <v>34119</v>
      </c>
      <c r="J656">
        <v>4</v>
      </c>
      <c r="K656">
        <v>5</v>
      </c>
      <c r="L656">
        <v>2</v>
      </c>
      <c r="M656" t="s">
        <v>25</v>
      </c>
      <c r="N656">
        <v>2</v>
      </c>
      <c r="O656">
        <v>11</v>
      </c>
      <c r="P656">
        <v>35</v>
      </c>
      <c r="Q656">
        <v>4</v>
      </c>
      <c r="R656">
        <v>1</v>
      </c>
      <c r="S656" t="s">
        <v>25</v>
      </c>
    </row>
    <row r="657" spans="1:19" x14ac:dyDescent="0.25">
      <c r="A657">
        <v>10656</v>
      </c>
      <c r="B657">
        <v>47</v>
      </c>
      <c r="C657" t="s">
        <v>19</v>
      </c>
      <c r="D657" t="s">
        <v>20</v>
      </c>
      <c r="E657" t="s">
        <v>36</v>
      </c>
      <c r="F657" t="s">
        <v>22</v>
      </c>
      <c r="G657" t="s">
        <v>30</v>
      </c>
      <c r="H657">
        <v>62443</v>
      </c>
      <c r="I657">
        <v>42719</v>
      </c>
      <c r="J657">
        <v>10</v>
      </c>
      <c r="K657">
        <v>7</v>
      </c>
      <c r="L657">
        <v>3</v>
      </c>
      <c r="M657" t="s">
        <v>25</v>
      </c>
      <c r="N657">
        <v>1</v>
      </c>
      <c r="O657">
        <v>14</v>
      </c>
      <c r="P657">
        <v>45</v>
      </c>
      <c r="Q657">
        <v>3</v>
      </c>
      <c r="R657">
        <v>4</v>
      </c>
      <c r="S657" t="s">
        <v>25</v>
      </c>
    </row>
    <row r="658" spans="1:19" x14ac:dyDescent="0.25">
      <c r="A658">
        <v>10657</v>
      </c>
      <c r="B658">
        <v>59</v>
      </c>
      <c r="C658" t="s">
        <v>31</v>
      </c>
      <c r="D658" t="s">
        <v>20</v>
      </c>
      <c r="E658" t="s">
        <v>33</v>
      </c>
      <c r="F658" t="s">
        <v>39</v>
      </c>
      <c r="G658" t="s">
        <v>30</v>
      </c>
      <c r="H658">
        <v>35248</v>
      </c>
      <c r="I658">
        <v>22560</v>
      </c>
      <c r="J658">
        <v>22</v>
      </c>
      <c r="K658">
        <v>12</v>
      </c>
      <c r="L658">
        <v>3</v>
      </c>
      <c r="M658" t="s">
        <v>24</v>
      </c>
      <c r="N658">
        <v>4</v>
      </c>
      <c r="O658">
        <v>38</v>
      </c>
      <c r="P658">
        <v>43</v>
      </c>
      <c r="Q658">
        <v>4</v>
      </c>
      <c r="R658">
        <v>1</v>
      </c>
      <c r="S658" t="s">
        <v>25</v>
      </c>
    </row>
    <row r="659" spans="1:19" x14ac:dyDescent="0.25">
      <c r="A659">
        <v>10658</v>
      </c>
      <c r="B659">
        <v>43</v>
      </c>
      <c r="C659" t="s">
        <v>31</v>
      </c>
      <c r="D659" t="s">
        <v>34</v>
      </c>
      <c r="E659" t="s">
        <v>36</v>
      </c>
      <c r="F659" t="s">
        <v>39</v>
      </c>
      <c r="G659" t="s">
        <v>38</v>
      </c>
      <c r="H659">
        <v>62211</v>
      </c>
      <c r="I659">
        <v>12907</v>
      </c>
      <c r="J659">
        <v>14</v>
      </c>
      <c r="K659">
        <v>8</v>
      </c>
      <c r="L659">
        <v>3</v>
      </c>
      <c r="M659" t="s">
        <v>25</v>
      </c>
      <c r="N659">
        <v>3</v>
      </c>
      <c r="O659">
        <v>30</v>
      </c>
      <c r="P659">
        <v>34</v>
      </c>
      <c r="Q659">
        <v>3</v>
      </c>
      <c r="R659">
        <v>1</v>
      </c>
      <c r="S659" t="s">
        <v>25</v>
      </c>
    </row>
    <row r="660" spans="1:19" x14ac:dyDescent="0.25">
      <c r="A660">
        <v>10659</v>
      </c>
      <c r="B660">
        <v>33</v>
      </c>
      <c r="C660" t="s">
        <v>19</v>
      </c>
      <c r="D660" t="s">
        <v>41</v>
      </c>
      <c r="E660" t="s">
        <v>27</v>
      </c>
      <c r="F660" t="s">
        <v>35</v>
      </c>
      <c r="G660" t="s">
        <v>30</v>
      </c>
      <c r="H660">
        <v>89281</v>
      </c>
      <c r="I660">
        <v>16449</v>
      </c>
      <c r="J660">
        <v>15</v>
      </c>
      <c r="K660">
        <v>3</v>
      </c>
      <c r="L660">
        <v>3</v>
      </c>
      <c r="M660" t="s">
        <v>25</v>
      </c>
      <c r="N660">
        <v>4</v>
      </c>
      <c r="O660">
        <v>25</v>
      </c>
      <c r="P660">
        <v>29</v>
      </c>
      <c r="Q660">
        <v>4</v>
      </c>
      <c r="R660">
        <v>1</v>
      </c>
      <c r="S660" t="s">
        <v>25</v>
      </c>
    </row>
    <row r="661" spans="1:19" x14ac:dyDescent="0.25">
      <c r="A661">
        <v>10660</v>
      </c>
      <c r="B661">
        <v>38</v>
      </c>
      <c r="C661" t="s">
        <v>31</v>
      </c>
      <c r="D661" t="s">
        <v>34</v>
      </c>
      <c r="E661" t="s">
        <v>40</v>
      </c>
      <c r="F661" t="s">
        <v>37</v>
      </c>
      <c r="G661" t="s">
        <v>30</v>
      </c>
      <c r="H661">
        <v>12525</v>
      </c>
      <c r="I661">
        <v>20128</v>
      </c>
      <c r="J661">
        <v>13</v>
      </c>
      <c r="K661">
        <v>5</v>
      </c>
      <c r="L661">
        <v>3</v>
      </c>
      <c r="M661" t="s">
        <v>25</v>
      </c>
      <c r="N661">
        <v>3</v>
      </c>
      <c r="O661">
        <v>16</v>
      </c>
      <c r="P661">
        <v>25</v>
      </c>
      <c r="Q661">
        <v>3</v>
      </c>
      <c r="R661">
        <v>2</v>
      </c>
      <c r="S661" t="s">
        <v>25</v>
      </c>
    </row>
    <row r="662" spans="1:19" x14ac:dyDescent="0.25">
      <c r="A662">
        <v>10661</v>
      </c>
      <c r="B662">
        <v>21</v>
      </c>
      <c r="C662" t="s">
        <v>19</v>
      </c>
      <c r="D662" t="s">
        <v>26</v>
      </c>
      <c r="E662" t="s">
        <v>36</v>
      </c>
      <c r="F662" t="s">
        <v>39</v>
      </c>
      <c r="G662" t="s">
        <v>30</v>
      </c>
      <c r="H662">
        <v>47606</v>
      </c>
      <c r="I662">
        <v>20875</v>
      </c>
      <c r="J662">
        <v>1</v>
      </c>
      <c r="K662">
        <v>0</v>
      </c>
      <c r="L662">
        <v>4</v>
      </c>
      <c r="M662" t="s">
        <v>25</v>
      </c>
      <c r="N662">
        <v>3</v>
      </c>
      <c r="O662">
        <v>21</v>
      </c>
      <c r="P662">
        <v>19</v>
      </c>
      <c r="Q662">
        <v>3</v>
      </c>
      <c r="R662">
        <v>2</v>
      </c>
      <c r="S662" t="s">
        <v>25</v>
      </c>
    </row>
    <row r="663" spans="1:19" x14ac:dyDescent="0.25">
      <c r="A663">
        <v>10662</v>
      </c>
      <c r="B663">
        <v>37</v>
      </c>
      <c r="C663" t="s">
        <v>31</v>
      </c>
      <c r="D663" t="s">
        <v>20</v>
      </c>
      <c r="E663" t="s">
        <v>21</v>
      </c>
      <c r="F663" t="s">
        <v>39</v>
      </c>
      <c r="G663" t="s">
        <v>23</v>
      </c>
      <c r="H663">
        <v>126868</v>
      </c>
      <c r="I663">
        <v>19017</v>
      </c>
      <c r="J663">
        <v>18</v>
      </c>
      <c r="K663">
        <v>8</v>
      </c>
      <c r="L663">
        <v>3</v>
      </c>
      <c r="M663" t="s">
        <v>25</v>
      </c>
      <c r="N663">
        <v>3</v>
      </c>
      <c r="O663">
        <v>33</v>
      </c>
      <c r="P663">
        <v>42</v>
      </c>
      <c r="Q663">
        <v>3</v>
      </c>
      <c r="R663">
        <v>2</v>
      </c>
      <c r="S663" t="s">
        <v>25</v>
      </c>
    </row>
    <row r="664" spans="1:19" x14ac:dyDescent="0.25">
      <c r="A664">
        <v>10663</v>
      </c>
      <c r="B664">
        <v>37</v>
      </c>
      <c r="C664" t="s">
        <v>19</v>
      </c>
      <c r="D664" t="s">
        <v>20</v>
      </c>
      <c r="E664" t="s">
        <v>29</v>
      </c>
      <c r="F664" t="s">
        <v>22</v>
      </c>
      <c r="G664" t="s">
        <v>30</v>
      </c>
      <c r="H664">
        <v>179414</v>
      </c>
      <c r="I664">
        <v>13286</v>
      </c>
      <c r="J664">
        <v>19</v>
      </c>
      <c r="K664">
        <v>12</v>
      </c>
      <c r="L664">
        <v>3</v>
      </c>
      <c r="M664" t="s">
        <v>24</v>
      </c>
      <c r="N664">
        <v>4</v>
      </c>
      <c r="O664">
        <v>36</v>
      </c>
      <c r="P664">
        <v>49</v>
      </c>
      <c r="Q664">
        <v>3</v>
      </c>
      <c r="R664">
        <v>3</v>
      </c>
      <c r="S664" t="s">
        <v>25</v>
      </c>
    </row>
    <row r="665" spans="1:19" x14ac:dyDescent="0.25">
      <c r="A665">
        <v>10664</v>
      </c>
      <c r="B665">
        <v>49</v>
      </c>
      <c r="C665" t="s">
        <v>19</v>
      </c>
      <c r="D665" t="s">
        <v>20</v>
      </c>
      <c r="E665" t="s">
        <v>36</v>
      </c>
      <c r="F665" t="s">
        <v>39</v>
      </c>
      <c r="G665" t="s">
        <v>38</v>
      </c>
      <c r="H665">
        <v>64362</v>
      </c>
      <c r="I665">
        <v>47836</v>
      </c>
      <c r="J665">
        <v>19</v>
      </c>
      <c r="K665">
        <v>10</v>
      </c>
      <c r="L665">
        <v>4</v>
      </c>
      <c r="M665" t="s">
        <v>24</v>
      </c>
      <c r="N665">
        <v>4</v>
      </c>
      <c r="O665">
        <v>36</v>
      </c>
      <c r="P665">
        <v>49</v>
      </c>
      <c r="Q665">
        <v>3</v>
      </c>
      <c r="R665">
        <v>4</v>
      </c>
      <c r="S665" t="s">
        <v>25</v>
      </c>
    </row>
    <row r="666" spans="1:19" x14ac:dyDescent="0.25">
      <c r="A666">
        <v>10665</v>
      </c>
      <c r="B666">
        <v>55</v>
      </c>
      <c r="C666" t="s">
        <v>31</v>
      </c>
      <c r="D666" t="s">
        <v>41</v>
      </c>
      <c r="E666" t="s">
        <v>27</v>
      </c>
      <c r="F666" t="s">
        <v>39</v>
      </c>
      <c r="G666" t="s">
        <v>30</v>
      </c>
      <c r="H666">
        <v>70662</v>
      </c>
      <c r="I666">
        <v>42213</v>
      </c>
      <c r="J666">
        <v>5</v>
      </c>
      <c r="K666">
        <v>1</v>
      </c>
      <c r="L666">
        <v>2</v>
      </c>
      <c r="M666" t="s">
        <v>25</v>
      </c>
      <c r="N666">
        <v>2</v>
      </c>
      <c r="O666">
        <v>25</v>
      </c>
      <c r="P666">
        <v>50</v>
      </c>
      <c r="Q666">
        <v>3</v>
      </c>
      <c r="R666">
        <v>3</v>
      </c>
      <c r="S666" t="s">
        <v>25</v>
      </c>
    </row>
    <row r="667" spans="1:19" x14ac:dyDescent="0.25">
      <c r="A667">
        <v>10666</v>
      </c>
      <c r="B667">
        <v>29</v>
      </c>
      <c r="C667" t="s">
        <v>31</v>
      </c>
      <c r="D667" t="s">
        <v>26</v>
      </c>
      <c r="E667" t="s">
        <v>29</v>
      </c>
      <c r="F667" t="s">
        <v>39</v>
      </c>
      <c r="G667" t="s">
        <v>38</v>
      </c>
      <c r="H667">
        <v>154136</v>
      </c>
      <c r="I667">
        <v>19868</v>
      </c>
      <c r="J667">
        <v>5</v>
      </c>
      <c r="K667">
        <v>8</v>
      </c>
      <c r="L667">
        <v>2</v>
      </c>
      <c r="M667" t="s">
        <v>25</v>
      </c>
      <c r="N667">
        <v>3</v>
      </c>
      <c r="O667">
        <v>37</v>
      </c>
      <c r="P667">
        <v>13</v>
      </c>
      <c r="Q667">
        <v>3</v>
      </c>
      <c r="R667">
        <v>1</v>
      </c>
      <c r="S667" t="s">
        <v>25</v>
      </c>
    </row>
    <row r="668" spans="1:19" x14ac:dyDescent="0.25">
      <c r="A668">
        <v>10667</v>
      </c>
      <c r="B668">
        <v>53</v>
      </c>
      <c r="C668" t="s">
        <v>31</v>
      </c>
      <c r="D668" t="s">
        <v>32</v>
      </c>
      <c r="E668" t="s">
        <v>29</v>
      </c>
      <c r="F668" t="s">
        <v>39</v>
      </c>
      <c r="G668" t="s">
        <v>30</v>
      </c>
      <c r="H668">
        <v>131103</v>
      </c>
      <c r="I668">
        <v>33069</v>
      </c>
      <c r="J668">
        <v>23</v>
      </c>
      <c r="K668">
        <v>8</v>
      </c>
      <c r="L668">
        <v>2</v>
      </c>
      <c r="M668" t="s">
        <v>25</v>
      </c>
      <c r="N668">
        <v>3</v>
      </c>
      <c r="O668">
        <v>17</v>
      </c>
      <c r="P668">
        <v>58</v>
      </c>
      <c r="Q668">
        <v>4</v>
      </c>
      <c r="R668">
        <v>1</v>
      </c>
      <c r="S668" t="s">
        <v>25</v>
      </c>
    </row>
    <row r="669" spans="1:19" x14ac:dyDescent="0.25">
      <c r="A669">
        <v>10668</v>
      </c>
      <c r="B669">
        <v>49</v>
      </c>
      <c r="C669" t="s">
        <v>19</v>
      </c>
      <c r="D669" t="s">
        <v>32</v>
      </c>
      <c r="E669" t="s">
        <v>33</v>
      </c>
      <c r="F669" t="s">
        <v>39</v>
      </c>
      <c r="G669" t="s">
        <v>38</v>
      </c>
      <c r="H669">
        <v>35230</v>
      </c>
      <c r="I669">
        <v>11143</v>
      </c>
      <c r="J669">
        <v>9</v>
      </c>
      <c r="K669">
        <v>11</v>
      </c>
      <c r="L669">
        <v>3</v>
      </c>
      <c r="M669" t="s">
        <v>25</v>
      </c>
      <c r="N669">
        <v>2</v>
      </c>
      <c r="O669">
        <v>20</v>
      </c>
      <c r="P669">
        <v>20</v>
      </c>
      <c r="Q669">
        <v>2</v>
      </c>
      <c r="R669">
        <v>1</v>
      </c>
      <c r="S669" t="s">
        <v>25</v>
      </c>
    </row>
    <row r="670" spans="1:19" x14ac:dyDescent="0.25">
      <c r="A670">
        <v>10669</v>
      </c>
      <c r="B670">
        <v>23</v>
      </c>
      <c r="C670" t="s">
        <v>19</v>
      </c>
      <c r="D670" t="s">
        <v>41</v>
      </c>
      <c r="E670" t="s">
        <v>27</v>
      </c>
      <c r="F670" t="s">
        <v>22</v>
      </c>
      <c r="G670" t="s">
        <v>30</v>
      </c>
      <c r="H670">
        <v>80758</v>
      </c>
      <c r="I670">
        <v>5526</v>
      </c>
      <c r="J670">
        <v>14</v>
      </c>
      <c r="K670">
        <v>11</v>
      </c>
      <c r="L670">
        <v>4</v>
      </c>
      <c r="M670" t="s">
        <v>25</v>
      </c>
      <c r="N670">
        <v>4</v>
      </c>
      <c r="O670">
        <v>16</v>
      </c>
      <c r="P670">
        <v>59</v>
      </c>
      <c r="Q670">
        <v>1</v>
      </c>
      <c r="R670">
        <v>4</v>
      </c>
      <c r="S670" t="s">
        <v>25</v>
      </c>
    </row>
    <row r="671" spans="1:19" x14ac:dyDescent="0.25">
      <c r="A671">
        <v>10670</v>
      </c>
      <c r="B671">
        <v>25</v>
      </c>
      <c r="C671" t="s">
        <v>19</v>
      </c>
      <c r="D671" t="s">
        <v>20</v>
      </c>
      <c r="E671" t="s">
        <v>27</v>
      </c>
      <c r="F671" t="s">
        <v>35</v>
      </c>
      <c r="G671" t="s">
        <v>30</v>
      </c>
      <c r="H671">
        <v>65700</v>
      </c>
      <c r="I671">
        <v>43815</v>
      </c>
      <c r="J671">
        <v>14</v>
      </c>
      <c r="K671">
        <v>5</v>
      </c>
      <c r="L671">
        <v>5</v>
      </c>
      <c r="M671" t="s">
        <v>24</v>
      </c>
      <c r="N671">
        <v>2</v>
      </c>
      <c r="O671">
        <v>30</v>
      </c>
      <c r="P671">
        <v>22</v>
      </c>
      <c r="Q671">
        <v>3</v>
      </c>
      <c r="R671">
        <v>4</v>
      </c>
      <c r="S671" t="s">
        <v>25</v>
      </c>
    </row>
    <row r="672" spans="1:19" x14ac:dyDescent="0.25">
      <c r="A672">
        <v>10671</v>
      </c>
      <c r="B672">
        <v>34</v>
      </c>
      <c r="C672" t="s">
        <v>19</v>
      </c>
      <c r="D672" t="s">
        <v>28</v>
      </c>
      <c r="E672" t="s">
        <v>21</v>
      </c>
      <c r="F672" t="s">
        <v>39</v>
      </c>
      <c r="G672" t="s">
        <v>38</v>
      </c>
      <c r="H672">
        <v>117195</v>
      </c>
      <c r="I672">
        <v>28389</v>
      </c>
      <c r="J672">
        <v>20</v>
      </c>
      <c r="K672">
        <v>0</v>
      </c>
      <c r="L672">
        <v>1</v>
      </c>
      <c r="M672" t="s">
        <v>25</v>
      </c>
      <c r="N672">
        <v>2</v>
      </c>
      <c r="O672">
        <v>38</v>
      </c>
      <c r="P672">
        <v>16</v>
      </c>
      <c r="Q672">
        <v>3</v>
      </c>
      <c r="R672">
        <v>3</v>
      </c>
      <c r="S672" t="s">
        <v>24</v>
      </c>
    </row>
    <row r="673" spans="1:19" x14ac:dyDescent="0.25">
      <c r="A673">
        <v>10672</v>
      </c>
      <c r="B673">
        <v>28</v>
      </c>
      <c r="C673" t="s">
        <v>31</v>
      </c>
      <c r="D673" t="s">
        <v>41</v>
      </c>
      <c r="E673" t="s">
        <v>21</v>
      </c>
      <c r="F673" t="s">
        <v>39</v>
      </c>
      <c r="G673" t="s">
        <v>38</v>
      </c>
      <c r="H673">
        <v>127822</v>
      </c>
      <c r="I673">
        <v>44542</v>
      </c>
      <c r="J673">
        <v>13</v>
      </c>
      <c r="K673">
        <v>3</v>
      </c>
      <c r="L673">
        <v>3</v>
      </c>
      <c r="M673" t="s">
        <v>24</v>
      </c>
      <c r="N673">
        <v>3</v>
      </c>
      <c r="O673">
        <v>36</v>
      </c>
      <c r="P673">
        <v>16</v>
      </c>
      <c r="Q673">
        <v>3</v>
      </c>
      <c r="R673">
        <v>2</v>
      </c>
      <c r="S673" t="s">
        <v>25</v>
      </c>
    </row>
    <row r="674" spans="1:19" x14ac:dyDescent="0.25">
      <c r="A674">
        <v>10673</v>
      </c>
      <c r="B674">
        <v>50</v>
      </c>
      <c r="C674" t="s">
        <v>19</v>
      </c>
      <c r="D674" t="s">
        <v>41</v>
      </c>
      <c r="E674" t="s">
        <v>27</v>
      </c>
      <c r="F674" t="s">
        <v>39</v>
      </c>
      <c r="G674" t="s">
        <v>38</v>
      </c>
      <c r="H674">
        <v>79879</v>
      </c>
      <c r="I674">
        <v>19336</v>
      </c>
      <c r="J674">
        <v>19</v>
      </c>
      <c r="K674">
        <v>8</v>
      </c>
      <c r="L674">
        <v>3</v>
      </c>
      <c r="M674" t="s">
        <v>25</v>
      </c>
      <c r="N674">
        <v>3</v>
      </c>
      <c r="O674">
        <v>32</v>
      </c>
      <c r="P674">
        <v>6</v>
      </c>
      <c r="Q674">
        <v>4</v>
      </c>
      <c r="R674">
        <v>2</v>
      </c>
      <c r="S674" t="s">
        <v>25</v>
      </c>
    </row>
    <row r="675" spans="1:19" x14ac:dyDescent="0.25">
      <c r="A675">
        <v>10674</v>
      </c>
      <c r="B675">
        <v>25</v>
      </c>
      <c r="C675" t="s">
        <v>19</v>
      </c>
      <c r="D675" t="s">
        <v>32</v>
      </c>
      <c r="E675" t="s">
        <v>33</v>
      </c>
      <c r="F675" t="s">
        <v>35</v>
      </c>
      <c r="G675" t="s">
        <v>38</v>
      </c>
      <c r="H675">
        <v>37842</v>
      </c>
      <c r="I675">
        <v>10310</v>
      </c>
      <c r="J675">
        <v>7</v>
      </c>
      <c r="K675">
        <v>8</v>
      </c>
      <c r="L675">
        <v>1</v>
      </c>
      <c r="M675" t="s">
        <v>25</v>
      </c>
      <c r="N675">
        <v>3</v>
      </c>
      <c r="O675">
        <v>17</v>
      </c>
      <c r="P675">
        <v>57</v>
      </c>
      <c r="Q675">
        <v>4</v>
      </c>
      <c r="R675">
        <v>4</v>
      </c>
      <c r="S675" t="s">
        <v>25</v>
      </c>
    </row>
    <row r="676" spans="1:19" x14ac:dyDescent="0.25">
      <c r="A676">
        <v>10675</v>
      </c>
      <c r="B676">
        <v>28</v>
      </c>
      <c r="C676" t="s">
        <v>31</v>
      </c>
      <c r="D676" t="s">
        <v>34</v>
      </c>
      <c r="E676" t="s">
        <v>27</v>
      </c>
      <c r="F676" t="s">
        <v>35</v>
      </c>
      <c r="G676" t="s">
        <v>30</v>
      </c>
      <c r="H676">
        <v>69634</v>
      </c>
      <c r="I676">
        <v>44763</v>
      </c>
      <c r="J676">
        <v>19</v>
      </c>
      <c r="K676">
        <v>3</v>
      </c>
      <c r="L676">
        <v>2</v>
      </c>
      <c r="M676" t="s">
        <v>25</v>
      </c>
      <c r="N676">
        <v>2</v>
      </c>
      <c r="O676">
        <v>9</v>
      </c>
      <c r="P676">
        <v>5</v>
      </c>
      <c r="Q676">
        <v>3</v>
      </c>
      <c r="R676">
        <v>4</v>
      </c>
      <c r="S676" t="s">
        <v>25</v>
      </c>
    </row>
    <row r="677" spans="1:19" x14ac:dyDescent="0.25">
      <c r="A677">
        <v>10676</v>
      </c>
      <c r="B677">
        <v>48</v>
      </c>
      <c r="C677" t="s">
        <v>31</v>
      </c>
      <c r="D677" t="s">
        <v>28</v>
      </c>
      <c r="E677" t="s">
        <v>36</v>
      </c>
      <c r="F677" t="s">
        <v>35</v>
      </c>
      <c r="G677" t="s">
        <v>38</v>
      </c>
      <c r="H677">
        <v>66038</v>
      </c>
      <c r="I677">
        <v>34404</v>
      </c>
      <c r="J677">
        <v>4</v>
      </c>
      <c r="K677">
        <v>10</v>
      </c>
      <c r="L677">
        <v>4</v>
      </c>
      <c r="M677" t="s">
        <v>25</v>
      </c>
      <c r="N677">
        <v>2</v>
      </c>
      <c r="O677">
        <v>18</v>
      </c>
      <c r="P677">
        <v>29</v>
      </c>
      <c r="Q677">
        <v>3</v>
      </c>
      <c r="R677">
        <v>3</v>
      </c>
      <c r="S677" t="s">
        <v>25</v>
      </c>
    </row>
    <row r="678" spans="1:19" x14ac:dyDescent="0.25">
      <c r="A678">
        <v>10677</v>
      </c>
      <c r="B678">
        <v>41</v>
      </c>
      <c r="C678" t="s">
        <v>19</v>
      </c>
      <c r="D678" t="s">
        <v>20</v>
      </c>
      <c r="E678" t="s">
        <v>36</v>
      </c>
      <c r="F678" t="s">
        <v>39</v>
      </c>
      <c r="G678" t="s">
        <v>38</v>
      </c>
      <c r="H678">
        <v>46286</v>
      </c>
      <c r="I678">
        <v>45823</v>
      </c>
      <c r="J678">
        <v>14</v>
      </c>
      <c r="K678">
        <v>4</v>
      </c>
      <c r="L678">
        <v>3</v>
      </c>
      <c r="M678" t="s">
        <v>25</v>
      </c>
      <c r="N678">
        <v>3</v>
      </c>
      <c r="O678">
        <v>27</v>
      </c>
      <c r="P678">
        <v>35</v>
      </c>
      <c r="Q678">
        <v>2</v>
      </c>
      <c r="R678">
        <v>3</v>
      </c>
      <c r="S678" t="s">
        <v>24</v>
      </c>
    </row>
    <row r="679" spans="1:19" x14ac:dyDescent="0.25">
      <c r="A679">
        <v>10678</v>
      </c>
      <c r="B679">
        <v>41</v>
      </c>
      <c r="C679" t="s">
        <v>19</v>
      </c>
      <c r="D679" t="s">
        <v>20</v>
      </c>
      <c r="E679" t="s">
        <v>21</v>
      </c>
      <c r="F679" t="s">
        <v>22</v>
      </c>
      <c r="G679" t="s">
        <v>30</v>
      </c>
      <c r="H679">
        <v>104479</v>
      </c>
      <c r="I679">
        <v>41618</v>
      </c>
      <c r="J679">
        <v>24</v>
      </c>
      <c r="K679">
        <v>1</v>
      </c>
      <c r="L679">
        <v>5</v>
      </c>
      <c r="M679" t="s">
        <v>25</v>
      </c>
      <c r="N679">
        <v>3</v>
      </c>
      <c r="O679">
        <v>10</v>
      </c>
      <c r="P679">
        <v>51</v>
      </c>
      <c r="Q679">
        <v>3</v>
      </c>
      <c r="R679">
        <v>4</v>
      </c>
      <c r="S679" t="s">
        <v>25</v>
      </c>
    </row>
    <row r="680" spans="1:19" x14ac:dyDescent="0.25">
      <c r="A680">
        <v>10679</v>
      </c>
      <c r="B680">
        <v>45</v>
      </c>
      <c r="C680" t="s">
        <v>31</v>
      </c>
      <c r="D680" t="s">
        <v>32</v>
      </c>
      <c r="E680" t="s">
        <v>33</v>
      </c>
      <c r="F680" t="s">
        <v>35</v>
      </c>
      <c r="G680" t="s">
        <v>30</v>
      </c>
      <c r="H680">
        <v>28097</v>
      </c>
      <c r="I680">
        <v>35533</v>
      </c>
      <c r="J680">
        <v>1</v>
      </c>
      <c r="K680">
        <v>12</v>
      </c>
      <c r="L680">
        <v>3</v>
      </c>
      <c r="M680" t="s">
        <v>25</v>
      </c>
      <c r="N680">
        <v>2</v>
      </c>
      <c r="O680">
        <v>9</v>
      </c>
      <c r="P680">
        <v>26</v>
      </c>
      <c r="Q680">
        <v>4</v>
      </c>
      <c r="R680">
        <v>1</v>
      </c>
      <c r="S680" t="s">
        <v>25</v>
      </c>
    </row>
    <row r="681" spans="1:19" x14ac:dyDescent="0.25">
      <c r="A681">
        <v>10680</v>
      </c>
      <c r="B681">
        <v>39</v>
      </c>
      <c r="C681" t="s">
        <v>19</v>
      </c>
      <c r="D681" t="s">
        <v>26</v>
      </c>
      <c r="E681" t="s">
        <v>33</v>
      </c>
      <c r="F681" t="s">
        <v>39</v>
      </c>
      <c r="G681" t="s">
        <v>23</v>
      </c>
      <c r="H681">
        <v>27822</v>
      </c>
      <c r="I681">
        <v>9669</v>
      </c>
      <c r="J681">
        <v>24</v>
      </c>
      <c r="K681">
        <v>8</v>
      </c>
      <c r="L681">
        <v>5</v>
      </c>
      <c r="M681" t="s">
        <v>25</v>
      </c>
      <c r="N681">
        <v>4</v>
      </c>
      <c r="O681">
        <v>17</v>
      </c>
      <c r="P681">
        <v>52</v>
      </c>
      <c r="Q681">
        <v>3</v>
      </c>
      <c r="R681">
        <v>2</v>
      </c>
      <c r="S681" t="s">
        <v>25</v>
      </c>
    </row>
    <row r="682" spans="1:19" x14ac:dyDescent="0.25">
      <c r="A682">
        <v>10681</v>
      </c>
      <c r="B682">
        <v>21</v>
      </c>
      <c r="C682" t="s">
        <v>19</v>
      </c>
      <c r="D682" t="s">
        <v>32</v>
      </c>
      <c r="E682" t="s">
        <v>27</v>
      </c>
      <c r="F682" t="s">
        <v>37</v>
      </c>
      <c r="G682" t="s">
        <v>38</v>
      </c>
      <c r="H682">
        <v>67157</v>
      </c>
      <c r="I682">
        <v>25190</v>
      </c>
      <c r="J682">
        <v>20</v>
      </c>
      <c r="K682">
        <v>4</v>
      </c>
      <c r="L682">
        <v>2</v>
      </c>
      <c r="M682" t="s">
        <v>24</v>
      </c>
      <c r="N682">
        <v>4</v>
      </c>
      <c r="O682">
        <v>25</v>
      </c>
      <c r="P682">
        <v>8</v>
      </c>
      <c r="Q682">
        <v>1</v>
      </c>
      <c r="R682">
        <v>2</v>
      </c>
      <c r="S682" t="s">
        <v>25</v>
      </c>
    </row>
    <row r="683" spans="1:19" x14ac:dyDescent="0.25">
      <c r="A683">
        <v>10682</v>
      </c>
      <c r="B683">
        <v>53</v>
      </c>
      <c r="C683" t="s">
        <v>31</v>
      </c>
      <c r="D683" t="s">
        <v>28</v>
      </c>
      <c r="E683" t="s">
        <v>29</v>
      </c>
      <c r="F683" t="s">
        <v>35</v>
      </c>
      <c r="G683" t="s">
        <v>38</v>
      </c>
      <c r="H683">
        <v>157956</v>
      </c>
      <c r="I683">
        <v>45486</v>
      </c>
      <c r="J683">
        <v>6</v>
      </c>
      <c r="K683">
        <v>10</v>
      </c>
      <c r="L683">
        <v>4</v>
      </c>
      <c r="M683" t="s">
        <v>24</v>
      </c>
      <c r="N683">
        <v>3</v>
      </c>
      <c r="O683">
        <v>14</v>
      </c>
      <c r="P683">
        <v>18</v>
      </c>
      <c r="Q683">
        <v>3</v>
      </c>
      <c r="R683">
        <v>2</v>
      </c>
      <c r="S683" t="s">
        <v>24</v>
      </c>
    </row>
    <row r="684" spans="1:19" x14ac:dyDescent="0.25">
      <c r="A684">
        <v>10683</v>
      </c>
      <c r="B684">
        <v>39</v>
      </c>
      <c r="C684" t="s">
        <v>19</v>
      </c>
      <c r="D684" t="s">
        <v>20</v>
      </c>
      <c r="E684" t="s">
        <v>33</v>
      </c>
      <c r="F684" t="s">
        <v>35</v>
      </c>
      <c r="G684" t="s">
        <v>30</v>
      </c>
      <c r="H684">
        <v>34408</v>
      </c>
      <c r="I684">
        <v>26913</v>
      </c>
      <c r="J684">
        <v>7</v>
      </c>
      <c r="K684">
        <v>0</v>
      </c>
      <c r="L684">
        <v>2</v>
      </c>
      <c r="M684" t="s">
        <v>25</v>
      </c>
      <c r="N684">
        <v>3</v>
      </c>
      <c r="O684">
        <v>5</v>
      </c>
      <c r="P684">
        <v>38</v>
      </c>
      <c r="Q684">
        <v>1</v>
      </c>
      <c r="R684">
        <v>3</v>
      </c>
      <c r="S684" t="s">
        <v>25</v>
      </c>
    </row>
    <row r="685" spans="1:19" x14ac:dyDescent="0.25">
      <c r="A685">
        <v>10684</v>
      </c>
      <c r="B685">
        <v>32</v>
      </c>
      <c r="C685" t="s">
        <v>19</v>
      </c>
      <c r="D685" t="s">
        <v>41</v>
      </c>
      <c r="E685" t="s">
        <v>33</v>
      </c>
      <c r="F685" t="s">
        <v>22</v>
      </c>
      <c r="G685" t="s">
        <v>30</v>
      </c>
      <c r="H685">
        <v>39322</v>
      </c>
      <c r="I685">
        <v>8031</v>
      </c>
      <c r="J685">
        <v>7</v>
      </c>
      <c r="K685">
        <v>7</v>
      </c>
      <c r="L685">
        <v>3</v>
      </c>
      <c r="M685" t="s">
        <v>25</v>
      </c>
      <c r="N685">
        <v>4</v>
      </c>
      <c r="O685">
        <v>39</v>
      </c>
      <c r="P685">
        <v>52</v>
      </c>
      <c r="Q685">
        <v>3</v>
      </c>
      <c r="R685">
        <v>3</v>
      </c>
      <c r="S685" t="s">
        <v>25</v>
      </c>
    </row>
    <row r="686" spans="1:19" x14ac:dyDescent="0.25">
      <c r="A686">
        <v>10685</v>
      </c>
      <c r="B686">
        <v>49</v>
      </c>
      <c r="C686" t="s">
        <v>19</v>
      </c>
      <c r="D686" t="s">
        <v>20</v>
      </c>
      <c r="E686" t="s">
        <v>36</v>
      </c>
      <c r="F686" t="s">
        <v>22</v>
      </c>
      <c r="G686" t="s">
        <v>38</v>
      </c>
      <c r="H686">
        <v>65943</v>
      </c>
      <c r="I686">
        <v>29202</v>
      </c>
      <c r="J686">
        <v>20</v>
      </c>
      <c r="K686">
        <v>4</v>
      </c>
      <c r="L686">
        <v>4</v>
      </c>
      <c r="M686" t="s">
        <v>24</v>
      </c>
      <c r="N686">
        <v>3</v>
      </c>
      <c r="O686">
        <v>19</v>
      </c>
      <c r="P686">
        <v>11</v>
      </c>
      <c r="Q686">
        <v>2</v>
      </c>
      <c r="R686">
        <v>3</v>
      </c>
      <c r="S686" t="s">
        <v>25</v>
      </c>
    </row>
    <row r="687" spans="1:19" x14ac:dyDescent="0.25">
      <c r="A687">
        <v>10686</v>
      </c>
      <c r="B687">
        <v>50</v>
      </c>
      <c r="C687" t="s">
        <v>31</v>
      </c>
      <c r="D687" t="s">
        <v>20</v>
      </c>
      <c r="E687" t="s">
        <v>33</v>
      </c>
      <c r="F687" t="s">
        <v>39</v>
      </c>
      <c r="G687" t="s">
        <v>38</v>
      </c>
      <c r="H687">
        <v>35613</v>
      </c>
      <c r="I687">
        <v>23301</v>
      </c>
      <c r="J687">
        <v>14</v>
      </c>
      <c r="K687">
        <v>14</v>
      </c>
      <c r="L687">
        <v>4</v>
      </c>
      <c r="M687" t="s">
        <v>24</v>
      </c>
      <c r="N687">
        <v>3</v>
      </c>
      <c r="O687">
        <v>31</v>
      </c>
      <c r="P687">
        <v>38</v>
      </c>
      <c r="Q687">
        <v>4</v>
      </c>
      <c r="R687">
        <v>3</v>
      </c>
      <c r="S687" t="s">
        <v>25</v>
      </c>
    </row>
    <row r="688" spans="1:19" x14ac:dyDescent="0.25">
      <c r="A688">
        <v>10687</v>
      </c>
      <c r="B688">
        <v>40</v>
      </c>
      <c r="C688" t="s">
        <v>31</v>
      </c>
      <c r="D688" t="s">
        <v>26</v>
      </c>
      <c r="E688" t="s">
        <v>27</v>
      </c>
      <c r="F688" t="s">
        <v>35</v>
      </c>
      <c r="G688" t="s">
        <v>30</v>
      </c>
      <c r="H688">
        <v>82189</v>
      </c>
      <c r="I688">
        <v>34120</v>
      </c>
      <c r="J688">
        <v>4</v>
      </c>
      <c r="K688">
        <v>7</v>
      </c>
      <c r="L688">
        <v>2</v>
      </c>
      <c r="M688" t="s">
        <v>24</v>
      </c>
      <c r="N688">
        <v>1</v>
      </c>
      <c r="O688">
        <v>39</v>
      </c>
      <c r="P688">
        <v>50</v>
      </c>
      <c r="Q688">
        <v>1</v>
      </c>
      <c r="R688">
        <v>3</v>
      </c>
      <c r="S688" t="s">
        <v>24</v>
      </c>
    </row>
    <row r="689" spans="1:19" x14ac:dyDescent="0.25">
      <c r="A689">
        <v>10688</v>
      </c>
      <c r="B689">
        <v>53</v>
      </c>
      <c r="C689" t="s">
        <v>19</v>
      </c>
      <c r="D689" t="s">
        <v>41</v>
      </c>
      <c r="E689" t="s">
        <v>27</v>
      </c>
      <c r="F689" t="s">
        <v>22</v>
      </c>
      <c r="G689" t="s">
        <v>38</v>
      </c>
      <c r="H689">
        <v>62542</v>
      </c>
      <c r="I689">
        <v>13647</v>
      </c>
      <c r="J689">
        <v>5</v>
      </c>
      <c r="K689">
        <v>2</v>
      </c>
      <c r="L689">
        <v>3</v>
      </c>
      <c r="M689" t="s">
        <v>25</v>
      </c>
      <c r="N689">
        <v>4</v>
      </c>
      <c r="O689">
        <v>35</v>
      </c>
      <c r="P689">
        <v>39</v>
      </c>
      <c r="Q689">
        <v>4</v>
      </c>
      <c r="R689">
        <v>4</v>
      </c>
      <c r="S689" t="s">
        <v>25</v>
      </c>
    </row>
    <row r="690" spans="1:19" x14ac:dyDescent="0.25">
      <c r="A690">
        <v>10689</v>
      </c>
      <c r="B690">
        <v>53</v>
      </c>
      <c r="C690" t="s">
        <v>19</v>
      </c>
      <c r="D690" t="s">
        <v>41</v>
      </c>
      <c r="E690" t="s">
        <v>21</v>
      </c>
      <c r="F690" t="s">
        <v>22</v>
      </c>
      <c r="G690" t="s">
        <v>38</v>
      </c>
      <c r="H690">
        <v>129879</v>
      </c>
      <c r="I690">
        <v>25107</v>
      </c>
      <c r="J690">
        <v>8</v>
      </c>
      <c r="K690">
        <v>9</v>
      </c>
      <c r="L690">
        <v>3</v>
      </c>
      <c r="M690" t="s">
        <v>24</v>
      </c>
      <c r="N690">
        <v>4</v>
      </c>
      <c r="O690">
        <v>38</v>
      </c>
      <c r="P690">
        <v>57</v>
      </c>
      <c r="Q690">
        <v>4</v>
      </c>
      <c r="R690">
        <v>4</v>
      </c>
      <c r="S690" t="s">
        <v>25</v>
      </c>
    </row>
    <row r="691" spans="1:19" x14ac:dyDescent="0.25">
      <c r="A691">
        <v>10690</v>
      </c>
      <c r="B691">
        <v>26</v>
      </c>
      <c r="C691" t="s">
        <v>19</v>
      </c>
      <c r="D691" t="s">
        <v>20</v>
      </c>
      <c r="E691" t="s">
        <v>29</v>
      </c>
      <c r="F691" t="s">
        <v>35</v>
      </c>
      <c r="G691" t="s">
        <v>30</v>
      </c>
      <c r="H691">
        <v>165583</v>
      </c>
      <c r="I691">
        <v>49587</v>
      </c>
      <c r="J691">
        <v>7</v>
      </c>
      <c r="K691">
        <v>1</v>
      </c>
      <c r="L691">
        <v>3</v>
      </c>
      <c r="M691" t="s">
        <v>25</v>
      </c>
      <c r="N691">
        <v>3</v>
      </c>
      <c r="O691">
        <v>5</v>
      </c>
      <c r="P691">
        <v>34</v>
      </c>
      <c r="Q691">
        <v>4</v>
      </c>
      <c r="R691">
        <v>1</v>
      </c>
      <c r="S691" t="s">
        <v>25</v>
      </c>
    </row>
    <row r="692" spans="1:19" x14ac:dyDescent="0.25">
      <c r="A692">
        <v>10691</v>
      </c>
      <c r="B692">
        <v>33</v>
      </c>
      <c r="C692" t="s">
        <v>19</v>
      </c>
      <c r="D692" t="s">
        <v>20</v>
      </c>
      <c r="E692" t="s">
        <v>36</v>
      </c>
      <c r="F692" t="s">
        <v>39</v>
      </c>
      <c r="G692" t="s">
        <v>30</v>
      </c>
      <c r="H692">
        <v>48358</v>
      </c>
      <c r="I692">
        <v>49855</v>
      </c>
      <c r="J692">
        <v>10</v>
      </c>
      <c r="K692">
        <v>4</v>
      </c>
      <c r="L692">
        <v>4</v>
      </c>
      <c r="M692" t="s">
        <v>24</v>
      </c>
      <c r="N692">
        <v>4</v>
      </c>
      <c r="O692">
        <v>22</v>
      </c>
      <c r="P692">
        <v>38</v>
      </c>
      <c r="Q692">
        <v>3</v>
      </c>
      <c r="R692">
        <v>3</v>
      </c>
      <c r="S692" t="s">
        <v>25</v>
      </c>
    </row>
    <row r="693" spans="1:19" x14ac:dyDescent="0.25">
      <c r="A693">
        <v>10692</v>
      </c>
      <c r="B693">
        <v>51</v>
      </c>
      <c r="C693" t="s">
        <v>19</v>
      </c>
      <c r="D693" t="s">
        <v>20</v>
      </c>
      <c r="E693" t="s">
        <v>36</v>
      </c>
      <c r="F693" t="s">
        <v>39</v>
      </c>
      <c r="G693" t="s">
        <v>38</v>
      </c>
      <c r="H693">
        <v>69785</v>
      </c>
      <c r="I693">
        <v>2105</v>
      </c>
      <c r="J693">
        <v>17</v>
      </c>
      <c r="K693">
        <v>14</v>
      </c>
      <c r="L693">
        <v>3</v>
      </c>
      <c r="M693" t="s">
        <v>24</v>
      </c>
      <c r="N693">
        <v>4</v>
      </c>
      <c r="O693">
        <v>21</v>
      </c>
      <c r="P693">
        <v>7</v>
      </c>
      <c r="Q693">
        <v>1</v>
      </c>
      <c r="R693">
        <v>3</v>
      </c>
      <c r="S693" t="s">
        <v>25</v>
      </c>
    </row>
    <row r="694" spans="1:19" x14ac:dyDescent="0.25">
      <c r="A694">
        <v>10693</v>
      </c>
      <c r="B694">
        <v>35</v>
      </c>
      <c r="C694" t="s">
        <v>19</v>
      </c>
      <c r="D694" t="s">
        <v>32</v>
      </c>
      <c r="E694" t="s">
        <v>29</v>
      </c>
      <c r="F694" t="s">
        <v>39</v>
      </c>
      <c r="G694" t="s">
        <v>30</v>
      </c>
      <c r="H694">
        <v>156834</v>
      </c>
      <c r="I694">
        <v>12818</v>
      </c>
      <c r="J694">
        <v>23</v>
      </c>
      <c r="K694">
        <v>3</v>
      </c>
      <c r="L694">
        <v>3</v>
      </c>
      <c r="M694" t="s">
        <v>25</v>
      </c>
      <c r="N694">
        <v>2</v>
      </c>
      <c r="O694">
        <v>30</v>
      </c>
      <c r="P694">
        <v>38</v>
      </c>
      <c r="Q694">
        <v>3</v>
      </c>
      <c r="R694">
        <v>4</v>
      </c>
      <c r="S694" t="s">
        <v>25</v>
      </c>
    </row>
    <row r="695" spans="1:19" x14ac:dyDescent="0.25">
      <c r="A695">
        <v>10694</v>
      </c>
      <c r="B695">
        <v>26</v>
      </c>
      <c r="C695" t="s">
        <v>19</v>
      </c>
      <c r="D695" t="s">
        <v>28</v>
      </c>
      <c r="E695" t="s">
        <v>33</v>
      </c>
      <c r="F695" t="s">
        <v>39</v>
      </c>
      <c r="G695" t="s">
        <v>30</v>
      </c>
      <c r="H695">
        <v>39847</v>
      </c>
      <c r="I695">
        <v>6953</v>
      </c>
      <c r="J695">
        <v>22</v>
      </c>
      <c r="K695">
        <v>3</v>
      </c>
      <c r="L695">
        <v>3</v>
      </c>
      <c r="M695" t="s">
        <v>25</v>
      </c>
      <c r="N695">
        <v>2</v>
      </c>
      <c r="O695">
        <v>23</v>
      </c>
      <c r="P695">
        <v>44</v>
      </c>
      <c r="Q695">
        <v>1</v>
      </c>
      <c r="R695">
        <v>4</v>
      </c>
      <c r="S695" t="s">
        <v>24</v>
      </c>
    </row>
    <row r="696" spans="1:19" x14ac:dyDescent="0.25">
      <c r="A696">
        <v>10695</v>
      </c>
      <c r="B696">
        <v>37</v>
      </c>
      <c r="C696" t="s">
        <v>19</v>
      </c>
      <c r="D696" t="s">
        <v>20</v>
      </c>
      <c r="E696" t="s">
        <v>36</v>
      </c>
      <c r="F696" t="s">
        <v>39</v>
      </c>
      <c r="G696" t="s">
        <v>30</v>
      </c>
      <c r="H696">
        <v>46304</v>
      </c>
      <c r="I696">
        <v>39433</v>
      </c>
      <c r="J696">
        <v>6</v>
      </c>
      <c r="K696">
        <v>11</v>
      </c>
      <c r="L696">
        <v>3</v>
      </c>
      <c r="M696" t="s">
        <v>24</v>
      </c>
      <c r="N696">
        <v>4</v>
      </c>
      <c r="O696">
        <v>30</v>
      </c>
      <c r="P696">
        <v>34</v>
      </c>
      <c r="Q696">
        <v>4</v>
      </c>
      <c r="R696">
        <v>2</v>
      </c>
      <c r="S696" t="s">
        <v>25</v>
      </c>
    </row>
    <row r="697" spans="1:19" x14ac:dyDescent="0.25">
      <c r="A697">
        <v>10696</v>
      </c>
      <c r="B697">
        <v>54</v>
      </c>
      <c r="C697" t="s">
        <v>31</v>
      </c>
      <c r="D697" t="s">
        <v>20</v>
      </c>
      <c r="E697" t="s">
        <v>33</v>
      </c>
      <c r="F697" t="s">
        <v>35</v>
      </c>
      <c r="G697" t="s">
        <v>30</v>
      </c>
      <c r="H697">
        <v>34321</v>
      </c>
      <c r="I697">
        <v>44226</v>
      </c>
      <c r="J697">
        <v>7</v>
      </c>
      <c r="K697">
        <v>7</v>
      </c>
      <c r="L697">
        <v>4</v>
      </c>
      <c r="M697" t="s">
        <v>25</v>
      </c>
      <c r="N697">
        <v>2</v>
      </c>
      <c r="O697">
        <v>21</v>
      </c>
      <c r="P697">
        <v>10</v>
      </c>
      <c r="Q697">
        <v>4</v>
      </c>
      <c r="R697">
        <v>2</v>
      </c>
      <c r="S697" t="s">
        <v>25</v>
      </c>
    </row>
    <row r="698" spans="1:19" x14ac:dyDescent="0.25">
      <c r="A698">
        <v>10697</v>
      </c>
      <c r="B698">
        <v>21</v>
      </c>
      <c r="C698" t="s">
        <v>19</v>
      </c>
      <c r="D698" t="s">
        <v>20</v>
      </c>
      <c r="E698" t="s">
        <v>36</v>
      </c>
      <c r="F698" t="s">
        <v>39</v>
      </c>
      <c r="G698" t="s">
        <v>38</v>
      </c>
      <c r="H698">
        <v>60729</v>
      </c>
      <c r="I698">
        <v>37282</v>
      </c>
      <c r="J698">
        <v>14</v>
      </c>
      <c r="K698">
        <v>10</v>
      </c>
      <c r="L698">
        <v>5</v>
      </c>
      <c r="M698" t="s">
        <v>24</v>
      </c>
      <c r="N698">
        <v>4</v>
      </c>
      <c r="O698">
        <v>25</v>
      </c>
      <c r="P698">
        <v>24</v>
      </c>
      <c r="Q698">
        <v>4</v>
      </c>
      <c r="R698">
        <v>1</v>
      </c>
      <c r="S698" t="s">
        <v>25</v>
      </c>
    </row>
    <row r="699" spans="1:19" x14ac:dyDescent="0.25">
      <c r="A699">
        <v>10698</v>
      </c>
      <c r="B699">
        <v>21</v>
      </c>
      <c r="C699" t="s">
        <v>19</v>
      </c>
      <c r="D699" t="s">
        <v>34</v>
      </c>
      <c r="E699" t="s">
        <v>36</v>
      </c>
      <c r="F699" t="s">
        <v>39</v>
      </c>
      <c r="G699" t="s">
        <v>30</v>
      </c>
      <c r="H699">
        <v>69429</v>
      </c>
      <c r="I699">
        <v>23827</v>
      </c>
      <c r="J699">
        <v>1</v>
      </c>
      <c r="K699">
        <v>14</v>
      </c>
      <c r="L699">
        <v>5</v>
      </c>
      <c r="M699" t="s">
        <v>25</v>
      </c>
      <c r="N699">
        <v>2</v>
      </c>
      <c r="O699">
        <v>38</v>
      </c>
      <c r="P699">
        <v>59</v>
      </c>
      <c r="Q699">
        <v>4</v>
      </c>
      <c r="R699">
        <v>3</v>
      </c>
      <c r="S699" t="s">
        <v>25</v>
      </c>
    </row>
    <row r="700" spans="1:19" x14ac:dyDescent="0.25">
      <c r="A700">
        <v>10699</v>
      </c>
      <c r="B700">
        <v>55</v>
      </c>
      <c r="C700" t="s">
        <v>19</v>
      </c>
      <c r="D700" t="s">
        <v>20</v>
      </c>
      <c r="E700" t="s">
        <v>36</v>
      </c>
      <c r="F700" t="s">
        <v>39</v>
      </c>
      <c r="G700" t="s">
        <v>30</v>
      </c>
      <c r="H700">
        <v>67947</v>
      </c>
      <c r="I700">
        <v>7493</v>
      </c>
      <c r="J700">
        <v>8</v>
      </c>
      <c r="K700">
        <v>4</v>
      </c>
      <c r="L700">
        <v>4</v>
      </c>
      <c r="M700" t="s">
        <v>25</v>
      </c>
      <c r="N700">
        <v>2</v>
      </c>
      <c r="O700">
        <v>4</v>
      </c>
      <c r="P700">
        <v>35</v>
      </c>
      <c r="Q700">
        <v>4</v>
      </c>
      <c r="R700">
        <v>1</v>
      </c>
      <c r="S700" t="s">
        <v>25</v>
      </c>
    </row>
    <row r="701" spans="1:19" x14ac:dyDescent="0.25">
      <c r="A701">
        <v>10700</v>
      </c>
      <c r="B701">
        <v>26</v>
      </c>
      <c r="C701" t="s">
        <v>19</v>
      </c>
      <c r="D701" t="s">
        <v>34</v>
      </c>
      <c r="E701" t="s">
        <v>27</v>
      </c>
      <c r="F701" t="s">
        <v>39</v>
      </c>
      <c r="G701" t="s">
        <v>23</v>
      </c>
      <c r="H701">
        <v>87912</v>
      </c>
      <c r="I701">
        <v>12046</v>
      </c>
      <c r="J701">
        <v>4</v>
      </c>
      <c r="K701">
        <v>2</v>
      </c>
      <c r="L701">
        <v>4</v>
      </c>
      <c r="M701" t="s">
        <v>25</v>
      </c>
      <c r="N701">
        <v>4</v>
      </c>
      <c r="O701">
        <v>17</v>
      </c>
      <c r="P701">
        <v>46</v>
      </c>
      <c r="Q701">
        <v>2</v>
      </c>
      <c r="R701">
        <v>3</v>
      </c>
      <c r="S701" t="s">
        <v>25</v>
      </c>
    </row>
    <row r="702" spans="1:19" x14ac:dyDescent="0.25">
      <c r="A702">
        <v>10701</v>
      </c>
      <c r="B702">
        <v>44</v>
      </c>
      <c r="C702" t="s">
        <v>19</v>
      </c>
      <c r="D702" t="s">
        <v>20</v>
      </c>
      <c r="E702" t="s">
        <v>33</v>
      </c>
      <c r="F702" t="s">
        <v>22</v>
      </c>
      <c r="G702" t="s">
        <v>38</v>
      </c>
      <c r="H702">
        <v>41445</v>
      </c>
      <c r="I702">
        <v>30549</v>
      </c>
      <c r="J702">
        <v>17</v>
      </c>
      <c r="K702">
        <v>8</v>
      </c>
      <c r="L702">
        <v>3</v>
      </c>
      <c r="M702" t="s">
        <v>25</v>
      </c>
      <c r="N702">
        <v>4</v>
      </c>
      <c r="O702">
        <v>29</v>
      </c>
      <c r="P702">
        <v>36</v>
      </c>
      <c r="Q702">
        <v>3</v>
      </c>
      <c r="R702">
        <v>4</v>
      </c>
      <c r="S702" t="s">
        <v>25</v>
      </c>
    </row>
    <row r="703" spans="1:19" x14ac:dyDescent="0.25">
      <c r="A703">
        <v>10702</v>
      </c>
      <c r="B703">
        <v>40</v>
      </c>
      <c r="C703" t="s">
        <v>31</v>
      </c>
      <c r="D703" t="s">
        <v>20</v>
      </c>
      <c r="E703" t="s">
        <v>33</v>
      </c>
      <c r="F703" t="s">
        <v>22</v>
      </c>
      <c r="G703" t="s">
        <v>30</v>
      </c>
      <c r="H703">
        <v>30232</v>
      </c>
      <c r="I703">
        <v>6734</v>
      </c>
      <c r="J703">
        <v>24</v>
      </c>
      <c r="K703">
        <v>0</v>
      </c>
      <c r="L703">
        <v>4</v>
      </c>
      <c r="M703" t="s">
        <v>24</v>
      </c>
      <c r="N703">
        <v>2</v>
      </c>
      <c r="O703">
        <v>39</v>
      </c>
      <c r="P703">
        <v>23</v>
      </c>
      <c r="Q703">
        <v>3</v>
      </c>
      <c r="R703">
        <v>3</v>
      </c>
      <c r="S703" t="s">
        <v>25</v>
      </c>
    </row>
    <row r="704" spans="1:19" x14ac:dyDescent="0.25">
      <c r="A704">
        <v>10703</v>
      </c>
      <c r="B704">
        <v>46</v>
      </c>
      <c r="C704" t="s">
        <v>31</v>
      </c>
      <c r="D704" t="s">
        <v>41</v>
      </c>
      <c r="E704" t="s">
        <v>21</v>
      </c>
      <c r="F704" t="s">
        <v>37</v>
      </c>
      <c r="G704" t="s">
        <v>30</v>
      </c>
      <c r="H704">
        <v>104847</v>
      </c>
      <c r="I704">
        <v>39423</v>
      </c>
      <c r="J704">
        <v>23</v>
      </c>
      <c r="K704">
        <v>8</v>
      </c>
      <c r="L704">
        <v>3</v>
      </c>
      <c r="M704" t="s">
        <v>25</v>
      </c>
      <c r="N704">
        <v>1</v>
      </c>
      <c r="O704">
        <v>1</v>
      </c>
      <c r="P704">
        <v>58</v>
      </c>
      <c r="Q704">
        <v>3</v>
      </c>
      <c r="R704">
        <v>3</v>
      </c>
      <c r="S704" t="s">
        <v>25</v>
      </c>
    </row>
    <row r="705" spans="1:19" x14ac:dyDescent="0.25">
      <c r="A705">
        <v>10704</v>
      </c>
      <c r="B705">
        <v>29</v>
      </c>
      <c r="C705" t="s">
        <v>19</v>
      </c>
      <c r="D705" t="s">
        <v>20</v>
      </c>
      <c r="E705" t="s">
        <v>33</v>
      </c>
      <c r="F705" t="s">
        <v>39</v>
      </c>
      <c r="G705" t="s">
        <v>38</v>
      </c>
      <c r="H705">
        <v>44665</v>
      </c>
      <c r="I705">
        <v>16388</v>
      </c>
      <c r="J705">
        <v>1</v>
      </c>
      <c r="K705">
        <v>7</v>
      </c>
      <c r="L705">
        <v>2</v>
      </c>
      <c r="M705" t="s">
        <v>24</v>
      </c>
      <c r="N705">
        <v>2</v>
      </c>
      <c r="O705">
        <v>22</v>
      </c>
      <c r="P705">
        <v>19</v>
      </c>
      <c r="Q705">
        <v>2</v>
      </c>
      <c r="R705">
        <v>1</v>
      </c>
      <c r="S705" t="s">
        <v>25</v>
      </c>
    </row>
    <row r="706" spans="1:19" x14ac:dyDescent="0.25">
      <c r="A706">
        <v>10705</v>
      </c>
      <c r="B706">
        <v>38</v>
      </c>
      <c r="C706" t="s">
        <v>19</v>
      </c>
      <c r="D706" t="s">
        <v>20</v>
      </c>
      <c r="E706" t="s">
        <v>33</v>
      </c>
      <c r="F706" t="s">
        <v>37</v>
      </c>
      <c r="G706" t="s">
        <v>38</v>
      </c>
      <c r="H706">
        <v>26300</v>
      </c>
      <c r="I706">
        <v>37153</v>
      </c>
      <c r="J706">
        <v>3</v>
      </c>
      <c r="K706">
        <v>2</v>
      </c>
      <c r="L706">
        <v>3</v>
      </c>
      <c r="M706" t="s">
        <v>24</v>
      </c>
      <c r="N706">
        <v>4</v>
      </c>
      <c r="O706">
        <v>35</v>
      </c>
      <c r="P706">
        <v>17</v>
      </c>
      <c r="Q706">
        <v>4</v>
      </c>
      <c r="R706">
        <v>3</v>
      </c>
      <c r="S706" t="s">
        <v>25</v>
      </c>
    </row>
    <row r="707" spans="1:19" x14ac:dyDescent="0.25">
      <c r="A707">
        <v>10706</v>
      </c>
      <c r="B707">
        <v>47</v>
      </c>
      <c r="C707" t="s">
        <v>19</v>
      </c>
      <c r="D707" t="s">
        <v>32</v>
      </c>
      <c r="E707" t="s">
        <v>36</v>
      </c>
      <c r="F707" t="s">
        <v>35</v>
      </c>
      <c r="G707" t="s">
        <v>30</v>
      </c>
      <c r="H707">
        <v>64714</v>
      </c>
      <c r="I707">
        <v>31622</v>
      </c>
      <c r="J707">
        <v>8</v>
      </c>
      <c r="K707">
        <v>11</v>
      </c>
      <c r="L707">
        <v>1</v>
      </c>
      <c r="M707" t="s">
        <v>25</v>
      </c>
      <c r="N707">
        <v>3</v>
      </c>
      <c r="O707">
        <v>24</v>
      </c>
      <c r="P707">
        <v>56</v>
      </c>
      <c r="Q707">
        <v>3</v>
      </c>
      <c r="R707">
        <v>3</v>
      </c>
      <c r="S707" t="s">
        <v>25</v>
      </c>
    </row>
    <row r="708" spans="1:19" x14ac:dyDescent="0.25">
      <c r="A708">
        <v>10707</v>
      </c>
      <c r="B708">
        <v>50</v>
      </c>
      <c r="C708" t="s">
        <v>19</v>
      </c>
      <c r="D708" t="s">
        <v>20</v>
      </c>
      <c r="E708" t="s">
        <v>29</v>
      </c>
      <c r="F708" t="s">
        <v>35</v>
      </c>
      <c r="G708" t="s">
        <v>38</v>
      </c>
      <c r="H708">
        <v>160343</v>
      </c>
      <c r="I708">
        <v>49730</v>
      </c>
      <c r="J708">
        <v>10</v>
      </c>
      <c r="K708">
        <v>2</v>
      </c>
      <c r="L708">
        <v>1</v>
      </c>
      <c r="M708" t="s">
        <v>25</v>
      </c>
      <c r="N708">
        <v>2</v>
      </c>
      <c r="O708">
        <v>10</v>
      </c>
      <c r="P708">
        <v>37</v>
      </c>
      <c r="Q708">
        <v>3</v>
      </c>
      <c r="R708">
        <v>1</v>
      </c>
      <c r="S708" t="s">
        <v>24</v>
      </c>
    </row>
    <row r="709" spans="1:19" x14ac:dyDescent="0.25">
      <c r="A709">
        <v>10708</v>
      </c>
      <c r="B709">
        <v>55</v>
      </c>
      <c r="C709" t="s">
        <v>19</v>
      </c>
      <c r="D709" t="s">
        <v>28</v>
      </c>
      <c r="E709" t="s">
        <v>21</v>
      </c>
      <c r="F709" t="s">
        <v>37</v>
      </c>
      <c r="G709" t="s">
        <v>38</v>
      </c>
      <c r="H709">
        <v>107375</v>
      </c>
      <c r="I709">
        <v>25010</v>
      </c>
      <c r="J709">
        <v>20</v>
      </c>
      <c r="K709">
        <v>10</v>
      </c>
      <c r="L709">
        <v>4</v>
      </c>
      <c r="M709" t="s">
        <v>25</v>
      </c>
      <c r="N709">
        <v>3</v>
      </c>
      <c r="O709">
        <v>14</v>
      </c>
      <c r="P709">
        <v>10</v>
      </c>
      <c r="Q709">
        <v>4</v>
      </c>
      <c r="R709">
        <v>3</v>
      </c>
      <c r="S709" t="s">
        <v>25</v>
      </c>
    </row>
    <row r="710" spans="1:19" x14ac:dyDescent="0.25">
      <c r="A710">
        <v>10709</v>
      </c>
      <c r="B710">
        <v>21</v>
      </c>
      <c r="C710" t="s">
        <v>19</v>
      </c>
      <c r="D710" t="s">
        <v>34</v>
      </c>
      <c r="E710" t="s">
        <v>21</v>
      </c>
      <c r="F710" t="s">
        <v>39</v>
      </c>
      <c r="G710" t="s">
        <v>30</v>
      </c>
      <c r="H710">
        <v>98382</v>
      </c>
      <c r="I710">
        <v>40799</v>
      </c>
      <c r="J710">
        <v>9</v>
      </c>
      <c r="K710">
        <v>6</v>
      </c>
      <c r="L710">
        <v>4</v>
      </c>
      <c r="M710" t="s">
        <v>25</v>
      </c>
      <c r="N710">
        <v>2</v>
      </c>
      <c r="O710">
        <v>14</v>
      </c>
      <c r="P710">
        <v>41</v>
      </c>
      <c r="Q710">
        <v>2</v>
      </c>
      <c r="R710">
        <v>3</v>
      </c>
      <c r="S710" t="s">
        <v>25</v>
      </c>
    </row>
    <row r="711" spans="1:19" x14ac:dyDescent="0.25">
      <c r="A711">
        <v>10710</v>
      </c>
      <c r="B711">
        <v>39</v>
      </c>
      <c r="C711" t="s">
        <v>19</v>
      </c>
      <c r="D711" t="s">
        <v>20</v>
      </c>
      <c r="E711" t="s">
        <v>40</v>
      </c>
      <c r="F711" t="s">
        <v>35</v>
      </c>
      <c r="G711" t="s">
        <v>38</v>
      </c>
      <c r="H711">
        <v>18808</v>
      </c>
      <c r="I711">
        <v>5906</v>
      </c>
      <c r="J711">
        <v>15</v>
      </c>
      <c r="K711">
        <v>14</v>
      </c>
      <c r="L711">
        <v>2</v>
      </c>
      <c r="M711" t="s">
        <v>25</v>
      </c>
      <c r="N711">
        <v>1</v>
      </c>
      <c r="O711">
        <v>4</v>
      </c>
      <c r="P711">
        <v>53</v>
      </c>
      <c r="Q711">
        <v>1</v>
      </c>
      <c r="R711">
        <v>1</v>
      </c>
      <c r="S711" t="s">
        <v>25</v>
      </c>
    </row>
    <row r="712" spans="1:19" x14ac:dyDescent="0.25">
      <c r="A712">
        <v>10711</v>
      </c>
      <c r="B712">
        <v>36</v>
      </c>
      <c r="C712" t="s">
        <v>31</v>
      </c>
      <c r="D712" t="s">
        <v>41</v>
      </c>
      <c r="E712" t="s">
        <v>40</v>
      </c>
      <c r="F712" t="s">
        <v>39</v>
      </c>
      <c r="G712" t="s">
        <v>30</v>
      </c>
      <c r="H712">
        <v>13685</v>
      </c>
      <c r="I712">
        <v>24575</v>
      </c>
      <c r="J712">
        <v>14</v>
      </c>
      <c r="K712">
        <v>0</v>
      </c>
      <c r="L712">
        <v>4</v>
      </c>
      <c r="M712" t="s">
        <v>25</v>
      </c>
      <c r="N712">
        <v>3</v>
      </c>
      <c r="O712">
        <v>31</v>
      </c>
      <c r="P712">
        <v>15</v>
      </c>
      <c r="Q712">
        <v>3</v>
      </c>
      <c r="R712">
        <v>4</v>
      </c>
      <c r="S712" t="s">
        <v>25</v>
      </c>
    </row>
    <row r="713" spans="1:19" x14ac:dyDescent="0.25">
      <c r="A713">
        <v>10712</v>
      </c>
      <c r="B713">
        <v>45</v>
      </c>
      <c r="C713" t="s">
        <v>19</v>
      </c>
      <c r="D713" t="s">
        <v>41</v>
      </c>
      <c r="E713" t="s">
        <v>27</v>
      </c>
      <c r="F713" t="s">
        <v>39</v>
      </c>
      <c r="G713" t="s">
        <v>23</v>
      </c>
      <c r="H713">
        <v>69652</v>
      </c>
      <c r="I713">
        <v>41326</v>
      </c>
      <c r="J713">
        <v>15</v>
      </c>
      <c r="K713">
        <v>13</v>
      </c>
      <c r="L713">
        <v>5</v>
      </c>
      <c r="M713" t="s">
        <v>25</v>
      </c>
      <c r="N713">
        <v>4</v>
      </c>
      <c r="O713">
        <v>4</v>
      </c>
      <c r="P713">
        <v>41</v>
      </c>
      <c r="Q713">
        <v>3</v>
      </c>
      <c r="R713">
        <v>3</v>
      </c>
      <c r="S713" t="s">
        <v>25</v>
      </c>
    </row>
    <row r="714" spans="1:19" x14ac:dyDescent="0.25">
      <c r="A714">
        <v>10713</v>
      </c>
      <c r="B714">
        <v>39</v>
      </c>
      <c r="C714" t="s">
        <v>19</v>
      </c>
      <c r="D714" t="s">
        <v>20</v>
      </c>
      <c r="E714" t="s">
        <v>27</v>
      </c>
      <c r="F714" t="s">
        <v>39</v>
      </c>
      <c r="G714" t="s">
        <v>30</v>
      </c>
      <c r="H714">
        <v>81527</v>
      </c>
      <c r="I714">
        <v>24064</v>
      </c>
      <c r="J714">
        <v>21</v>
      </c>
      <c r="K714">
        <v>1</v>
      </c>
      <c r="L714">
        <v>5</v>
      </c>
      <c r="M714" t="s">
        <v>25</v>
      </c>
      <c r="N714">
        <v>4</v>
      </c>
      <c r="O714">
        <v>25</v>
      </c>
      <c r="P714">
        <v>33</v>
      </c>
      <c r="Q714">
        <v>4</v>
      </c>
      <c r="R714">
        <v>1</v>
      </c>
      <c r="S714" t="s">
        <v>25</v>
      </c>
    </row>
    <row r="715" spans="1:19" x14ac:dyDescent="0.25">
      <c r="A715">
        <v>10714</v>
      </c>
      <c r="B715">
        <v>46</v>
      </c>
      <c r="C715" t="s">
        <v>31</v>
      </c>
      <c r="D715" t="s">
        <v>28</v>
      </c>
      <c r="E715" t="s">
        <v>27</v>
      </c>
      <c r="F715" t="s">
        <v>22</v>
      </c>
      <c r="G715" t="s">
        <v>38</v>
      </c>
      <c r="H715">
        <v>74772</v>
      </c>
      <c r="I715">
        <v>38065</v>
      </c>
      <c r="J715">
        <v>7</v>
      </c>
      <c r="K715">
        <v>13</v>
      </c>
      <c r="L715">
        <v>3</v>
      </c>
      <c r="M715" t="s">
        <v>24</v>
      </c>
      <c r="N715">
        <v>3</v>
      </c>
      <c r="O715">
        <v>26</v>
      </c>
      <c r="P715">
        <v>27</v>
      </c>
      <c r="Q715">
        <v>4</v>
      </c>
      <c r="R715">
        <v>4</v>
      </c>
      <c r="S715" t="s">
        <v>25</v>
      </c>
    </row>
    <row r="716" spans="1:19" x14ac:dyDescent="0.25">
      <c r="A716">
        <v>10715</v>
      </c>
      <c r="B716">
        <v>51</v>
      </c>
      <c r="C716" t="s">
        <v>19</v>
      </c>
      <c r="D716" t="s">
        <v>28</v>
      </c>
      <c r="E716" t="s">
        <v>27</v>
      </c>
      <c r="F716" t="s">
        <v>35</v>
      </c>
      <c r="G716" t="s">
        <v>30</v>
      </c>
      <c r="H716">
        <v>66940</v>
      </c>
      <c r="I716">
        <v>25318</v>
      </c>
      <c r="J716">
        <v>12</v>
      </c>
      <c r="K716">
        <v>2</v>
      </c>
      <c r="L716">
        <v>1</v>
      </c>
      <c r="M716" t="s">
        <v>25</v>
      </c>
      <c r="N716">
        <v>3</v>
      </c>
      <c r="O716">
        <v>22</v>
      </c>
      <c r="P716">
        <v>22</v>
      </c>
      <c r="Q716">
        <v>3</v>
      </c>
      <c r="R716">
        <v>3</v>
      </c>
      <c r="S716" t="s">
        <v>25</v>
      </c>
    </row>
    <row r="717" spans="1:19" x14ac:dyDescent="0.25">
      <c r="A717">
        <v>10716</v>
      </c>
      <c r="B717">
        <v>57</v>
      </c>
      <c r="C717" t="s">
        <v>19</v>
      </c>
      <c r="D717" t="s">
        <v>20</v>
      </c>
      <c r="E717" t="s">
        <v>36</v>
      </c>
      <c r="F717" t="s">
        <v>39</v>
      </c>
      <c r="G717" t="s">
        <v>38</v>
      </c>
      <c r="H717">
        <v>50082</v>
      </c>
      <c r="I717">
        <v>1725</v>
      </c>
      <c r="J717">
        <v>13</v>
      </c>
      <c r="K717">
        <v>5</v>
      </c>
      <c r="L717">
        <v>3</v>
      </c>
      <c r="M717" t="s">
        <v>25</v>
      </c>
      <c r="N717">
        <v>4</v>
      </c>
      <c r="O717">
        <v>17</v>
      </c>
      <c r="P717">
        <v>43</v>
      </c>
      <c r="Q717">
        <v>2</v>
      </c>
      <c r="R717">
        <v>2</v>
      </c>
      <c r="S717" t="s">
        <v>25</v>
      </c>
    </row>
    <row r="718" spans="1:19" x14ac:dyDescent="0.25">
      <c r="A718">
        <v>10717</v>
      </c>
      <c r="B718">
        <v>27</v>
      </c>
      <c r="C718" t="s">
        <v>19</v>
      </c>
      <c r="D718" t="s">
        <v>26</v>
      </c>
      <c r="E718" t="s">
        <v>33</v>
      </c>
      <c r="F718" t="s">
        <v>39</v>
      </c>
      <c r="G718" t="s">
        <v>30</v>
      </c>
      <c r="H718">
        <v>31724</v>
      </c>
      <c r="I718">
        <v>37814</v>
      </c>
      <c r="J718">
        <v>14</v>
      </c>
      <c r="K718">
        <v>3</v>
      </c>
      <c r="L718">
        <v>4</v>
      </c>
      <c r="M718" t="s">
        <v>25</v>
      </c>
      <c r="N718">
        <v>2</v>
      </c>
      <c r="O718">
        <v>30</v>
      </c>
      <c r="P718">
        <v>43</v>
      </c>
      <c r="Q718">
        <v>1</v>
      </c>
      <c r="R718">
        <v>1</v>
      </c>
      <c r="S718" t="s">
        <v>25</v>
      </c>
    </row>
    <row r="719" spans="1:19" x14ac:dyDescent="0.25">
      <c r="A719">
        <v>10718</v>
      </c>
      <c r="B719">
        <v>54</v>
      </c>
      <c r="C719" t="s">
        <v>19</v>
      </c>
      <c r="D719" t="s">
        <v>20</v>
      </c>
      <c r="E719" t="s">
        <v>33</v>
      </c>
      <c r="F719" t="s">
        <v>39</v>
      </c>
      <c r="G719" t="s">
        <v>30</v>
      </c>
      <c r="H719">
        <v>44500</v>
      </c>
      <c r="I719">
        <v>47345</v>
      </c>
      <c r="J719">
        <v>13</v>
      </c>
      <c r="K719">
        <v>1</v>
      </c>
      <c r="L719">
        <v>3</v>
      </c>
      <c r="M719" t="s">
        <v>25</v>
      </c>
      <c r="N719">
        <v>1</v>
      </c>
      <c r="O719">
        <v>32</v>
      </c>
      <c r="P719">
        <v>30</v>
      </c>
      <c r="Q719">
        <v>3</v>
      </c>
      <c r="R719">
        <v>1</v>
      </c>
      <c r="S719" t="s">
        <v>25</v>
      </c>
    </row>
    <row r="720" spans="1:19" x14ac:dyDescent="0.25">
      <c r="A720">
        <v>10719</v>
      </c>
      <c r="B720">
        <v>59</v>
      </c>
      <c r="C720" t="s">
        <v>19</v>
      </c>
      <c r="D720" t="s">
        <v>41</v>
      </c>
      <c r="E720" t="s">
        <v>27</v>
      </c>
      <c r="F720" t="s">
        <v>39</v>
      </c>
      <c r="G720" t="s">
        <v>30</v>
      </c>
      <c r="H720">
        <v>62612</v>
      </c>
      <c r="I720">
        <v>30412</v>
      </c>
      <c r="J720">
        <v>8</v>
      </c>
      <c r="K720">
        <v>8</v>
      </c>
      <c r="L720">
        <v>2</v>
      </c>
      <c r="M720" t="s">
        <v>25</v>
      </c>
      <c r="N720">
        <v>2</v>
      </c>
      <c r="O720">
        <v>4</v>
      </c>
      <c r="P720">
        <v>18</v>
      </c>
      <c r="Q720">
        <v>3</v>
      </c>
      <c r="R720">
        <v>2</v>
      </c>
      <c r="S720" t="s">
        <v>25</v>
      </c>
    </row>
    <row r="721" spans="1:19" x14ac:dyDescent="0.25">
      <c r="A721">
        <v>10720</v>
      </c>
      <c r="B721">
        <v>47</v>
      </c>
      <c r="C721" t="s">
        <v>19</v>
      </c>
      <c r="D721" t="s">
        <v>32</v>
      </c>
      <c r="E721" t="s">
        <v>40</v>
      </c>
      <c r="F721" t="s">
        <v>35</v>
      </c>
      <c r="G721" t="s">
        <v>38</v>
      </c>
      <c r="H721">
        <v>12025</v>
      </c>
      <c r="I721">
        <v>26015</v>
      </c>
      <c r="J721">
        <v>7</v>
      </c>
      <c r="K721">
        <v>14</v>
      </c>
      <c r="L721">
        <v>3</v>
      </c>
      <c r="M721" t="s">
        <v>24</v>
      </c>
      <c r="N721">
        <v>1</v>
      </c>
      <c r="O721">
        <v>18</v>
      </c>
      <c r="P721">
        <v>39</v>
      </c>
      <c r="Q721">
        <v>4</v>
      </c>
      <c r="R721">
        <v>3</v>
      </c>
      <c r="S721" t="s">
        <v>24</v>
      </c>
    </row>
    <row r="722" spans="1:19" x14ac:dyDescent="0.25">
      <c r="A722">
        <v>10721</v>
      </c>
      <c r="B722">
        <v>56</v>
      </c>
      <c r="C722" t="s">
        <v>19</v>
      </c>
      <c r="D722" t="s">
        <v>32</v>
      </c>
      <c r="E722" t="s">
        <v>29</v>
      </c>
      <c r="F722" t="s">
        <v>22</v>
      </c>
      <c r="G722" t="s">
        <v>30</v>
      </c>
      <c r="H722">
        <v>126385</v>
      </c>
      <c r="I722">
        <v>5362</v>
      </c>
      <c r="J722">
        <v>22</v>
      </c>
      <c r="K722">
        <v>10</v>
      </c>
      <c r="L722">
        <v>2</v>
      </c>
      <c r="M722" t="s">
        <v>25</v>
      </c>
      <c r="N722">
        <v>1</v>
      </c>
      <c r="O722">
        <v>35</v>
      </c>
      <c r="P722">
        <v>5</v>
      </c>
      <c r="Q722">
        <v>1</v>
      </c>
      <c r="R722">
        <v>1</v>
      </c>
      <c r="S722" t="s">
        <v>25</v>
      </c>
    </row>
    <row r="723" spans="1:19" x14ac:dyDescent="0.25">
      <c r="A723">
        <v>10722</v>
      </c>
      <c r="B723">
        <v>37</v>
      </c>
      <c r="C723" t="s">
        <v>19</v>
      </c>
      <c r="D723" t="s">
        <v>34</v>
      </c>
      <c r="E723" t="s">
        <v>33</v>
      </c>
      <c r="F723" t="s">
        <v>35</v>
      </c>
      <c r="G723" t="s">
        <v>38</v>
      </c>
      <c r="H723">
        <v>41007</v>
      </c>
      <c r="I723">
        <v>13065</v>
      </c>
      <c r="J723">
        <v>7</v>
      </c>
      <c r="K723">
        <v>11</v>
      </c>
      <c r="L723">
        <v>3</v>
      </c>
      <c r="M723" t="s">
        <v>25</v>
      </c>
      <c r="N723">
        <v>3</v>
      </c>
      <c r="O723">
        <v>1</v>
      </c>
      <c r="P723">
        <v>31</v>
      </c>
      <c r="Q723">
        <v>2</v>
      </c>
      <c r="R723">
        <v>4</v>
      </c>
      <c r="S723" t="s">
        <v>25</v>
      </c>
    </row>
    <row r="724" spans="1:19" x14ac:dyDescent="0.25">
      <c r="A724">
        <v>10723</v>
      </c>
      <c r="B724">
        <v>46</v>
      </c>
      <c r="C724" t="s">
        <v>19</v>
      </c>
      <c r="D724" t="s">
        <v>20</v>
      </c>
      <c r="E724" t="s">
        <v>21</v>
      </c>
      <c r="F724" t="s">
        <v>35</v>
      </c>
      <c r="G724" t="s">
        <v>38</v>
      </c>
      <c r="H724">
        <v>120399</v>
      </c>
      <c r="I724">
        <v>28750</v>
      </c>
      <c r="J724">
        <v>6</v>
      </c>
      <c r="K724">
        <v>14</v>
      </c>
      <c r="L724">
        <v>3</v>
      </c>
      <c r="M724" t="s">
        <v>24</v>
      </c>
      <c r="N724">
        <v>3</v>
      </c>
      <c r="O724">
        <v>4</v>
      </c>
      <c r="P724">
        <v>51</v>
      </c>
      <c r="Q724">
        <v>3</v>
      </c>
      <c r="R724">
        <v>2</v>
      </c>
      <c r="S724" t="s">
        <v>25</v>
      </c>
    </row>
    <row r="725" spans="1:19" x14ac:dyDescent="0.25">
      <c r="A725">
        <v>10724</v>
      </c>
      <c r="B725">
        <v>45</v>
      </c>
      <c r="C725" t="s">
        <v>19</v>
      </c>
      <c r="D725" t="s">
        <v>34</v>
      </c>
      <c r="E725" t="s">
        <v>40</v>
      </c>
      <c r="F725" t="s">
        <v>39</v>
      </c>
      <c r="G725" t="s">
        <v>30</v>
      </c>
      <c r="H725">
        <v>15568</v>
      </c>
      <c r="I725">
        <v>42889</v>
      </c>
      <c r="J725">
        <v>9</v>
      </c>
      <c r="K725">
        <v>4</v>
      </c>
      <c r="L725">
        <v>3</v>
      </c>
      <c r="M725" t="s">
        <v>25</v>
      </c>
      <c r="N725">
        <v>3</v>
      </c>
      <c r="O725">
        <v>35</v>
      </c>
      <c r="P725">
        <v>33</v>
      </c>
      <c r="Q725">
        <v>3</v>
      </c>
      <c r="R725">
        <v>3</v>
      </c>
      <c r="S725" t="s">
        <v>25</v>
      </c>
    </row>
    <row r="726" spans="1:19" x14ac:dyDescent="0.25">
      <c r="A726">
        <v>10725</v>
      </c>
      <c r="B726">
        <v>20</v>
      </c>
      <c r="C726" t="s">
        <v>31</v>
      </c>
      <c r="D726" t="s">
        <v>34</v>
      </c>
      <c r="E726" t="s">
        <v>33</v>
      </c>
      <c r="F726" t="s">
        <v>39</v>
      </c>
      <c r="G726" t="s">
        <v>38</v>
      </c>
      <c r="H726">
        <v>29885</v>
      </c>
      <c r="I726">
        <v>4861</v>
      </c>
      <c r="J726">
        <v>1</v>
      </c>
      <c r="K726">
        <v>2</v>
      </c>
      <c r="L726">
        <v>3</v>
      </c>
      <c r="M726" t="s">
        <v>25</v>
      </c>
      <c r="N726">
        <v>4</v>
      </c>
      <c r="O726">
        <v>22</v>
      </c>
      <c r="P726">
        <v>27</v>
      </c>
      <c r="Q726">
        <v>3</v>
      </c>
      <c r="R726">
        <v>2</v>
      </c>
      <c r="S726" t="s">
        <v>25</v>
      </c>
    </row>
    <row r="727" spans="1:19" x14ac:dyDescent="0.25">
      <c r="A727">
        <v>10726</v>
      </c>
      <c r="B727">
        <v>27</v>
      </c>
      <c r="C727" t="s">
        <v>19</v>
      </c>
      <c r="D727" t="s">
        <v>34</v>
      </c>
      <c r="E727" t="s">
        <v>33</v>
      </c>
      <c r="F727" t="s">
        <v>35</v>
      </c>
      <c r="G727" t="s">
        <v>38</v>
      </c>
      <c r="H727">
        <v>40480</v>
      </c>
      <c r="I727">
        <v>40078</v>
      </c>
      <c r="J727">
        <v>4</v>
      </c>
      <c r="K727">
        <v>9</v>
      </c>
      <c r="L727">
        <v>2</v>
      </c>
      <c r="M727" t="s">
        <v>25</v>
      </c>
      <c r="N727">
        <v>3</v>
      </c>
      <c r="O727">
        <v>20</v>
      </c>
      <c r="P727">
        <v>14</v>
      </c>
      <c r="Q727">
        <v>4</v>
      </c>
      <c r="R727">
        <v>1</v>
      </c>
      <c r="S727" t="s">
        <v>25</v>
      </c>
    </row>
    <row r="728" spans="1:19" x14ac:dyDescent="0.25">
      <c r="A728">
        <v>10727</v>
      </c>
      <c r="B728">
        <v>54</v>
      </c>
      <c r="C728" t="s">
        <v>31</v>
      </c>
      <c r="D728" t="s">
        <v>28</v>
      </c>
      <c r="E728" t="s">
        <v>40</v>
      </c>
      <c r="F728" t="s">
        <v>35</v>
      </c>
      <c r="G728" t="s">
        <v>30</v>
      </c>
      <c r="H728">
        <v>16042</v>
      </c>
      <c r="I728">
        <v>32852</v>
      </c>
      <c r="J728">
        <v>9</v>
      </c>
      <c r="K728">
        <v>0</v>
      </c>
      <c r="L728">
        <v>5</v>
      </c>
      <c r="M728" t="s">
        <v>25</v>
      </c>
      <c r="N728">
        <v>4</v>
      </c>
      <c r="O728">
        <v>33</v>
      </c>
      <c r="P728">
        <v>8</v>
      </c>
      <c r="Q728">
        <v>4</v>
      </c>
      <c r="R728">
        <v>3</v>
      </c>
      <c r="S728" t="s">
        <v>25</v>
      </c>
    </row>
    <row r="729" spans="1:19" x14ac:dyDescent="0.25">
      <c r="A729">
        <v>10728</v>
      </c>
      <c r="B729">
        <v>44</v>
      </c>
      <c r="C729" t="s">
        <v>19</v>
      </c>
      <c r="D729" t="s">
        <v>28</v>
      </c>
      <c r="E729" t="s">
        <v>33</v>
      </c>
      <c r="F729" t="s">
        <v>39</v>
      </c>
      <c r="G729" t="s">
        <v>30</v>
      </c>
      <c r="H729">
        <v>38548</v>
      </c>
      <c r="I729">
        <v>33086</v>
      </c>
      <c r="J729">
        <v>1</v>
      </c>
      <c r="K729">
        <v>3</v>
      </c>
      <c r="L729">
        <v>5</v>
      </c>
      <c r="M729" t="s">
        <v>24</v>
      </c>
      <c r="N729">
        <v>2</v>
      </c>
      <c r="O729">
        <v>5</v>
      </c>
      <c r="P729">
        <v>38</v>
      </c>
      <c r="Q729">
        <v>3</v>
      </c>
      <c r="R729">
        <v>4</v>
      </c>
      <c r="S729" t="s">
        <v>25</v>
      </c>
    </row>
    <row r="730" spans="1:19" x14ac:dyDescent="0.25">
      <c r="A730">
        <v>10729</v>
      </c>
      <c r="B730">
        <v>48</v>
      </c>
      <c r="C730" t="s">
        <v>19</v>
      </c>
      <c r="D730" t="s">
        <v>41</v>
      </c>
      <c r="E730" t="s">
        <v>27</v>
      </c>
      <c r="F730" t="s">
        <v>35</v>
      </c>
      <c r="G730" t="s">
        <v>38</v>
      </c>
      <c r="H730">
        <v>66903</v>
      </c>
      <c r="I730">
        <v>19542</v>
      </c>
      <c r="J730">
        <v>6</v>
      </c>
      <c r="K730">
        <v>8</v>
      </c>
      <c r="L730">
        <v>3</v>
      </c>
      <c r="M730" t="s">
        <v>25</v>
      </c>
      <c r="N730">
        <v>2</v>
      </c>
      <c r="O730">
        <v>20</v>
      </c>
      <c r="P730">
        <v>32</v>
      </c>
      <c r="Q730">
        <v>1</v>
      </c>
      <c r="R730">
        <v>2</v>
      </c>
      <c r="S730" t="s">
        <v>25</v>
      </c>
    </row>
    <row r="731" spans="1:19" x14ac:dyDescent="0.25">
      <c r="A731">
        <v>10730</v>
      </c>
      <c r="B731">
        <v>47</v>
      </c>
      <c r="C731" t="s">
        <v>31</v>
      </c>
      <c r="D731" t="s">
        <v>26</v>
      </c>
      <c r="E731" t="s">
        <v>33</v>
      </c>
      <c r="F731" t="s">
        <v>39</v>
      </c>
      <c r="G731" t="s">
        <v>38</v>
      </c>
      <c r="H731">
        <v>34304</v>
      </c>
      <c r="I731">
        <v>29654</v>
      </c>
      <c r="J731">
        <v>12</v>
      </c>
      <c r="K731">
        <v>6</v>
      </c>
      <c r="L731">
        <v>3</v>
      </c>
      <c r="M731" t="s">
        <v>25</v>
      </c>
      <c r="N731">
        <v>2</v>
      </c>
      <c r="O731">
        <v>3</v>
      </c>
      <c r="P731">
        <v>32</v>
      </c>
      <c r="Q731">
        <v>1</v>
      </c>
      <c r="R731">
        <v>4</v>
      </c>
      <c r="S731" t="s">
        <v>24</v>
      </c>
    </row>
    <row r="732" spans="1:19" x14ac:dyDescent="0.25">
      <c r="A732">
        <v>10731</v>
      </c>
      <c r="B732">
        <v>32</v>
      </c>
      <c r="C732" t="s">
        <v>19</v>
      </c>
      <c r="D732" t="s">
        <v>28</v>
      </c>
      <c r="E732" t="s">
        <v>33</v>
      </c>
      <c r="F732" t="s">
        <v>35</v>
      </c>
      <c r="G732" t="s">
        <v>30</v>
      </c>
      <c r="H732">
        <v>30702</v>
      </c>
      <c r="I732">
        <v>37083</v>
      </c>
      <c r="J732">
        <v>14</v>
      </c>
      <c r="K732">
        <v>13</v>
      </c>
      <c r="L732">
        <v>2</v>
      </c>
      <c r="M732" t="s">
        <v>25</v>
      </c>
      <c r="N732">
        <v>4</v>
      </c>
      <c r="O732">
        <v>34</v>
      </c>
      <c r="P732">
        <v>56</v>
      </c>
      <c r="Q732">
        <v>4</v>
      </c>
      <c r="R732">
        <v>2</v>
      </c>
      <c r="S732" t="s">
        <v>25</v>
      </c>
    </row>
    <row r="733" spans="1:19" x14ac:dyDescent="0.25">
      <c r="A733">
        <v>10732</v>
      </c>
      <c r="B733">
        <v>29</v>
      </c>
      <c r="C733" t="s">
        <v>31</v>
      </c>
      <c r="D733" t="s">
        <v>41</v>
      </c>
      <c r="E733" t="s">
        <v>27</v>
      </c>
      <c r="F733" t="s">
        <v>39</v>
      </c>
      <c r="G733" t="s">
        <v>23</v>
      </c>
      <c r="H733">
        <v>74008</v>
      </c>
      <c r="I733">
        <v>21810</v>
      </c>
      <c r="J733">
        <v>0</v>
      </c>
      <c r="K733">
        <v>1</v>
      </c>
      <c r="L733">
        <v>3</v>
      </c>
      <c r="M733" t="s">
        <v>25</v>
      </c>
      <c r="N733">
        <v>3</v>
      </c>
      <c r="O733">
        <v>15</v>
      </c>
      <c r="P733">
        <v>40</v>
      </c>
      <c r="Q733">
        <v>3</v>
      </c>
      <c r="R733">
        <v>4</v>
      </c>
      <c r="S733" t="s">
        <v>25</v>
      </c>
    </row>
    <row r="734" spans="1:19" x14ac:dyDescent="0.25">
      <c r="A734">
        <v>10733</v>
      </c>
      <c r="B734">
        <v>21</v>
      </c>
      <c r="C734" t="s">
        <v>31</v>
      </c>
      <c r="D734" t="s">
        <v>28</v>
      </c>
      <c r="E734" t="s">
        <v>21</v>
      </c>
      <c r="F734" t="s">
        <v>35</v>
      </c>
      <c r="G734" t="s">
        <v>38</v>
      </c>
      <c r="H734">
        <v>118410</v>
      </c>
      <c r="I734">
        <v>21404</v>
      </c>
      <c r="J734">
        <v>19</v>
      </c>
      <c r="K734">
        <v>13</v>
      </c>
      <c r="L734">
        <v>3</v>
      </c>
      <c r="M734" t="s">
        <v>25</v>
      </c>
      <c r="N734">
        <v>2</v>
      </c>
      <c r="O734">
        <v>37</v>
      </c>
      <c r="P734">
        <v>53</v>
      </c>
      <c r="Q734">
        <v>3</v>
      </c>
      <c r="R734">
        <v>3</v>
      </c>
      <c r="S734" t="s">
        <v>25</v>
      </c>
    </row>
    <row r="735" spans="1:19" x14ac:dyDescent="0.25">
      <c r="A735">
        <v>10734</v>
      </c>
      <c r="B735">
        <v>34</v>
      </c>
      <c r="C735" t="s">
        <v>19</v>
      </c>
      <c r="D735" t="s">
        <v>41</v>
      </c>
      <c r="E735" t="s">
        <v>21</v>
      </c>
      <c r="F735" t="s">
        <v>37</v>
      </c>
      <c r="G735" t="s">
        <v>38</v>
      </c>
      <c r="H735">
        <v>124169</v>
      </c>
      <c r="I735">
        <v>30473</v>
      </c>
      <c r="J735">
        <v>19</v>
      </c>
      <c r="K735">
        <v>5</v>
      </c>
      <c r="L735">
        <v>5</v>
      </c>
      <c r="M735" t="s">
        <v>24</v>
      </c>
      <c r="N735">
        <v>3</v>
      </c>
      <c r="O735">
        <v>4</v>
      </c>
      <c r="P735">
        <v>48</v>
      </c>
      <c r="Q735">
        <v>3</v>
      </c>
      <c r="R735">
        <v>3</v>
      </c>
      <c r="S735" t="s">
        <v>25</v>
      </c>
    </row>
    <row r="736" spans="1:19" x14ac:dyDescent="0.25">
      <c r="A736">
        <v>10735</v>
      </c>
      <c r="B736">
        <v>44</v>
      </c>
      <c r="C736" t="s">
        <v>31</v>
      </c>
      <c r="D736" t="s">
        <v>41</v>
      </c>
      <c r="E736" t="s">
        <v>21</v>
      </c>
      <c r="F736" t="s">
        <v>39</v>
      </c>
      <c r="G736" t="s">
        <v>23</v>
      </c>
      <c r="H736">
        <v>113563</v>
      </c>
      <c r="I736">
        <v>5381</v>
      </c>
      <c r="J736">
        <v>16</v>
      </c>
      <c r="K736">
        <v>6</v>
      </c>
      <c r="L736">
        <v>2</v>
      </c>
      <c r="M736" t="s">
        <v>25</v>
      </c>
      <c r="N736">
        <v>3</v>
      </c>
      <c r="O736">
        <v>14</v>
      </c>
      <c r="P736">
        <v>52</v>
      </c>
      <c r="Q736">
        <v>2</v>
      </c>
      <c r="R736">
        <v>3</v>
      </c>
      <c r="S736" t="s">
        <v>24</v>
      </c>
    </row>
    <row r="737" spans="1:19" x14ac:dyDescent="0.25">
      <c r="A737">
        <v>10736</v>
      </c>
      <c r="B737">
        <v>38</v>
      </c>
      <c r="C737" t="s">
        <v>31</v>
      </c>
      <c r="D737" t="s">
        <v>41</v>
      </c>
      <c r="E737" t="s">
        <v>21</v>
      </c>
      <c r="F737" t="s">
        <v>22</v>
      </c>
      <c r="G737" t="s">
        <v>38</v>
      </c>
      <c r="H737">
        <v>92670</v>
      </c>
      <c r="I737">
        <v>10757</v>
      </c>
      <c r="J737">
        <v>3</v>
      </c>
      <c r="K737">
        <v>10</v>
      </c>
      <c r="L737">
        <v>3</v>
      </c>
      <c r="M737" t="s">
        <v>24</v>
      </c>
      <c r="N737">
        <v>2</v>
      </c>
      <c r="O737">
        <v>15</v>
      </c>
      <c r="P737">
        <v>51</v>
      </c>
      <c r="Q737">
        <v>1</v>
      </c>
      <c r="R737">
        <v>3</v>
      </c>
      <c r="S737" t="s">
        <v>24</v>
      </c>
    </row>
    <row r="738" spans="1:19" x14ac:dyDescent="0.25">
      <c r="A738">
        <v>10737</v>
      </c>
      <c r="B738">
        <v>48</v>
      </c>
      <c r="C738" t="s">
        <v>19</v>
      </c>
      <c r="D738" t="s">
        <v>20</v>
      </c>
      <c r="E738" t="s">
        <v>33</v>
      </c>
      <c r="F738" t="s">
        <v>35</v>
      </c>
      <c r="G738" t="s">
        <v>30</v>
      </c>
      <c r="H738">
        <v>41002</v>
      </c>
      <c r="I738">
        <v>7693</v>
      </c>
      <c r="J738">
        <v>2</v>
      </c>
      <c r="K738">
        <v>11</v>
      </c>
      <c r="L738">
        <v>3</v>
      </c>
      <c r="M738" t="s">
        <v>24</v>
      </c>
      <c r="N738">
        <v>3</v>
      </c>
      <c r="O738">
        <v>5</v>
      </c>
      <c r="P738">
        <v>39</v>
      </c>
      <c r="Q738">
        <v>4</v>
      </c>
      <c r="R738">
        <v>3</v>
      </c>
      <c r="S738" t="s">
        <v>25</v>
      </c>
    </row>
    <row r="739" spans="1:19" x14ac:dyDescent="0.25">
      <c r="A739">
        <v>10738</v>
      </c>
      <c r="B739">
        <v>41</v>
      </c>
      <c r="C739" t="s">
        <v>19</v>
      </c>
      <c r="D739" t="s">
        <v>20</v>
      </c>
      <c r="E739" t="s">
        <v>21</v>
      </c>
      <c r="F739" t="s">
        <v>39</v>
      </c>
      <c r="G739" t="s">
        <v>38</v>
      </c>
      <c r="H739">
        <v>95543</v>
      </c>
      <c r="I739">
        <v>38003</v>
      </c>
      <c r="J739">
        <v>3</v>
      </c>
      <c r="K739">
        <v>10</v>
      </c>
      <c r="L739">
        <v>3</v>
      </c>
      <c r="M739" t="s">
        <v>24</v>
      </c>
      <c r="N739">
        <v>2</v>
      </c>
      <c r="O739">
        <v>16</v>
      </c>
      <c r="P739">
        <v>51</v>
      </c>
      <c r="Q739">
        <v>3</v>
      </c>
      <c r="R739">
        <v>4</v>
      </c>
      <c r="S739" t="s">
        <v>25</v>
      </c>
    </row>
    <row r="740" spans="1:19" x14ac:dyDescent="0.25">
      <c r="A740">
        <v>10739</v>
      </c>
      <c r="B740">
        <v>50</v>
      </c>
      <c r="C740" t="s">
        <v>31</v>
      </c>
      <c r="D740" t="s">
        <v>26</v>
      </c>
      <c r="E740" t="s">
        <v>33</v>
      </c>
      <c r="F740" t="s">
        <v>22</v>
      </c>
      <c r="G740" t="s">
        <v>38</v>
      </c>
      <c r="H740">
        <v>30316</v>
      </c>
      <c r="I740">
        <v>43397</v>
      </c>
      <c r="J740">
        <v>9</v>
      </c>
      <c r="K740">
        <v>4</v>
      </c>
      <c r="L740">
        <v>4</v>
      </c>
      <c r="M740" t="s">
        <v>25</v>
      </c>
      <c r="N740">
        <v>2</v>
      </c>
      <c r="O740">
        <v>39</v>
      </c>
      <c r="P740">
        <v>58</v>
      </c>
      <c r="Q740">
        <v>4</v>
      </c>
      <c r="R740">
        <v>1</v>
      </c>
      <c r="S740" t="s">
        <v>25</v>
      </c>
    </row>
    <row r="741" spans="1:19" x14ac:dyDescent="0.25">
      <c r="A741">
        <v>10740</v>
      </c>
      <c r="B741">
        <v>32</v>
      </c>
      <c r="C741" t="s">
        <v>19</v>
      </c>
      <c r="D741" t="s">
        <v>26</v>
      </c>
      <c r="E741" t="s">
        <v>36</v>
      </c>
      <c r="F741" t="s">
        <v>39</v>
      </c>
      <c r="G741" t="s">
        <v>38</v>
      </c>
      <c r="H741">
        <v>59430</v>
      </c>
      <c r="I741">
        <v>20320</v>
      </c>
      <c r="J741">
        <v>3</v>
      </c>
      <c r="K741">
        <v>11</v>
      </c>
      <c r="L741">
        <v>3</v>
      </c>
      <c r="M741" t="s">
        <v>25</v>
      </c>
      <c r="N741">
        <v>4</v>
      </c>
      <c r="O741">
        <v>11</v>
      </c>
      <c r="P741">
        <v>10</v>
      </c>
      <c r="Q741">
        <v>3</v>
      </c>
      <c r="R741">
        <v>2</v>
      </c>
      <c r="S741" t="s">
        <v>25</v>
      </c>
    </row>
    <row r="742" spans="1:19" x14ac:dyDescent="0.25">
      <c r="A742">
        <v>10741</v>
      </c>
      <c r="B742">
        <v>27</v>
      </c>
      <c r="C742" t="s">
        <v>19</v>
      </c>
      <c r="D742" t="s">
        <v>28</v>
      </c>
      <c r="E742" t="s">
        <v>36</v>
      </c>
      <c r="F742" t="s">
        <v>35</v>
      </c>
      <c r="G742" t="s">
        <v>38</v>
      </c>
      <c r="H742">
        <v>45848</v>
      </c>
      <c r="I742">
        <v>22253</v>
      </c>
      <c r="J742">
        <v>23</v>
      </c>
      <c r="K742">
        <v>9</v>
      </c>
      <c r="L742">
        <v>2</v>
      </c>
      <c r="M742" t="s">
        <v>25</v>
      </c>
      <c r="N742">
        <v>3</v>
      </c>
      <c r="O742">
        <v>10</v>
      </c>
      <c r="P742">
        <v>23</v>
      </c>
      <c r="Q742">
        <v>2</v>
      </c>
      <c r="R742">
        <v>3</v>
      </c>
      <c r="S742" t="s">
        <v>25</v>
      </c>
    </row>
    <row r="743" spans="1:19" x14ac:dyDescent="0.25">
      <c r="A743">
        <v>10742</v>
      </c>
      <c r="B743">
        <v>34</v>
      </c>
      <c r="C743" t="s">
        <v>19</v>
      </c>
      <c r="D743" t="s">
        <v>20</v>
      </c>
      <c r="E743" t="s">
        <v>21</v>
      </c>
      <c r="F743" t="s">
        <v>39</v>
      </c>
      <c r="G743" t="s">
        <v>30</v>
      </c>
      <c r="H743">
        <v>100832</v>
      </c>
      <c r="I743">
        <v>21307</v>
      </c>
      <c r="J743">
        <v>8</v>
      </c>
      <c r="K743">
        <v>13</v>
      </c>
      <c r="L743">
        <v>4</v>
      </c>
      <c r="M743" t="s">
        <v>25</v>
      </c>
      <c r="N743">
        <v>3</v>
      </c>
      <c r="O743">
        <v>17</v>
      </c>
      <c r="P743">
        <v>55</v>
      </c>
      <c r="Q743">
        <v>4</v>
      </c>
      <c r="R743">
        <v>1</v>
      </c>
      <c r="S743" t="s">
        <v>25</v>
      </c>
    </row>
    <row r="744" spans="1:19" x14ac:dyDescent="0.25">
      <c r="A744">
        <v>10743</v>
      </c>
      <c r="B744">
        <v>33</v>
      </c>
      <c r="C744" t="s">
        <v>31</v>
      </c>
      <c r="D744" t="s">
        <v>20</v>
      </c>
      <c r="E744" t="s">
        <v>27</v>
      </c>
      <c r="F744" t="s">
        <v>22</v>
      </c>
      <c r="G744" t="s">
        <v>38</v>
      </c>
      <c r="H744">
        <v>74319</v>
      </c>
      <c r="I744">
        <v>33368</v>
      </c>
      <c r="J744">
        <v>1</v>
      </c>
      <c r="K744">
        <v>1</v>
      </c>
      <c r="L744">
        <v>3</v>
      </c>
      <c r="M744" t="s">
        <v>25</v>
      </c>
      <c r="N744">
        <v>2</v>
      </c>
      <c r="O744">
        <v>29</v>
      </c>
      <c r="P744">
        <v>29</v>
      </c>
      <c r="Q744">
        <v>1</v>
      </c>
      <c r="R744">
        <v>1</v>
      </c>
      <c r="S744" t="s">
        <v>25</v>
      </c>
    </row>
    <row r="745" spans="1:19" x14ac:dyDescent="0.25">
      <c r="A745">
        <v>10744</v>
      </c>
      <c r="B745">
        <v>31</v>
      </c>
      <c r="C745" t="s">
        <v>31</v>
      </c>
      <c r="D745" t="s">
        <v>34</v>
      </c>
      <c r="E745" t="s">
        <v>36</v>
      </c>
      <c r="F745" t="s">
        <v>35</v>
      </c>
      <c r="G745" t="s">
        <v>30</v>
      </c>
      <c r="H745">
        <v>47596</v>
      </c>
      <c r="I745">
        <v>12134</v>
      </c>
      <c r="J745">
        <v>18</v>
      </c>
      <c r="K745">
        <v>3</v>
      </c>
      <c r="L745">
        <v>2</v>
      </c>
      <c r="M745" t="s">
        <v>25</v>
      </c>
      <c r="N745">
        <v>3</v>
      </c>
      <c r="O745">
        <v>35</v>
      </c>
      <c r="P745">
        <v>53</v>
      </c>
      <c r="Q745">
        <v>3</v>
      </c>
      <c r="R745">
        <v>4</v>
      </c>
      <c r="S745" t="s">
        <v>25</v>
      </c>
    </row>
    <row r="746" spans="1:19" x14ac:dyDescent="0.25">
      <c r="A746">
        <v>10745</v>
      </c>
      <c r="B746">
        <v>42</v>
      </c>
      <c r="C746" t="s">
        <v>31</v>
      </c>
      <c r="D746" t="s">
        <v>41</v>
      </c>
      <c r="E746" t="s">
        <v>36</v>
      </c>
      <c r="F746" t="s">
        <v>39</v>
      </c>
      <c r="G746" t="s">
        <v>38</v>
      </c>
      <c r="H746">
        <v>58955</v>
      </c>
      <c r="I746">
        <v>38626</v>
      </c>
      <c r="J746">
        <v>16</v>
      </c>
      <c r="K746">
        <v>11</v>
      </c>
      <c r="L746">
        <v>3</v>
      </c>
      <c r="M746" t="s">
        <v>25</v>
      </c>
      <c r="N746">
        <v>2</v>
      </c>
      <c r="O746">
        <v>33</v>
      </c>
      <c r="P746">
        <v>59</v>
      </c>
      <c r="Q746">
        <v>4</v>
      </c>
      <c r="R746">
        <v>1</v>
      </c>
      <c r="S746" t="s">
        <v>25</v>
      </c>
    </row>
    <row r="747" spans="1:19" x14ac:dyDescent="0.25">
      <c r="A747">
        <v>10746</v>
      </c>
      <c r="B747">
        <v>46</v>
      </c>
      <c r="C747" t="s">
        <v>31</v>
      </c>
      <c r="D747" t="s">
        <v>32</v>
      </c>
      <c r="E747" t="s">
        <v>33</v>
      </c>
      <c r="F747" t="s">
        <v>35</v>
      </c>
      <c r="G747" t="s">
        <v>38</v>
      </c>
      <c r="H747">
        <v>39281</v>
      </c>
      <c r="I747">
        <v>30981</v>
      </c>
      <c r="J747">
        <v>10</v>
      </c>
      <c r="K747">
        <v>1</v>
      </c>
      <c r="L747">
        <v>3</v>
      </c>
      <c r="M747" t="s">
        <v>25</v>
      </c>
      <c r="N747">
        <v>3</v>
      </c>
      <c r="O747">
        <v>18</v>
      </c>
      <c r="P747">
        <v>25</v>
      </c>
      <c r="Q747">
        <v>1</v>
      </c>
      <c r="R747">
        <v>4</v>
      </c>
      <c r="S747" t="s">
        <v>25</v>
      </c>
    </row>
    <row r="748" spans="1:19" x14ac:dyDescent="0.25">
      <c r="A748">
        <v>10747</v>
      </c>
      <c r="B748">
        <v>38</v>
      </c>
      <c r="C748" t="s">
        <v>31</v>
      </c>
      <c r="D748" t="s">
        <v>20</v>
      </c>
      <c r="E748" t="s">
        <v>27</v>
      </c>
      <c r="F748" t="s">
        <v>39</v>
      </c>
      <c r="G748" t="s">
        <v>38</v>
      </c>
      <c r="H748">
        <v>79390</v>
      </c>
      <c r="I748">
        <v>1971</v>
      </c>
      <c r="J748">
        <v>0</v>
      </c>
      <c r="K748">
        <v>7</v>
      </c>
      <c r="L748">
        <v>2</v>
      </c>
      <c r="M748" t="s">
        <v>24</v>
      </c>
      <c r="N748">
        <v>1</v>
      </c>
      <c r="O748">
        <v>39</v>
      </c>
      <c r="P748">
        <v>36</v>
      </c>
      <c r="Q748">
        <v>3</v>
      </c>
      <c r="R748">
        <v>3</v>
      </c>
      <c r="S748" t="s">
        <v>25</v>
      </c>
    </row>
    <row r="749" spans="1:19" x14ac:dyDescent="0.25">
      <c r="A749">
        <v>10748</v>
      </c>
      <c r="B749">
        <v>37</v>
      </c>
      <c r="C749" t="s">
        <v>19</v>
      </c>
      <c r="D749" t="s">
        <v>20</v>
      </c>
      <c r="E749" t="s">
        <v>27</v>
      </c>
      <c r="F749" t="s">
        <v>39</v>
      </c>
      <c r="G749" t="s">
        <v>38</v>
      </c>
      <c r="H749">
        <v>77096</v>
      </c>
      <c r="I749">
        <v>47382</v>
      </c>
      <c r="J749">
        <v>21</v>
      </c>
      <c r="K749">
        <v>10</v>
      </c>
      <c r="L749">
        <v>3</v>
      </c>
      <c r="M749" t="s">
        <v>24</v>
      </c>
      <c r="N749">
        <v>3</v>
      </c>
      <c r="O749">
        <v>16</v>
      </c>
      <c r="P749">
        <v>39</v>
      </c>
      <c r="Q749">
        <v>3</v>
      </c>
      <c r="R749">
        <v>2</v>
      </c>
      <c r="S749" t="s">
        <v>25</v>
      </c>
    </row>
    <row r="750" spans="1:19" x14ac:dyDescent="0.25">
      <c r="A750">
        <v>10749</v>
      </c>
      <c r="B750">
        <v>38</v>
      </c>
      <c r="C750" t="s">
        <v>19</v>
      </c>
      <c r="D750" t="s">
        <v>20</v>
      </c>
      <c r="E750" t="s">
        <v>40</v>
      </c>
      <c r="F750" t="s">
        <v>37</v>
      </c>
      <c r="G750" t="s">
        <v>38</v>
      </c>
      <c r="H750">
        <v>16441</v>
      </c>
      <c r="I750">
        <v>42500</v>
      </c>
      <c r="J750">
        <v>19</v>
      </c>
      <c r="K750">
        <v>4</v>
      </c>
      <c r="L750">
        <v>4</v>
      </c>
      <c r="M750" t="s">
        <v>25</v>
      </c>
      <c r="N750">
        <v>1</v>
      </c>
      <c r="O750">
        <v>9</v>
      </c>
      <c r="P750">
        <v>53</v>
      </c>
      <c r="Q750">
        <v>1</v>
      </c>
      <c r="R750">
        <v>3</v>
      </c>
      <c r="S750" t="s">
        <v>24</v>
      </c>
    </row>
    <row r="751" spans="1:19" x14ac:dyDescent="0.25">
      <c r="A751">
        <v>10750</v>
      </c>
      <c r="B751">
        <v>49</v>
      </c>
      <c r="C751" t="s">
        <v>31</v>
      </c>
      <c r="D751" t="s">
        <v>41</v>
      </c>
      <c r="E751" t="s">
        <v>21</v>
      </c>
      <c r="F751" t="s">
        <v>39</v>
      </c>
      <c r="G751" t="s">
        <v>30</v>
      </c>
      <c r="H751">
        <v>102219</v>
      </c>
      <c r="I751">
        <v>27280</v>
      </c>
      <c r="J751">
        <v>3</v>
      </c>
      <c r="K751">
        <v>13</v>
      </c>
      <c r="L751">
        <v>4</v>
      </c>
      <c r="M751" t="s">
        <v>25</v>
      </c>
      <c r="N751">
        <v>3</v>
      </c>
      <c r="O751">
        <v>32</v>
      </c>
      <c r="P751">
        <v>51</v>
      </c>
      <c r="Q751">
        <v>3</v>
      </c>
      <c r="R751">
        <v>1</v>
      </c>
      <c r="S751" t="s">
        <v>25</v>
      </c>
    </row>
    <row r="752" spans="1:19" x14ac:dyDescent="0.25">
      <c r="A752">
        <v>10751</v>
      </c>
      <c r="B752">
        <v>43</v>
      </c>
      <c r="C752" t="s">
        <v>31</v>
      </c>
      <c r="D752" t="s">
        <v>41</v>
      </c>
      <c r="E752" t="s">
        <v>27</v>
      </c>
      <c r="F752" t="s">
        <v>35</v>
      </c>
      <c r="G752" t="s">
        <v>30</v>
      </c>
      <c r="H752">
        <v>71687</v>
      </c>
      <c r="I752">
        <v>5906</v>
      </c>
      <c r="J752">
        <v>23</v>
      </c>
      <c r="K752">
        <v>3</v>
      </c>
      <c r="L752">
        <v>4</v>
      </c>
      <c r="M752" t="s">
        <v>25</v>
      </c>
      <c r="N752">
        <v>3</v>
      </c>
      <c r="O752">
        <v>8</v>
      </c>
      <c r="P752">
        <v>59</v>
      </c>
      <c r="Q752">
        <v>3</v>
      </c>
      <c r="R752">
        <v>3</v>
      </c>
      <c r="S752" t="s">
        <v>25</v>
      </c>
    </row>
    <row r="753" spans="1:19" x14ac:dyDescent="0.25">
      <c r="A753">
        <v>10752</v>
      </c>
      <c r="B753">
        <v>46</v>
      </c>
      <c r="C753" t="s">
        <v>19</v>
      </c>
      <c r="D753" t="s">
        <v>41</v>
      </c>
      <c r="E753" t="s">
        <v>27</v>
      </c>
      <c r="F753" t="s">
        <v>39</v>
      </c>
      <c r="G753" t="s">
        <v>30</v>
      </c>
      <c r="H753">
        <v>79567</v>
      </c>
      <c r="I753">
        <v>164</v>
      </c>
      <c r="J753">
        <v>14</v>
      </c>
      <c r="K753">
        <v>9</v>
      </c>
      <c r="L753">
        <v>3</v>
      </c>
      <c r="M753" t="s">
        <v>25</v>
      </c>
      <c r="N753">
        <v>4</v>
      </c>
      <c r="O753">
        <v>23</v>
      </c>
      <c r="P753">
        <v>34</v>
      </c>
      <c r="Q753">
        <v>3</v>
      </c>
      <c r="R753">
        <v>4</v>
      </c>
      <c r="S753" t="s">
        <v>25</v>
      </c>
    </row>
    <row r="754" spans="1:19" x14ac:dyDescent="0.25">
      <c r="A754">
        <v>10753</v>
      </c>
      <c r="B754">
        <v>37</v>
      </c>
      <c r="C754" t="s">
        <v>19</v>
      </c>
      <c r="D754" t="s">
        <v>34</v>
      </c>
      <c r="E754" t="s">
        <v>36</v>
      </c>
      <c r="F754" t="s">
        <v>39</v>
      </c>
      <c r="G754" t="s">
        <v>38</v>
      </c>
      <c r="H754">
        <v>65998</v>
      </c>
      <c r="I754">
        <v>47177</v>
      </c>
      <c r="J754">
        <v>16</v>
      </c>
      <c r="K754">
        <v>5</v>
      </c>
      <c r="L754">
        <v>3</v>
      </c>
      <c r="M754" t="s">
        <v>25</v>
      </c>
      <c r="N754">
        <v>1</v>
      </c>
      <c r="O754">
        <v>20</v>
      </c>
      <c r="P754">
        <v>19</v>
      </c>
      <c r="Q754">
        <v>2</v>
      </c>
      <c r="R754">
        <v>4</v>
      </c>
      <c r="S754" t="s">
        <v>24</v>
      </c>
    </row>
    <row r="755" spans="1:19" x14ac:dyDescent="0.25">
      <c r="A755">
        <v>10754</v>
      </c>
      <c r="B755">
        <v>34</v>
      </c>
      <c r="C755" t="s">
        <v>31</v>
      </c>
      <c r="D755" t="s">
        <v>20</v>
      </c>
      <c r="E755" t="s">
        <v>33</v>
      </c>
      <c r="F755" t="s">
        <v>35</v>
      </c>
      <c r="G755" t="s">
        <v>38</v>
      </c>
      <c r="H755">
        <v>40647</v>
      </c>
      <c r="I755">
        <v>35085</v>
      </c>
      <c r="J755">
        <v>10</v>
      </c>
      <c r="K755">
        <v>5</v>
      </c>
      <c r="L755">
        <v>3</v>
      </c>
      <c r="M755" t="s">
        <v>25</v>
      </c>
      <c r="N755">
        <v>4</v>
      </c>
      <c r="O755">
        <v>2</v>
      </c>
      <c r="P755">
        <v>36</v>
      </c>
      <c r="Q755">
        <v>4</v>
      </c>
      <c r="R755">
        <v>4</v>
      </c>
      <c r="S755" t="s">
        <v>25</v>
      </c>
    </row>
    <row r="756" spans="1:19" x14ac:dyDescent="0.25">
      <c r="A756">
        <v>10755</v>
      </c>
      <c r="B756">
        <v>39</v>
      </c>
      <c r="C756" t="s">
        <v>31</v>
      </c>
      <c r="D756" t="s">
        <v>34</v>
      </c>
      <c r="E756" t="s">
        <v>40</v>
      </c>
      <c r="F756" t="s">
        <v>39</v>
      </c>
      <c r="G756" t="s">
        <v>30</v>
      </c>
      <c r="H756">
        <v>19108</v>
      </c>
      <c r="I756">
        <v>20455</v>
      </c>
      <c r="J756">
        <v>11</v>
      </c>
      <c r="K756">
        <v>8</v>
      </c>
      <c r="L756">
        <v>3</v>
      </c>
      <c r="M756" t="s">
        <v>24</v>
      </c>
      <c r="N756">
        <v>3</v>
      </c>
      <c r="O756">
        <v>17</v>
      </c>
      <c r="P756">
        <v>38</v>
      </c>
      <c r="Q756">
        <v>2</v>
      </c>
      <c r="R756">
        <v>4</v>
      </c>
      <c r="S756" t="s">
        <v>24</v>
      </c>
    </row>
    <row r="757" spans="1:19" x14ac:dyDescent="0.25">
      <c r="A757">
        <v>10756</v>
      </c>
      <c r="B757">
        <v>52</v>
      </c>
      <c r="C757" t="s">
        <v>19</v>
      </c>
      <c r="D757" t="s">
        <v>32</v>
      </c>
      <c r="E757" t="s">
        <v>33</v>
      </c>
      <c r="F757" t="s">
        <v>37</v>
      </c>
      <c r="G757" t="s">
        <v>38</v>
      </c>
      <c r="H757">
        <v>27568</v>
      </c>
      <c r="I757">
        <v>34593</v>
      </c>
      <c r="J757">
        <v>20</v>
      </c>
      <c r="K757">
        <v>7</v>
      </c>
      <c r="L757">
        <v>2</v>
      </c>
      <c r="M757" t="s">
        <v>24</v>
      </c>
      <c r="N757">
        <v>2</v>
      </c>
      <c r="O757">
        <v>17</v>
      </c>
      <c r="P757">
        <v>25</v>
      </c>
      <c r="Q757">
        <v>1</v>
      </c>
      <c r="R757">
        <v>2</v>
      </c>
      <c r="S757" t="s">
        <v>24</v>
      </c>
    </row>
    <row r="758" spans="1:19" x14ac:dyDescent="0.25">
      <c r="A758">
        <v>10757</v>
      </c>
      <c r="B758">
        <v>56</v>
      </c>
      <c r="C758" t="s">
        <v>31</v>
      </c>
      <c r="D758" t="s">
        <v>20</v>
      </c>
      <c r="E758" t="s">
        <v>36</v>
      </c>
      <c r="F758" t="s">
        <v>39</v>
      </c>
      <c r="G758" t="s">
        <v>38</v>
      </c>
      <c r="H758">
        <v>68063</v>
      </c>
      <c r="I758">
        <v>42278</v>
      </c>
      <c r="J758">
        <v>18</v>
      </c>
      <c r="K758">
        <v>2</v>
      </c>
      <c r="L758">
        <v>5</v>
      </c>
      <c r="M758" t="s">
        <v>25</v>
      </c>
      <c r="N758">
        <v>2</v>
      </c>
      <c r="O758">
        <v>30</v>
      </c>
      <c r="P758">
        <v>50</v>
      </c>
      <c r="Q758">
        <v>3</v>
      </c>
      <c r="R758">
        <v>4</v>
      </c>
      <c r="S758" t="s">
        <v>25</v>
      </c>
    </row>
    <row r="759" spans="1:19" x14ac:dyDescent="0.25">
      <c r="A759">
        <v>10758</v>
      </c>
      <c r="B759">
        <v>56</v>
      </c>
      <c r="C759" t="s">
        <v>19</v>
      </c>
      <c r="D759" t="s">
        <v>41</v>
      </c>
      <c r="E759" t="s">
        <v>21</v>
      </c>
      <c r="F759" t="s">
        <v>37</v>
      </c>
      <c r="G759" t="s">
        <v>38</v>
      </c>
      <c r="H759">
        <v>101371</v>
      </c>
      <c r="I759">
        <v>43809</v>
      </c>
      <c r="J759">
        <v>5</v>
      </c>
      <c r="K759">
        <v>6</v>
      </c>
      <c r="L759">
        <v>3</v>
      </c>
      <c r="M759" t="s">
        <v>24</v>
      </c>
      <c r="N759">
        <v>2</v>
      </c>
      <c r="O759">
        <v>13</v>
      </c>
      <c r="P759">
        <v>46</v>
      </c>
      <c r="Q759">
        <v>2</v>
      </c>
      <c r="R759">
        <v>3</v>
      </c>
      <c r="S759" t="s">
        <v>25</v>
      </c>
    </row>
    <row r="760" spans="1:19" x14ac:dyDescent="0.25">
      <c r="A760">
        <v>10759</v>
      </c>
      <c r="B760">
        <v>43</v>
      </c>
      <c r="C760" t="s">
        <v>31</v>
      </c>
      <c r="D760" t="s">
        <v>20</v>
      </c>
      <c r="E760" t="s">
        <v>36</v>
      </c>
      <c r="F760" t="s">
        <v>22</v>
      </c>
      <c r="G760" t="s">
        <v>38</v>
      </c>
      <c r="H760">
        <v>51360</v>
      </c>
      <c r="I760">
        <v>49007</v>
      </c>
      <c r="J760">
        <v>4</v>
      </c>
      <c r="K760">
        <v>3</v>
      </c>
      <c r="L760">
        <v>3</v>
      </c>
      <c r="M760" t="s">
        <v>25</v>
      </c>
      <c r="N760">
        <v>4</v>
      </c>
      <c r="O760">
        <v>26</v>
      </c>
      <c r="P760">
        <v>26</v>
      </c>
      <c r="Q760">
        <v>3</v>
      </c>
      <c r="R760">
        <v>2</v>
      </c>
      <c r="S760" t="s">
        <v>25</v>
      </c>
    </row>
    <row r="761" spans="1:19" x14ac:dyDescent="0.25">
      <c r="A761">
        <v>10760</v>
      </c>
      <c r="B761">
        <v>32</v>
      </c>
      <c r="C761" t="s">
        <v>19</v>
      </c>
      <c r="D761" t="s">
        <v>20</v>
      </c>
      <c r="E761" t="s">
        <v>27</v>
      </c>
      <c r="F761" t="s">
        <v>39</v>
      </c>
      <c r="G761" t="s">
        <v>38</v>
      </c>
      <c r="H761">
        <v>75720</v>
      </c>
      <c r="I761">
        <v>6613</v>
      </c>
      <c r="J761">
        <v>17</v>
      </c>
      <c r="K761">
        <v>12</v>
      </c>
      <c r="L761">
        <v>1</v>
      </c>
      <c r="M761" t="s">
        <v>24</v>
      </c>
      <c r="N761">
        <v>4</v>
      </c>
      <c r="O761">
        <v>3</v>
      </c>
      <c r="P761">
        <v>8</v>
      </c>
      <c r="Q761">
        <v>3</v>
      </c>
      <c r="R761">
        <v>2</v>
      </c>
      <c r="S761" t="s">
        <v>25</v>
      </c>
    </row>
    <row r="762" spans="1:19" x14ac:dyDescent="0.25">
      <c r="A762">
        <v>10761</v>
      </c>
      <c r="B762">
        <v>23</v>
      </c>
      <c r="C762" t="s">
        <v>31</v>
      </c>
      <c r="D762" t="s">
        <v>20</v>
      </c>
      <c r="E762" t="s">
        <v>33</v>
      </c>
      <c r="F762" t="s">
        <v>35</v>
      </c>
      <c r="G762" t="s">
        <v>30</v>
      </c>
      <c r="H762">
        <v>25666</v>
      </c>
      <c r="I762">
        <v>31147</v>
      </c>
      <c r="J762">
        <v>11</v>
      </c>
      <c r="K762">
        <v>7</v>
      </c>
      <c r="L762">
        <v>3</v>
      </c>
      <c r="M762" t="s">
        <v>25</v>
      </c>
      <c r="N762">
        <v>1</v>
      </c>
      <c r="O762">
        <v>2</v>
      </c>
      <c r="P762">
        <v>35</v>
      </c>
      <c r="Q762">
        <v>1</v>
      </c>
      <c r="R762">
        <v>2</v>
      </c>
      <c r="S762" t="s">
        <v>24</v>
      </c>
    </row>
    <row r="763" spans="1:19" x14ac:dyDescent="0.25">
      <c r="A763">
        <v>10762</v>
      </c>
      <c r="B763">
        <v>47</v>
      </c>
      <c r="C763" t="s">
        <v>19</v>
      </c>
      <c r="D763" t="s">
        <v>41</v>
      </c>
      <c r="E763" t="s">
        <v>21</v>
      </c>
      <c r="F763" t="s">
        <v>22</v>
      </c>
      <c r="G763" t="s">
        <v>38</v>
      </c>
      <c r="H763">
        <v>111148</v>
      </c>
      <c r="I763">
        <v>30995</v>
      </c>
      <c r="J763">
        <v>7</v>
      </c>
      <c r="K763">
        <v>5</v>
      </c>
      <c r="L763">
        <v>3</v>
      </c>
      <c r="M763" t="s">
        <v>25</v>
      </c>
      <c r="N763">
        <v>2</v>
      </c>
      <c r="O763">
        <v>5</v>
      </c>
      <c r="P763">
        <v>13</v>
      </c>
      <c r="Q763">
        <v>4</v>
      </c>
      <c r="R763">
        <v>3</v>
      </c>
      <c r="S763" t="s">
        <v>25</v>
      </c>
    </row>
    <row r="764" spans="1:19" x14ac:dyDescent="0.25">
      <c r="A764">
        <v>10763</v>
      </c>
      <c r="B764">
        <v>26</v>
      </c>
      <c r="C764" t="s">
        <v>19</v>
      </c>
      <c r="D764" t="s">
        <v>26</v>
      </c>
      <c r="E764" t="s">
        <v>33</v>
      </c>
      <c r="F764" t="s">
        <v>22</v>
      </c>
      <c r="G764" t="s">
        <v>30</v>
      </c>
      <c r="H764">
        <v>39860</v>
      </c>
      <c r="I764">
        <v>10161</v>
      </c>
      <c r="J764">
        <v>21</v>
      </c>
      <c r="K764">
        <v>8</v>
      </c>
      <c r="L764">
        <v>3</v>
      </c>
      <c r="M764" t="s">
        <v>25</v>
      </c>
      <c r="N764">
        <v>3</v>
      </c>
      <c r="O764">
        <v>1</v>
      </c>
      <c r="P764">
        <v>19</v>
      </c>
      <c r="Q764">
        <v>3</v>
      </c>
      <c r="R764">
        <v>1</v>
      </c>
      <c r="S764" t="s">
        <v>25</v>
      </c>
    </row>
    <row r="765" spans="1:19" x14ac:dyDescent="0.25">
      <c r="A765">
        <v>10764</v>
      </c>
      <c r="B765">
        <v>20</v>
      </c>
      <c r="C765" t="s">
        <v>19</v>
      </c>
      <c r="D765" t="s">
        <v>20</v>
      </c>
      <c r="E765" t="s">
        <v>21</v>
      </c>
      <c r="F765" t="s">
        <v>39</v>
      </c>
      <c r="G765" t="s">
        <v>30</v>
      </c>
      <c r="H765">
        <v>91010</v>
      </c>
      <c r="I765">
        <v>3857</v>
      </c>
      <c r="J765">
        <v>15</v>
      </c>
      <c r="K765">
        <v>8</v>
      </c>
      <c r="L765">
        <v>3</v>
      </c>
      <c r="M765" t="s">
        <v>24</v>
      </c>
      <c r="N765">
        <v>2</v>
      </c>
      <c r="O765">
        <v>2</v>
      </c>
      <c r="P765">
        <v>18</v>
      </c>
      <c r="Q765">
        <v>2</v>
      </c>
      <c r="R765">
        <v>2</v>
      </c>
      <c r="S765" t="s">
        <v>25</v>
      </c>
    </row>
    <row r="766" spans="1:19" x14ac:dyDescent="0.25">
      <c r="A766">
        <v>10765</v>
      </c>
      <c r="B766">
        <v>21</v>
      </c>
      <c r="C766" t="s">
        <v>31</v>
      </c>
      <c r="D766" t="s">
        <v>41</v>
      </c>
      <c r="E766" t="s">
        <v>21</v>
      </c>
      <c r="F766" t="s">
        <v>39</v>
      </c>
      <c r="G766" t="s">
        <v>38</v>
      </c>
      <c r="H766">
        <v>118805</v>
      </c>
      <c r="I766">
        <v>16066</v>
      </c>
      <c r="J766">
        <v>17</v>
      </c>
      <c r="K766">
        <v>14</v>
      </c>
      <c r="L766">
        <v>5</v>
      </c>
      <c r="M766" t="s">
        <v>24</v>
      </c>
      <c r="N766">
        <v>4</v>
      </c>
      <c r="O766">
        <v>37</v>
      </c>
      <c r="P766">
        <v>31</v>
      </c>
      <c r="Q766">
        <v>1</v>
      </c>
      <c r="R766">
        <v>1</v>
      </c>
      <c r="S766" t="s">
        <v>25</v>
      </c>
    </row>
    <row r="767" spans="1:19" x14ac:dyDescent="0.25">
      <c r="A767">
        <v>10766</v>
      </c>
      <c r="B767">
        <v>58</v>
      </c>
      <c r="C767" t="s">
        <v>31</v>
      </c>
      <c r="D767" t="s">
        <v>20</v>
      </c>
      <c r="E767" t="s">
        <v>27</v>
      </c>
      <c r="F767" t="s">
        <v>35</v>
      </c>
      <c r="G767" t="s">
        <v>30</v>
      </c>
      <c r="H767">
        <v>82150</v>
      </c>
      <c r="I767">
        <v>3970</v>
      </c>
      <c r="J767">
        <v>13</v>
      </c>
      <c r="K767">
        <v>10</v>
      </c>
      <c r="L767">
        <v>3</v>
      </c>
      <c r="M767" t="s">
        <v>25</v>
      </c>
      <c r="N767">
        <v>4</v>
      </c>
      <c r="O767">
        <v>18</v>
      </c>
      <c r="P767">
        <v>7</v>
      </c>
      <c r="Q767">
        <v>3</v>
      </c>
      <c r="R767">
        <v>3</v>
      </c>
      <c r="S767" t="s">
        <v>25</v>
      </c>
    </row>
    <row r="768" spans="1:19" x14ac:dyDescent="0.25">
      <c r="A768">
        <v>10767</v>
      </c>
      <c r="B768">
        <v>46</v>
      </c>
      <c r="C768" t="s">
        <v>19</v>
      </c>
      <c r="D768" t="s">
        <v>34</v>
      </c>
      <c r="E768" t="s">
        <v>36</v>
      </c>
      <c r="F768" t="s">
        <v>39</v>
      </c>
      <c r="G768" t="s">
        <v>23</v>
      </c>
      <c r="H768">
        <v>67880</v>
      </c>
      <c r="I768">
        <v>41412</v>
      </c>
      <c r="J768">
        <v>2</v>
      </c>
      <c r="K768">
        <v>1</v>
      </c>
      <c r="L768">
        <v>2</v>
      </c>
      <c r="M768" t="s">
        <v>24</v>
      </c>
      <c r="N768">
        <v>1</v>
      </c>
      <c r="O768">
        <v>12</v>
      </c>
      <c r="P768">
        <v>7</v>
      </c>
      <c r="Q768">
        <v>2</v>
      </c>
      <c r="R768">
        <v>4</v>
      </c>
      <c r="S768" t="s">
        <v>25</v>
      </c>
    </row>
    <row r="769" spans="1:19" x14ac:dyDescent="0.25">
      <c r="A769">
        <v>10768</v>
      </c>
      <c r="B769">
        <v>28</v>
      </c>
      <c r="C769" t="s">
        <v>31</v>
      </c>
      <c r="D769" t="s">
        <v>34</v>
      </c>
      <c r="E769" t="s">
        <v>36</v>
      </c>
      <c r="F769" t="s">
        <v>39</v>
      </c>
      <c r="G769" t="s">
        <v>30</v>
      </c>
      <c r="H769">
        <v>53818</v>
      </c>
      <c r="I769">
        <v>42583</v>
      </c>
      <c r="J769">
        <v>17</v>
      </c>
      <c r="K769">
        <v>7</v>
      </c>
      <c r="L769">
        <v>1</v>
      </c>
      <c r="M769" t="s">
        <v>25</v>
      </c>
      <c r="N769">
        <v>3</v>
      </c>
      <c r="O769">
        <v>7</v>
      </c>
      <c r="P769">
        <v>21</v>
      </c>
      <c r="Q769">
        <v>2</v>
      </c>
      <c r="R769">
        <v>1</v>
      </c>
      <c r="S769" t="s">
        <v>25</v>
      </c>
    </row>
    <row r="770" spans="1:19" x14ac:dyDescent="0.25">
      <c r="A770">
        <v>10769</v>
      </c>
      <c r="B770">
        <v>28</v>
      </c>
      <c r="C770" t="s">
        <v>19</v>
      </c>
      <c r="D770" t="s">
        <v>20</v>
      </c>
      <c r="E770" t="s">
        <v>33</v>
      </c>
      <c r="F770" t="s">
        <v>39</v>
      </c>
      <c r="G770" t="s">
        <v>30</v>
      </c>
      <c r="H770">
        <v>29244</v>
      </c>
      <c r="I770">
        <v>10473</v>
      </c>
      <c r="J770">
        <v>22</v>
      </c>
      <c r="K770">
        <v>2</v>
      </c>
      <c r="L770">
        <v>3</v>
      </c>
      <c r="M770" t="s">
        <v>24</v>
      </c>
      <c r="N770">
        <v>2</v>
      </c>
      <c r="O770">
        <v>10</v>
      </c>
      <c r="P770">
        <v>21</v>
      </c>
      <c r="Q770">
        <v>3</v>
      </c>
      <c r="R770">
        <v>3</v>
      </c>
      <c r="S770" t="s">
        <v>25</v>
      </c>
    </row>
    <row r="771" spans="1:19" x14ac:dyDescent="0.25">
      <c r="A771">
        <v>10770</v>
      </c>
      <c r="B771">
        <v>53</v>
      </c>
      <c r="C771" t="s">
        <v>19</v>
      </c>
      <c r="D771" t="s">
        <v>41</v>
      </c>
      <c r="E771" t="s">
        <v>33</v>
      </c>
      <c r="F771" t="s">
        <v>35</v>
      </c>
      <c r="G771" t="s">
        <v>38</v>
      </c>
      <c r="H771">
        <v>33129</v>
      </c>
      <c r="I771">
        <v>37204</v>
      </c>
      <c r="J771">
        <v>9</v>
      </c>
      <c r="K771">
        <v>0</v>
      </c>
      <c r="L771">
        <v>5</v>
      </c>
      <c r="M771" t="s">
        <v>25</v>
      </c>
      <c r="N771">
        <v>4</v>
      </c>
      <c r="O771">
        <v>30</v>
      </c>
      <c r="P771">
        <v>11</v>
      </c>
      <c r="Q771">
        <v>3</v>
      </c>
      <c r="R771">
        <v>4</v>
      </c>
      <c r="S771" t="s">
        <v>25</v>
      </c>
    </row>
    <row r="772" spans="1:19" x14ac:dyDescent="0.25">
      <c r="A772">
        <v>10771</v>
      </c>
      <c r="B772">
        <v>30</v>
      </c>
      <c r="C772" t="s">
        <v>19</v>
      </c>
      <c r="D772" t="s">
        <v>20</v>
      </c>
      <c r="E772" t="s">
        <v>27</v>
      </c>
      <c r="F772" t="s">
        <v>39</v>
      </c>
      <c r="G772" t="s">
        <v>30</v>
      </c>
      <c r="H772">
        <v>65933</v>
      </c>
      <c r="I772">
        <v>11154</v>
      </c>
      <c r="J772">
        <v>6</v>
      </c>
      <c r="K772">
        <v>7</v>
      </c>
      <c r="L772">
        <v>3</v>
      </c>
      <c r="M772" t="s">
        <v>24</v>
      </c>
      <c r="N772">
        <v>3</v>
      </c>
      <c r="O772">
        <v>19</v>
      </c>
      <c r="P772">
        <v>57</v>
      </c>
      <c r="Q772">
        <v>4</v>
      </c>
      <c r="R772">
        <v>2</v>
      </c>
      <c r="S772" t="s">
        <v>25</v>
      </c>
    </row>
    <row r="773" spans="1:19" x14ac:dyDescent="0.25">
      <c r="A773">
        <v>10772</v>
      </c>
      <c r="B773">
        <v>47</v>
      </c>
      <c r="C773" t="s">
        <v>19</v>
      </c>
      <c r="D773" t="s">
        <v>34</v>
      </c>
      <c r="E773" t="s">
        <v>33</v>
      </c>
      <c r="F773" t="s">
        <v>39</v>
      </c>
      <c r="G773" t="s">
        <v>38</v>
      </c>
      <c r="H773">
        <v>42632</v>
      </c>
      <c r="I773">
        <v>11330</v>
      </c>
      <c r="J773">
        <v>8</v>
      </c>
      <c r="K773">
        <v>4</v>
      </c>
      <c r="L773">
        <v>3</v>
      </c>
      <c r="M773" t="s">
        <v>25</v>
      </c>
      <c r="N773">
        <v>4</v>
      </c>
      <c r="O773">
        <v>21</v>
      </c>
      <c r="P773">
        <v>5</v>
      </c>
      <c r="Q773">
        <v>2</v>
      </c>
      <c r="R773">
        <v>3</v>
      </c>
      <c r="S773" t="s">
        <v>25</v>
      </c>
    </row>
    <row r="774" spans="1:19" x14ac:dyDescent="0.25">
      <c r="A774">
        <v>10773</v>
      </c>
      <c r="B774">
        <v>40</v>
      </c>
      <c r="C774" t="s">
        <v>31</v>
      </c>
      <c r="D774" t="s">
        <v>20</v>
      </c>
      <c r="E774" t="s">
        <v>27</v>
      </c>
      <c r="F774" t="s">
        <v>35</v>
      </c>
      <c r="G774" t="s">
        <v>38</v>
      </c>
      <c r="H774">
        <v>85157</v>
      </c>
      <c r="I774">
        <v>25333</v>
      </c>
      <c r="J774">
        <v>7</v>
      </c>
      <c r="K774">
        <v>8</v>
      </c>
      <c r="L774">
        <v>3</v>
      </c>
      <c r="M774" t="s">
        <v>25</v>
      </c>
      <c r="N774">
        <v>4</v>
      </c>
      <c r="O774">
        <v>22</v>
      </c>
      <c r="P774">
        <v>54</v>
      </c>
      <c r="Q774">
        <v>3</v>
      </c>
      <c r="R774">
        <v>3</v>
      </c>
      <c r="S774" t="s">
        <v>25</v>
      </c>
    </row>
    <row r="775" spans="1:19" x14ac:dyDescent="0.25">
      <c r="A775">
        <v>10774</v>
      </c>
      <c r="B775">
        <v>35</v>
      </c>
      <c r="C775" t="s">
        <v>19</v>
      </c>
      <c r="D775" t="s">
        <v>28</v>
      </c>
      <c r="E775" t="s">
        <v>33</v>
      </c>
      <c r="F775" t="s">
        <v>22</v>
      </c>
      <c r="G775" t="s">
        <v>38</v>
      </c>
      <c r="H775">
        <v>43595</v>
      </c>
      <c r="I775">
        <v>7973</v>
      </c>
      <c r="J775">
        <v>5</v>
      </c>
      <c r="K775">
        <v>1</v>
      </c>
      <c r="L775">
        <v>3</v>
      </c>
      <c r="M775" t="s">
        <v>25</v>
      </c>
      <c r="N775">
        <v>1</v>
      </c>
      <c r="O775">
        <v>26</v>
      </c>
      <c r="P775">
        <v>17</v>
      </c>
      <c r="Q775">
        <v>3</v>
      </c>
      <c r="R775">
        <v>3</v>
      </c>
      <c r="S775" t="s">
        <v>25</v>
      </c>
    </row>
    <row r="776" spans="1:19" x14ac:dyDescent="0.25">
      <c r="A776">
        <v>10775</v>
      </c>
      <c r="B776">
        <v>56</v>
      </c>
      <c r="C776" t="s">
        <v>19</v>
      </c>
      <c r="D776" t="s">
        <v>28</v>
      </c>
      <c r="E776" t="s">
        <v>27</v>
      </c>
      <c r="F776" t="s">
        <v>22</v>
      </c>
      <c r="G776" t="s">
        <v>30</v>
      </c>
      <c r="H776">
        <v>84660</v>
      </c>
      <c r="I776">
        <v>2076</v>
      </c>
      <c r="J776">
        <v>22</v>
      </c>
      <c r="K776">
        <v>0</v>
      </c>
      <c r="L776">
        <v>4</v>
      </c>
      <c r="M776" t="s">
        <v>24</v>
      </c>
      <c r="N776">
        <v>4</v>
      </c>
      <c r="O776">
        <v>6</v>
      </c>
      <c r="P776">
        <v>53</v>
      </c>
      <c r="Q776">
        <v>4</v>
      </c>
      <c r="R776">
        <v>1</v>
      </c>
      <c r="S776" t="s">
        <v>25</v>
      </c>
    </row>
    <row r="777" spans="1:19" x14ac:dyDescent="0.25">
      <c r="A777">
        <v>10776</v>
      </c>
      <c r="B777">
        <v>45</v>
      </c>
      <c r="C777" t="s">
        <v>31</v>
      </c>
      <c r="D777" t="s">
        <v>26</v>
      </c>
      <c r="E777" t="s">
        <v>21</v>
      </c>
      <c r="F777" t="s">
        <v>37</v>
      </c>
      <c r="G777" t="s">
        <v>30</v>
      </c>
      <c r="H777">
        <v>123700</v>
      </c>
      <c r="I777">
        <v>48876</v>
      </c>
      <c r="J777">
        <v>4</v>
      </c>
      <c r="K777">
        <v>11</v>
      </c>
      <c r="L777">
        <v>5</v>
      </c>
      <c r="M777" t="s">
        <v>25</v>
      </c>
      <c r="N777">
        <v>4</v>
      </c>
      <c r="O777">
        <v>9</v>
      </c>
      <c r="P777">
        <v>6</v>
      </c>
      <c r="Q777">
        <v>2</v>
      </c>
      <c r="R777">
        <v>4</v>
      </c>
      <c r="S777" t="s">
        <v>25</v>
      </c>
    </row>
    <row r="778" spans="1:19" x14ac:dyDescent="0.25">
      <c r="A778">
        <v>10777</v>
      </c>
      <c r="B778">
        <v>28</v>
      </c>
      <c r="C778" t="s">
        <v>19</v>
      </c>
      <c r="D778" t="s">
        <v>34</v>
      </c>
      <c r="E778" t="s">
        <v>33</v>
      </c>
      <c r="F778" t="s">
        <v>39</v>
      </c>
      <c r="G778" t="s">
        <v>38</v>
      </c>
      <c r="H778">
        <v>43226</v>
      </c>
      <c r="I778">
        <v>6105</v>
      </c>
      <c r="J778">
        <v>0</v>
      </c>
      <c r="K778">
        <v>13</v>
      </c>
      <c r="L778">
        <v>3</v>
      </c>
      <c r="M778" t="s">
        <v>24</v>
      </c>
      <c r="N778">
        <v>1</v>
      </c>
      <c r="O778">
        <v>18</v>
      </c>
      <c r="P778">
        <v>5</v>
      </c>
      <c r="Q778">
        <v>4</v>
      </c>
      <c r="R778">
        <v>3</v>
      </c>
      <c r="S778" t="s">
        <v>25</v>
      </c>
    </row>
    <row r="779" spans="1:19" x14ac:dyDescent="0.25">
      <c r="A779">
        <v>10778</v>
      </c>
      <c r="B779">
        <v>31</v>
      </c>
      <c r="C779" t="s">
        <v>19</v>
      </c>
      <c r="D779" t="s">
        <v>34</v>
      </c>
      <c r="E779" t="s">
        <v>33</v>
      </c>
      <c r="F779" t="s">
        <v>39</v>
      </c>
      <c r="G779" t="s">
        <v>38</v>
      </c>
      <c r="H779">
        <v>35960</v>
      </c>
      <c r="I779">
        <v>32628</v>
      </c>
      <c r="J779">
        <v>21</v>
      </c>
      <c r="K779">
        <v>8</v>
      </c>
      <c r="L779">
        <v>3</v>
      </c>
      <c r="M779" t="s">
        <v>25</v>
      </c>
      <c r="N779">
        <v>3</v>
      </c>
      <c r="O779">
        <v>38</v>
      </c>
      <c r="P779">
        <v>21</v>
      </c>
      <c r="Q779">
        <v>3</v>
      </c>
      <c r="R779">
        <v>3</v>
      </c>
      <c r="S779" t="s">
        <v>24</v>
      </c>
    </row>
    <row r="780" spans="1:19" x14ac:dyDescent="0.25">
      <c r="A780">
        <v>10779</v>
      </c>
      <c r="B780">
        <v>25</v>
      </c>
      <c r="C780" t="s">
        <v>31</v>
      </c>
      <c r="D780" t="s">
        <v>20</v>
      </c>
      <c r="E780" t="s">
        <v>33</v>
      </c>
      <c r="F780" t="s">
        <v>22</v>
      </c>
      <c r="G780" t="s">
        <v>30</v>
      </c>
      <c r="H780">
        <v>43280</v>
      </c>
      <c r="I780">
        <v>1906</v>
      </c>
      <c r="J780">
        <v>7</v>
      </c>
      <c r="K780">
        <v>14</v>
      </c>
      <c r="L780">
        <v>3</v>
      </c>
      <c r="M780" t="s">
        <v>25</v>
      </c>
      <c r="N780">
        <v>4</v>
      </c>
      <c r="O780">
        <v>30</v>
      </c>
      <c r="P780">
        <v>36</v>
      </c>
      <c r="Q780">
        <v>1</v>
      </c>
      <c r="R780">
        <v>3</v>
      </c>
      <c r="S780" t="s">
        <v>25</v>
      </c>
    </row>
    <row r="781" spans="1:19" x14ac:dyDescent="0.25">
      <c r="A781">
        <v>10780</v>
      </c>
      <c r="B781">
        <v>34</v>
      </c>
      <c r="C781" t="s">
        <v>19</v>
      </c>
      <c r="D781" t="s">
        <v>20</v>
      </c>
      <c r="E781" t="s">
        <v>29</v>
      </c>
      <c r="F781" t="s">
        <v>35</v>
      </c>
      <c r="G781" t="s">
        <v>38</v>
      </c>
      <c r="H781">
        <v>135064</v>
      </c>
      <c r="I781">
        <v>27571</v>
      </c>
      <c r="J781">
        <v>11</v>
      </c>
      <c r="K781">
        <v>0</v>
      </c>
      <c r="L781">
        <v>1</v>
      </c>
      <c r="M781" t="s">
        <v>25</v>
      </c>
      <c r="N781">
        <v>3</v>
      </c>
      <c r="O781">
        <v>8</v>
      </c>
      <c r="P781">
        <v>26</v>
      </c>
      <c r="Q781">
        <v>4</v>
      </c>
      <c r="R781">
        <v>4</v>
      </c>
      <c r="S781" t="s">
        <v>25</v>
      </c>
    </row>
    <row r="782" spans="1:19" x14ac:dyDescent="0.25">
      <c r="A782">
        <v>10781</v>
      </c>
      <c r="B782">
        <v>26</v>
      </c>
      <c r="C782" t="s">
        <v>31</v>
      </c>
      <c r="D782" t="s">
        <v>20</v>
      </c>
      <c r="E782" t="s">
        <v>27</v>
      </c>
      <c r="F782" t="s">
        <v>39</v>
      </c>
      <c r="G782" t="s">
        <v>30</v>
      </c>
      <c r="H782">
        <v>74071</v>
      </c>
      <c r="I782">
        <v>19158</v>
      </c>
      <c r="J782">
        <v>15</v>
      </c>
      <c r="K782">
        <v>2</v>
      </c>
      <c r="L782">
        <v>3</v>
      </c>
      <c r="M782" t="s">
        <v>25</v>
      </c>
      <c r="N782">
        <v>3</v>
      </c>
      <c r="O782">
        <v>28</v>
      </c>
      <c r="P782">
        <v>43</v>
      </c>
      <c r="Q782">
        <v>4</v>
      </c>
      <c r="R782">
        <v>2</v>
      </c>
      <c r="S782" t="s">
        <v>25</v>
      </c>
    </row>
    <row r="783" spans="1:19" x14ac:dyDescent="0.25">
      <c r="A783">
        <v>10782</v>
      </c>
      <c r="B783">
        <v>51</v>
      </c>
      <c r="C783" t="s">
        <v>31</v>
      </c>
      <c r="D783" t="s">
        <v>41</v>
      </c>
      <c r="E783" t="s">
        <v>36</v>
      </c>
      <c r="F783" t="s">
        <v>39</v>
      </c>
      <c r="G783" t="s">
        <v>38</v>
      </c>
      <c r="H783">
        <v>47288</v>
      </c>
      <c r="I783">
        <v>40153</v>
      </c>
      <c r="J783">
        <v>14</v>
      </c>
      <c r="K783">
        <v>0</v>
      </c>
      <c r="L783">
        <v>3</v>
      </c>
      <c r="M783" t="s">
        <v>25</v>
      </c>
      <c r="N783">
        <v>4</v>
      </c>
      <c r="O783">
        <v>5</v>
      </c>
      <c r="P783">
        <v>28</v>
      </c>
      <c r="Q783">
        <v>3</v>
      </c>
      <c r="R783">
        <v>2</v>
      </c>
      <c r="S783" t="s">
        <v>25</v>
      </c>
    </row>
    <row r="784" spans="1:19" x14ac:dyDescent="0.25">
      <c r="A784">
        <v>10783</v>
      </c>
      <c r="B784">
        <v>51</v>
      </c>
      <c r="C784" t="s">
        <v>19</v>
      </c>
      <c r="D784" t="s">
        <v>20</v>
      </c>
      <c r="E784" t="s">
        <v>36</v>
      </c>
      <c r="F784" t="s">
        <v>22</v>
      </c>
      <c r="G784" t="s">
        <v>30</v>
      </c>
      <c r="H784">
        <v>46946</v>
      </c>
      <c r="I784">
        <v>41095</v>
      </c>
      <c r="J784">
        <v>21</v>
      </c>
      <c r="K784">
        <v>9</v>
      </c>
      <c r="L784">
        <v>4</v>
      </c>
      <c r="M784" t="s">
        <v>25</v>
      </c>
      <c r="N784">
        <v>3</v>
      </c>
      <c r="O784">
        <v>16</v>
      </c>
      <c r="P784">
        <v>19</v>
      </c>
      <c r="Q784">
        <v>3</v>
      </c>
      <c r="R784">
        <v>1</v>
      </c>
      <c r="S784" t="s">
        <v>25</v>
      </c>
    </row>
    <row r="785" spans="1:19" x14ac:dyDescent="0.25">
      <c r="A785">
        <v>10784</v>
      </c>
      <c r="B785">
        <v>21</v>
      </c>
      <c r="C785" t="s">
        <v>19</v>
      </c>
      <c r="D785" t="s">
        <v>28</v>
      </c>
      <c r="E785" t="s">
        <v>21</v>
      </c>
      <c r="F785" t="s">
        <v>22</v>
      </c>
      <c r="G785" t="s">
        <v>30</v>
      </c>
      <c r="H785">
        <v>98967</v>
      </c>
      <c r="I785">
        <v>1607</v>
      </c>
      <c r="J785">
        <v>3</v>
      </c>
      <c r="K785">
        <v>13</v>
      </c>
      <c r="L785">
        <v>3</v>
      </c>
      <c r="M785" t="s">
        <v>25</v>
      </c>
      <c r="N785">
        <v>3</v>
      </c>
      <c r="O785">
        <v>29</v>
      </c>
      <c r="P785">
        <v>27</v>
      </c>
      <c r="Q785">
        <v>4</v>
      </c>
      <c r="R785">
        <v>1</v>
      </c>
      <c r="S785" t="s">
        <v>25</v>
      </c>
    </row>
    <row r="786" spans="1:19" x14ac:dyDescent="0.25">
      <c r="A786">
        <v>10785</v>
      </c>
      <c r="B786">
        <v>58</v>
      </c>
      <c r="C786" t="s">
        <v>19</v>
      </c>
      <c r="D786" t="s">
        <v>20</v>
      </c>
      <c r="E786" t="s">
        <v>33</v>
      </c>
      <c r="F786" t="s">
        <v>39</v>
      </c>
      <c r="G786" t="s">
        <v>38</v>
      </c>
      <c r="H786">
        <v>41384</v>
      </c>
      <c r="I786">
        <v>10872</v>
      </c>
      <c r="J786">
        <v>23</v>
      </c>
      <c r="K786">
        <v>4</v>
      </c>
      <c r="L786">
        <v>4</v>
      </c>
      <c r="M786" t="s">
        <v>25</v>
      </c>
      <c r="N786">
        <v>4</v>
      </c>
      <c r="O786">
        <v>33</v>
      </c>
      <c r="P786">
        <v>36</v>
      </c>
      <c r="Q786">
        <v>2</v>
      </c>
      <c r="R786">
        <v>1</v>
      </c>
      <c r="S786" t="s">
        <v>25</v>
      </c>
    </row>
    <row r="787" spans="1:19" x14ac:dyDescent="0.25">
      <c r="A787">
        <v>10786</v>
      </c>
      <c r="B787">
        <v>26</v>
      </c>
      <c r="C787" t="s">
        <v>19</v>
      </c>
      <c r="D787" t="s">
        <v>20</v>
      </c>
      <c r="E787" t="s">
        <v>21</v>
      </c>
      <c r="F787" t="s">
        <v>39</v>
      </c>
      <c r="G787" t="s">
        <v>38</v>
      </c>
      <c r="H787">
        <v>103368</v>
      </c>
      <c r="I787">
        <v>12197</v>
      </c>
      <c r="J787">
        <v>9</v>
      </c>
      <c r="K787">
        <v>8</v>
      </c>
      <c r="L787">
        <v>3</v>
      </c>
      <c r="M787" t="s">
        <v>25</v>
      </c>
      <c r="N787">
        <v>3</v>
      </c>
      <c r="O787">
        <v>20</v>
      </c>
      <c r="P787">
        <v>24</v>
      </c>
      <c r="Q787">
        <v>3</v>
      </c>
      <c r="R787">
        <v>1</v>
      </c>
      <c r="S787" t="s">
        <v>25</v>
      </c>
    </row>
    <row r="788" spans="1:19" x14ac:dyDescent="0.25">
      <c r="A788">
        <v>10787</v>
      </c>
      <c r="B788">
        <v>40</v>
      </c>
      <c r="C788" t="s">
        <v>19</v>
      </c>
      <c r="D788" t="s">
        <v>41</v>
      </c>
      <c r="E788" t="s">
        <v>21</v>
      </c>
      <c r="F788" t="s">
        <v>35</v>
      </c>
      <c r="G788" t="s">
        <v>23</v>
      </c>
      <c r="H788">
        <v>102606</v>
      </c>
      <c r="I788">
        <v>18883</v>
      </c>
      <c r="J788">
        <v>16</v>
      </c>
      <c r="K788">
        <v>8</v>
      </c>
      <c r="L788">
        <v>4</v>
      </c>
      <c r="M788" t="s">
        <v>24</v>
      </c>
      <c r="N788">
        <v>4</v>
      </c>
      <c r="O788">
        <v>33</v>
      </c>
      <c r="P788">
        <v>25</v>
      </c>
      <c r="Q788">
        <v>4</v>
      </c>
      <c r="R788">
        <v>4</v>
      </c>
      <c r="S788" t="s">
        <v>25</v>
      </c>
    </row>
    <row r="789" spans="1:19" x14ac:dyDescent="0.25">
      <c r="A789">
        <v>10788</v>
      </c>
      <c r="B789">
        <v>47</v>
      </c>
      <c r="C789" t="s">
        <v>19</v>
      </c>
      <c r="D789" t="s">
        <v>20</v>
      </c>
      <c r="E789" t="s">
        <v>36</v>
      </c>
      <c r="F789" t="s">
        <v>35</v>
      </c>
      <c r="G789" t="s">
        <v>30</v>
      </c>
      <c r="H789">
        <v>66207</v>
      </c>
      <c r="I789">
        <v>21139</v>
      </c>
      <c r="J789">
        <v>15</v>
      </c>
      <c r="K789">
        <v>7</v>
      </c>
      <c r="L789">
        <v>3</v>
      </c>
      <c r="M789" t="s">
        <v>25</v>
      </c>
      <c r="N789">
        <v>2</v>
      </c>
      <c r="O789">
        <v>10</v>
      </c>
      <c r="P789">
        <v>16</v>
      </c>
      <c r="Q789">
        <v>3</v>
      </c>
      <c r="R789">
        <v>1</v>
      </c>
      <c r="S789" t="s">
        <v>25</v>
      </c>
    </row>
    <row r="790" spans="1:19" x14ac:dyDescent="0.25">
      <c r="A790">
        <v>10789</v>
      </c>
      <c r="B790">
        <v>36</v>
      </c>
      <c r="C790" t="s">
        <v>19</v>
      </c>
      <c r="D790" t="s">
        <v>28</v>
      </c>
      <c r="E790" t="s">
        <v>27</v>
      </c>
      <c r="F790" t="s">
        <v>39</v>
      </c>
      <c r="G790" t="s">
        <v>38</v>
      </c>
      <c r="H790">
        <v>62829</v>
      </c>
      <c r="I790">
        <v>8177</v>
      </c>
      <c r="J790">
        <v>3</v>
      </c>
      <c r="K790">
        <v>14</v>
      </c>
      <c r="L790">
        <v>2</v>
      </c>
      <c r="M790" t="s">
        <v>24</v>
      </c>
      <c r="N790">
        <v>1</v>
      </c>
      <c r="O790">
        <v>39</v>
      </c>
      <c r="P790">
        <v>9</v>
      </c>
      <c r="Q790">
        <v>1</v>
      </c>
      <c r="R790">
        <v>1</v>
      </c>
      <c r="S790" t="s">
        <v>24</v>
      </c>
    </row>
    <row r="791" spans="1:19" x14ac:dyDescent="0.25">
      <c r="A791">
        <v>10790</v>
      </c>
      <c r="B791">
        <v>53</v>
      </c>
      <c r="C791" t="s">
        <v>19</v>
      </c>
      <c r="D791" t="s">
        <v>41</v>
      </c>
      <c r="E791" t="s">
        <v>36</v>
      </c>
      <c r="F791" t="s">
        <v>39</v>
      </c>
      <c r="G791" t="s">
        <v>30</v>
      </c>
      <c r="H791">
        <v>54200</v>
      </c>
      <c r="I791">
        <v>49852</v>
      </c>
      <c r="J791">
        <v>24</v>
      </c>
      <c r="K791">
        <v>12</v>
      </c>
      <c r="L791">
        <v>3</v>
      </c>
      <c r="M791" t="s">
        <v>24</v>
      </c>
      <c r="N791">
        <v>3</v>
      </c>
      <c r="O791">
        <v>38</v>
      </c>
      <c r="P791">
        <v>37</v>
      </c>
      <c r="Q791">
        <v>2</v>
      </c>
      <c r="R791">
        <v>3</v>
      </c>
      <c r="S791" t="s">
        <v>25</v>
      </c>
    </row>
    <row r="792" spans="1:19" x14ac:dyDescent="0.25">
      <c r="A792">
        <v>10791</v>
      </c>
      <c r="B792">
        <v>39</v>
      </c>
      <c r="C792" t="s">
        <v>19</v>
      </c>
      <c r="D792" t="s">
        <v>41</v>
      </c>
      <c r="E792" t="s">
        <v>21</v>
      </c>
      <c r="F792" t="s">
        <v>39</v>
      </c>
      <c r="G792" t="s">
        <v>38</v>
      </c>
      <c r="H792">
        <v>121174</v>
      </c>
      <c r="I792">
        <v>42735</v>
      </c>
      <c r="J792">
        <v>14</v>
      </c>
      <c r="K792">
        <v>14</v>
      </c>
      <c r="L792">
        <v>3</v>
      </c>
      <c r="M792" t="s">
        <v>25</v>
      </c>
      <c r="N792">
        <v>3</v>
      </c>
      <c r="O792">
        <v>37</v>
      </c>
      <c r="P792">
        <v>6</v>
      </c>
      <c r="Q792">
        <v>1</v>
      </c>
      <c r="R792">
        <v>1</v>
      </c>
      <c r="S792" t="s">
        <v>25</v>
      </c>
    </row>
    <row r="793" spans="1:19" x14ac:dyDescent="0.25">
      <c r="A793">
        <v>10792</v>
      </c>
      <c r="B793">
        <v>31</v>
      </c>
      <c r="C793" t="s">
        <v>19</v>
      </c>
      <c r="D793" t="s">
        <v>32</v>
      </c>
      <c r="E793" t="s">
        <v>27</v>
      </c>
      <c r="F793" t="s">
        <v>22</v>
      </c>
      <c r="G793" t="s">
        <v>38</v>
      </c>
      <c r="H793">
        <v>83771</v>
      </c>
      <c r="I793">
        <v>19987</v>
      </c>
      <c r="J793">
        <v>1</v>
      </c>
      <c r="K793">
        <v>3</v>
      </c>
      <c r="L793">
        <v>4</v>
      </c>
      <c r="M793" t="s">
        <v>24</v>
      </c>
      <c r="N793">
        <v>4</v>
      </c>
      <c r="O793">
        <v>32</v>
      </c>
      <c r="P793">
        <v>24</v>
      </c>
      <c r="Q793">
        <v>3</v>
      </c>
      <c r="R793">
        <v>2</v>
      </c>
      <c r="S793" t="s">
        <v>25</v>
      </c>
    </row>
    <row r="794" spans="1:19" x14ac:dyDescent="0.25">
      <c r="A794">
        <v>10793</v>
      </c>
      <c r="B794">
        <v>50</v>
      </c>
      <c r="C794" t="s">
        <v>31</v>
      </c>
      <c r="D794" t="s">
        <v>20</v>
      </c>
      <c r="E794" t="s">
        <v>21</v>
      </c>
      <c r="F794" t="s">
        <v>35</v>
      </c>
      <c r="G794" t="s">
        <v>38</v>
      </c>
      <c r="H794">
        <v>126484</v>
      </c>
      <c r="I794">
        <v>16665</v>
      </c>
      <c r="J794">
        <v>21</v>
      </c>
      <c r="K794">
        <v>0</v>
      </c>
      <c r="L794">
        <v>2</v>
      </c>
      <c r="M794" t="s">
        <v>25</v>
      </c>
      <c r="N794">
        <v>3</v>
      </c>
      <c r="O794">
        <v>25</v>
      </c>
      <c r="P794">
        <v>34</v>
      </c>
      <c r="Q794">
        <v>4</v>
      </c>
      <c r="R794">
        <v>3</v>
      </c>
      <c r="S794" t="s">
        <v>25</v>
      </c>
    </row>
    <row r="795" spans="1:19" x14ac:dyDescent="0.25">
      <c r="A795">
        <v>10794</v>
      </c>
      <c r="B795">
        <v>27</v>
      </c>
      <c r="C795" t="s">
        <v>19</v>
      </c>
      <c r="D795" t="s">
        <v>20</v>
      </c>
      <c r="E795" t="s">
        <v>36</v>
      </c>
      <c r="F795" t="s">
        <v>22</v>
      </c>
      <c r="G795" t="s">
        <v>30</v>
      </c>
      <c r="H795">
        <v>48194</v>
      </c>
      <c r="I795">
        <v>33301</v>
      </c>
      <c r="J795">
        <v>17</v>
      </c>
      <c r="K795">
        <v>1</v>
      </c>
      <c r="L795">
        <v>2</v>
      </c>
      <c r="M795" t="s">
        <v>25</v>
      </c>
      <c r="N795">
        <v>2</v>
      </c>
      <c r="O795">
        <v>2</v>
      </c>
      <c r="P795">
        <v>39</v>
      </c>
      <c r="Q795">
        <v>3</v>
      </c>
      <c r="R795">
        <v>4</v>
      </c>
      <c r="S795" t="s">
        <v>25</v>
      </c>
    </row>
    <row r="796" spans="1:19" x14ac:dyDescent="0.25">
      <c r="A796">
        <v>10795</v>
      </c>
      <c r="B796">
        <v>39</v>
      </c>
      <c r="C796" t="s">
        <v>19</v>
      </c>
      <c r="D796" t="s">
        <v>41</v>
      </c>
      <c r="E796" t="s">
        <v>27</v>
      </c>
      <c r="F796" t="s">
        <v>37</v>
      </c>
      <c r="G796" t="s">
        <v>30</v>
      </c>
      <c r="H796">
        <v>60737</v>
      </c>
      <c r="I796">
        <v>42381</v>
      </c>
      <c r="J796">
        <v>14</v>
      </c>
      <c r="K796">
        <v>11</v>
      </c>
      <c r="L796">
        <v>4</v>
      </c>
      <c r="M796" t="s">
        <v>25</v>
      </c>
      <c r="N796">
        <v>3</v>
      </c>
      <c r="O796">
        <v>5</v>
      </c>
      <c r="P796">
        <v>6</v>
      </c>
      <c r="Q796">
        <v>2</v>
      </c>
      <c r="R796">
        <v>2</v>
      </c>
      <c r="S796" t="s">
        <v>25</v>
      </c>
    </row>
    <row r="797" spans="1:19" x14ac:dyDescent="0.25">
      <c r="A797">
        <v>10796</v>
      </c>
      <c r="B797">
        <v>49</v>
      </c>
      <c r="C797" t="s">
        <v>31</v>
      </c>
      <c r="D797" t="s">
        <v>26</v>
      </c>
      <c r="E797" t="s">
        <v>29</v>
      </c>
      <c r="F797" t="s">
        <v>39</v>
      </c>
      <c r="G797" t="s">
        <v>38</v>
      </c>
      <c r="H797">
        <v>138866</v>
      </c>
      <c r="I797">
        <v>30346</v>
      </c>
      <c r="J797">
        <v>13</v>
      </c>
      <c r="K797">
        <v>6</v>
      </c>
      <c r="L797">
        <v>3</v>
      </c>
      <c r="M797" t="s">
        <v>25</v>
      </c>
      <c r="N797">
        <v>3</v>
      </c>
      <c r="O797">
        <v>4</v>
      </c>
      <c r="P797">
        <v>37</v>
      </c>
      <c r="Q797">
        <v>3</v>
      </c>
      <c r="R797">
        <v>1</v>
      </c>
      <c r="S797" t="s">
        <v>25</v>
      </c>
    </row>
    <row r="798" spans="1:19" x14ac:dyDescent="0.25">
      <c r="A798">
        <v>10797</v>
      </c>
      <c r="B798">
        <v>49</v>
      </c>
      <c r="C798" t="s">
        <v>19</v>
      </c>
      <c r="D798" t="s">
        <v>34</v>
      </c>
      <c r="E798" t="s">
        <v>36</v>
      </c>
      <c r="F798" t="s">
        <v>39</v>
      </c>
      <c r="G798" t="s">
        <v>38</v>
      </c>
      <c r="H798">
        <v>52057</v>
      </c>
      <c r="I798">
        <v>45416</v>
      </c>
      <c r="J798">
        <v>3</v>
      </c>
      <c r="K798">
        <v>4</v>
      </c>
      <c r="L798">
        <v>3</v>
      </c>
      <c r="M798" t="s">
        <v>24</v>
      </c>
      <c r="N798">
        <v>1</v>
      </c>
      <c r="O798">
        <v>13</v>
      </c>
      <c r="P798">
        <v>40</v>
      </c>
      <c r="Q798">
        <v>3</v>
      </c>
      <c r="R798">
        <v>3</v>
      </c>
      <c r="S798" t="s">
        <v>24</v>
      </c>
    </row>
    <row r="799" spans="1:19" x14ac:dyDescent="0.25">
      <c r="A799">
        <v>10798</v>
      </c>
      <c r="B799">
        <v>51</v>
      </c>
      <c r="C799" t="s">
        <v>31</v>
      </c>
      <c r="D799" t="s">
        <v>41</v>
      </c>
      <c r="E799" t="s">
        <v>33</v>
      </c>
      <c r="F799" t="s">
        <v>39</v>
      </c>
      <c r="G799" t="s">
        <v>38</v>
      </c>
      <c r="H799">
        <v>32350</v>
      </c>
      <c r="I799">
        <v>17676</v>
      </c>
      <c r="J799">
        <v>4</v>
      </c>
      <c r="K799">
        <v>8</v>
      </c>
      <c r="L799">
        <v>3</v>
      </c>
      <c r="M799" t="s">
        <v>24</v>
      </c>
      <c r="N799">
        <v>3</v>
      </c>
      <c r="O799">
        <v>9</v>
      </c>
      <c r="P799">
        <v>25</v>
      </c>
      <c r="Q799">
        <v>2</v>
      </c>
      <c r="R799">
        <v>2</v>
      </c>
      <c r="S799" t="s">
        <v>24</v>
      </c>
    </row>
    <row r="800" spans="1:19" x14ac:dyDescent="0.25">
      <c r="A800">
        <v>10799</v>
      </c>
      <c r="B800">
        <v>46</v>
      </c>
      <c r="C800" t="s">
        <v>19</v>
      </c>
      <c r="D800" t="s">
        <v>41</v>
      </c>
      <c r="E800" t="s">
        <v>27</v>
      </c>
      <c r="F800" t="s">
        <v>39</v>
      </c>
      <c r="G800" t="s">
        <v>30</v>
      </c>
      <c r="H800">
        <v>63048</v>
      </c>
      <c r="I800">
        <v>17852</v>
      </c>
      <c r="J800">
        <v>22</v>
      </c>
      <c r="K800">
        <v>4</v>
      </c>
      <c r="L800">
        <v>3</v>
      </c>
      <c r="M800" t="s">
        <v>25</v>
      </c>
      <c r="N800">
        <v>3</v>
      </c>
      <c r="O800">
        <v>30</v>
      </c>
      <c r="P800">
        <v>58</v>
      </c>
      <c r="Q800">
        <v>4</v>
      </c>
      <c r="R800">
        <v>1</v>
      </c>
      <c r="S800" t="s">
        <v>25</v>
      </c>
    </row>
    <row r="801" spans="1:19" x14ac:dyDescent="0.25">
      <c r="A801">
        <v>10800</v>
      </c>
      <c r="B801">
        <v>51</v>
      </c>
      <c r="C801" t="s">
        <v>19</v>
      </c>
      <c r="D801" t="s">
        <v>41</v>
      </c>
      <c r="E801" t="s">
        <v>29</v>
      </c>
      <c r="F801" t="s">
        <v>39</v>
      </c>
      <c r="G801" t="s">
        <v>38</v>
      </c>
      <c r="H801">
        <v>176319</v>
      </c>
      <c r="I801">
        <v>38700</v>
      </c>
      <c r="J801">
        <v>12</v>
      </c>
      <c r="K801">
        <v>10</v>
      </c>
      <c r="L801">
        <v>3</v>
      </c>
      <c r="M801" t="s">
        <v>24</v>
      </c>
      <c r="N801">
        <v>2</v>
      </c>
      <c r="O801">
        <v>9</v>
      </c>
      <c r="P801">
        <v>32</v>
      </c>
      <c r="Q801">
        <v>3</v>
      </c>
      <c r="R801">
        <v>4</v>
      </c>
      <c r="S801" t="s">
        <v>25</v>
      </c>
    </row>
    <row r="802" spans="1:19" x14ac:dyDescent="0.25">
      <c r="A802">
        <v>10801</v>
      </c>
      <c r="B802">
        <v>48</v>
      </c>
      <c r="C802" t="s">
        <v>19</v>
      </c>
      <c r="D802" t="s">
        <v>26</v>
      </c>
      <c r="E802" t="s">
        <v>27</v>
      </c>
      <c r="F802" t="s">
        <v>35</v>
      </c>
      <c r="G802" t="s">
        <v>30</v>
      </c>
      <c r="H802">
        <v>69602</v>
      </c>
      <c r="I802">
        <v>44540</v>
      </c>
      <c r="J802">
        <v>17</v>
      </c>
      <c r="K802">
        <v>9</v>
      </c>
      <c r="L802">
        <v>3</v>
      </c>
      <c r="M802" t="s">
        <v>25</v>
      </c>
      <c r="N802">
        <v>3</v>
      </c>
      <c r="O802">
        <v>16</v>
      </c>
      <c r="P802">
        <v>59</v>
      </c>
      <c r="Q802">
        <v>4</v>
      </c>
      <c r="R802">
        <v>4</v>
      </c>
      <c r="S802" t="s">
        <v>25</v>
      </c>
    </row>
    <row r="803" spans="1:19" x14ac:dyDescent="0.25">
      <c r="A803">
        <v>10802</v>
      </c>
      <c r="B803">
        <v>36</v>
      </c>
      <c r="C803" t="s">
        <v>19</v>
      </c>
      <c r="D803" t="s">
        <v>41</v>
      </c>
      <c r="E803" t="s">
        <v>27</v>
      </c>
      <c r="F803" t="s">
        <v>39</v>
      </c>
      <c r="G803" t="s">
        <v>23</v>
      </c>
      <c r="H803">
        <v>78473</v>
      </c>
      <c r="I803">
        <v>21269</v>
      </c>
      <c r="J803">
        <v>19</v>
      </c>
      <c r="K803">
        <v>10</v>
      </c>
      <c r="L803">
        <v>3</v>
      </c>
      <c r="M803" t="s">
        <v>24</v>
      </c>
      <c r="N803">
        <v>2</v>
      </c>
      <c r="O803">
        <v>25</v>
      </c>
      <c r="P803">
        <v>14</v>
      </c>
      <c r="Q803">
        <v>3</v>
      </c>
      <c r="R803">
        <v>4</v>
      </c>
      <c r="S803" t="s">
        <v>25</v>
      </c>
    </row>
    <row r="804" spans="1:19" x14ac:dyDescent="0.25">
      <c r="A804">
        <v>10803</v>
      </c>
      <c r="B804">
        <v>45</v>
      </c>
      <c r="C804" t="s">
        <v>31</v>
      </c>
      <c r="D804" t="s">
        <v>32</v>
      </c>
      <c r="E804" t="s">
        <v>36</v>
      </c>
      <c r="F804" t="s">
        <v>39</v>
      </c>
      <c r="G804" t="s">
        <v>30</v>
      </c>
      <c r="H804">
        <v>66947</v>
      </c>
      <c r="I804">
        <v>28451</v>
      </c>
      <c r="J804">
        <v>9</v>
      </c>
      <c r="K804">
        <v>3</v>
      </c>
      <c r="L804">
        <v>3</v>
      </c>
      <c r="M804" t="s">
        <v>25</v>
      </c>
      <c r="N804">
        <v>4</v>
      </c>
      <c r="O804">
        <v>9</v>
      </c>
      <c r="P804">
        <v>41</v>
      </c>
      <c r="Q804">
        <v>4</v>
      </c>
      <c r="R804">
        <v>3</v>
      </c>
      <c r="S804" t="s">
        <v>25</v>
      </c>
    </row>
    <row r="805" spans="1:19" x14ac:dyDescent="0.25">
      <c r="A805">
        <v>10804</v>
      </c>
      <c r="B805">
        <v>29</v>
      </c>
      <c r="C805" t="s">
        <v>19</v>
      </c>
      <c r="D805" t="s">
        <v>32</v>
      </c>
      <c r="E805" t="s">
        <v>33</v>
      </c>
      <c r="F805" t="s">
        <v>35</v>
      </c>
      <c r="G805" t="s">
        <v>30</v>
      </c>
      <c r="H805">
        <v>28819</v>
      </c>
      <c r="I805">
        <v>7398</v>
      </c>
      <c r="J805">
        <v>20</v>
      </c>
      <c r="K805">
        <v>8</v>
      </c>
      <c r="L805">
        <v>3</v>
      </c>
      <c r="M805" t="s">
        <v>25</v>
      </c>
      <c r="N805">
        <v>2</v>
      </c>
      <c r="O805">
        <v>32</v>
      </c>
      <c r="P805">
        <v>18</v>
      </c>
      <c r="Q805">
        <v>2</v>
      </c>
      <c r="R805">
        <v>2</v>
      </c>
      <c r="S805" t="s">
        <v>25</v>
      </c>
    </row>
    <row r="806" spans="1:19" x14ac:dyDescent="0.25">
      <c r="A806">
        <v>10805</v>
      </c>
      <c r="B806">
        <v>52</v>
      </c>
      <c r="C806" t="s">
        <v>31</v>
      </c>
      <c r="D806" t="s">
        <v>28</v>
      </c>
      <c r="E806" t="s">
        <v>33</v>
      </c>
      <c r="F806" t="s">
        <v>35</v>
      </c>
      <c r="G806" t="s">
        <v>30</v>
      </c>
      <c r="H806">
        <v>35731</v>
      </c>
      <c r="I806">
        <v>31410</v>
      </c>
      <c r="J806">
        <v>24</v>
      </c>
      <c r="K806">
        <v>12</v>
      </c>
      <c r="L806">
        <v>3</v>
      </c>
      <c r="M806" t="s">
        <v>25</v>
      </c>
      <c r="N806">
        <v>3</v>
      </c>
      <c r="O806">
        <v>3</v>
      </c>
      <c r="P806">
        <v>50</v>
      </c>
      <c r="Q806">
        <v>2</v>
      </c>
      <c r="R806">
        <v>4</v>
      </c>
      <c r="S806" t="s">
        <v>25</v>
      </c>
    </row>
    <row r="807" spans="1:19" x14ac:dyDescent="0.25">
      <c r="A807">
        <v>10806</v>
      </c>
      <c r="B807">
        <v>36</v>
      </c>
      <c r="C807" t="s">
        <v>19</v>
      </c>
      <c r="D807" t="s">
        <v>28</v>
      </c>
      <c r="E807" t="s">
        <v>21</v>
      </c>
      <c r="F807" t="s">
        <v>39</v>
      </c>
      <c r="G807" t="s">
        <v>30</v>
      </c>
      <c r="H807">
        <v>123712</v>
      </c>
      <c r="I807">
        <v>43774</v>
      </c>
      <c r="J807">
        <v>5</v>
      </c>
      <c r="K807">
        <v>8</v>
      </c>
      <c r="L807">
        <v>2</v>
      </c>
      <c r="M807" t="s">
        <v>25</v>
      </c>
      <c r="N807">
        <v>4</v>
      </c>
      <c r="O807">
        <v>6</v>
      </c>
      <c r="P807">
        <v>50</v>
      </c>
      <c r="Q807">
        <v>2</v>
      </c>
      <c r="R807">
        <v>4</v>
      </c>
      <c r="S807" t="s">
        <v>25</v>
      </c>
    </row>
    <row r="808" spans="1:19" x14ac:dyDescent="0.25">
      <c r="A808">
        <v>10807</v>
      </c>
      <c r="B808">
        <v>36</v>
      </c>
      <c r="C808" t="s">
        <v>19</v>
      </c>
      <c r="D808" t="s">
        <v>20</v>
      </c>
      <c r="E808" t="s">
        <v>33</v>
      </c>
      <c r="F808" t="s">
        <v>35</v>
      </c>
      <c r="G808" t="s">
        <v>30</v>
      </c>
      <c r="H808">
        <v>32660</v>
      </c>
      <c r="I808">
        <v>42517</v>
      </c>
      <c r="J808">
        <v>13</v>
      </c>
      <c r="K808">
        <v>14</v>
      </c>
      <c r="L808">
        <v>3</v>
      </c>
      <c r="M808" t="s">
        <v>25</v>
      </c>
      <c r="N808">
        <v>4</v>
      </c>
      <c r="O808">
        <v>38</v>
      </c>
      <c r="P808">
        <v>13</v>
      </c>
      <c r="Q808">
        <v>2</v>
      </c>
      <c r="R808">
        <v>3</v>
      </c>
      <c r="S808" t="s">
        <v>25</v>
      </c>
    </row>
    <row r="809" spans="1:19" x14ac:dyDescent="0.25">
      <c r="A809">
        <v>10808</v>
      </c>
      <c r="B809">
        <v>35</v>
      </c>
      <c r="C809" t="s">
        <v>19</v>
      </c>
      <c r="D809" t="s">
        <v>41</v>
      </c>
      <c r="E809" t="s">
        <v>21</v>
      </c>
      <c r="F809" t="s">
        <v>39</v>
      </c>
      <c r="G809" t="s">
        <v>30</v>
      </c>
      <c r="H809">
        <v>99586</v>
      </c>
      <c r="I809">
        <v>47177</v>
      </c>
      <c r="J809">
        <v>17</v>
      </c>
      <c r="K809">
        <v>2</v>
      </c>
      <c r="L809">
        <v>4</v>
      </c>
      <c r="M809" t="s">
        <v>24</v>
      </c>
      <c r="N809">
        <v>4</v>
      </c>
      <c r="O809">
        <v>28</v>
      </c>
      <c r="P809">
        <v>50</v>
      </c>
      <c r="Q809">
        <v>4</v>
      </c>
      <c r="R809">
        <v>3</v>
      </c>
      <c r="S809" t="s">
        <v>25</v>
      </c>
    </row>
    <row r="810" spans="1:19" x14ac:dyDescent="0.25">
      <c r="A810">
        <v>10809</v>
      </c>
      <c r="B810">
        <v>48</v>
      </c>
      <c r="C810" t="s">
        <v>19</v>
      </c>
      <c r="D810" t="s">
        <v>20</v>
      </c>
      <c r="E810" t="s">
        <v>36</v>
      </c>
      <c r="F810" t="s">
        <v>35</v>
      </c>
      <c r="G810" t="s">
        <v>30</v>
      </c>
      <c r="H810">
        <v>60093</v>
      </c>
      <c r="I810">
        <v>21849</v>
      </c>
      <c r="J810">
        <v>11</v>
      </c>
      <c r="K810">
        <v>8</v>
      </c>
      <c r="L810">
        <v>3</v>
      </c>
      <c r="M810" t="s">
        <v>24</v>
      </c>
      <c r="N810">
        <v>1</v>
      </c>
      <c r="O810">
        <v>31</v>
      </c>
      <c r="P810">
        <v>7</v>
      </c>
      <c r="Q810">
        <v>1</v>
      </c>
      <c r="R810">
        <v>3</v>
      </c>
      <c r="S810" t="s">
        <v>24</v>
      </c>
    </row>
    <row r="811" spans="1:19" x14ac:dyDescent="0.25">
      <c r="A811">
        <v>10810</v>
      </c>
      <c r="B811">
        <v>51</v>
      </c>
      <c r="C811" t="s">
        <v>19</v>
      </c>
      <c r="D811" t="s">
        <v>20</v>
      </c>
      <c r="E811" t="s">
        <v>33</v>
      </c>
      <c r="F811" t="s">
        <v>39</v>
      </c>
      <c r="G811" t="s">
        <v>23</v>
      </c>
      <c r="H811">
        <v>33727</v>
      </c>
      <c r="I811">
        <v>11201</v>
      </c>
      <c r="J811">
        <v>14</v>
      </c>
      <c r="K811">
        <v>7</v>
      </c>
      <c r="L811">
        <v>5</v>
      </c>
      <c r="M811" t="s">
        <v>24</v>
      </c>
      <c r="N811">
        <v>1</v>
      </c>
      <c r="O811">
        <v>7</v>
      </c>
      <c r="P811">
        <v>10</v>
      </c>
      <c r="Q811">
        <v>3</v>
      </c>
      <c r="R811">
        <v>3</v>
      </c>
      <c r="S811" t="s">
        <v>25</v>
      </c>
    </row>
    <row r="812" spans="1:19" x14ac:dyDescent="0.25">
      <c r="A812">
        <v>10811</v>
      </c>
      <c r="B812">
        <v>20</v>
      </c>
      <c r="C812" t="s">
        <v>31</v>
      </c>
      <c r="D812" t="s">
        <v>34</v>
      </c>
      <c r="E812" t="s">
        <v>36</v>
      </c>
      <c r="F812" t="s">
        <v>22</v>
      </c>
      <c r="G812" t="s">
        <v>30</v>
      </c>
      <c r="H812">
        <v>52110</v>
      </c>
      <c r="I812">
        <v>29024</v>
      </c>
      <c r="J812">
        <v>19</v>
      </c>
      <c r="K812">
        <v>2</v>
      </c>
      <c r="L812">
        <v>2</v>
      </c>
      <c r="M812" t="s">
        <v>25</v>
      </c>
      <c r="N812">
        <v>4</v>
      </c>
      <c r="O812">
        <v>14</v>
      </c>
      <c r="P812">
        <v>33</v>
      </c>
      <c r="Q812">
        <v>2</v>
      </c>
      <c r="R812">
        <v>2</v>
      </c>
      <c r="S812" t="s">
        <v>25</v>
      </c>
    </row>
    <row r="813" spans="1:19" x14ac:dyDescent="0.25">
      <c r="A813">
        <v>10812</v>
      </c>
      <c r="B813">
        <v>43</v>
      </c>
      <c r="C813" t="s">
        <v>19</v>
      </c>
      <c r="D813" t="s">
        <v>20</v>
      </c>
      <c r="E813" t="s">
        <v>36</v>
      </c>
      <c r="F813" t="s">
        <v>37</v>
      </c>
      <c r="G813" t="s">
        <v>38</v>
      </c>
      <c r="H813">
        <v>54012</v>
      </c>
      <c r="I813">
        <v>31376</v>
      </c>
      <c r="J813">
        <v>1</v>
      </c>
      <c r="K813">
        <v>10</v>
      </c>
      <c r="L813">
        <v>4</v>
      </c>
      <c r="M813" t="s">
        <v>25</v>
      </c>
      <c r="N813">
        <v>2</v>
      </c>
      <c r="O813">
        <v>38</v>
      </c>
      <c r="P813">
        <v>58</v>
      </c>
      <c r="Q813">
        <v>3</v>
      </c>
      <c r="R813">
        <v>3</v>
      </c>
      <c r="S813" t="s">
        <v>25</v>
      </c>
    </row>
    <row r="814" spans="1:19" x14ac:dyDescent="0.25">
      <c r="A814">
        <v>10813</v>
      </c>
      <c r="B814">
        <v>40</v>
      </c>
      <c r="C814" t="s">
        <v>31</v>
      </c>
      <c r="D814" t="s">
        <v>28</v>
      </c>
      <c r="E814" t="s">
        <v>21</v>
      </c>
      <c r="F814" t="s">
        <v>22</v>
      </c>
      <c r="G814" t="s">
        <v>38</v>
      </c>
      <c r="H814">
        <v>98916</v>
      </c>
      <c r="I814">
        <v>30740</v>
      </c>
      <c r="J814">
        <v>0</v>
      </c>
      <c r="K814">
        <v>14</v>
      </c>
      <c r="L814">
        <v>3</v>
      </c>
      <c r="M814" t="s">
        <v>25</v>
      </c>
      <c r="N814">
        <v>3</v>
      </c>
      <c r="O814">
        <v>34</v>
      </c>
      <c r="P814">
        <v>10</v>
      </c>
      <c r="Q814">
        <v>2</v>
      </c>
      <c r="R814">
        <v>4</v>
      </c>
      <c r="S814" t="s">
        <v>25</v>
      </c>
    </row>
    <row r="815" spans="1:19" x14ac:dyDescent="0.25">
      <c r="A815">
        <v>10814</v>
      </c>
      <c r="B815">
        <v>46</v>
      </c>
      <c r="C815" t="s">
        <v>19</v>
      </c>
      <c r="D815" t="s">
        <v>20</v>
      </c>
      <c r="E815" t="s">
        <v>36</v>
      </c>
      <c r="F815" t="s">
        <v>39</v>
      </c>
      <c r="G815" t="s">
        <v>38</v>
      </c>
      <c r="H815">
        <v>69437</v>
      </c>
      <c r="I815">
        <v>32600</v>
      </c>
      <c r="J815">
        <v>0</v>
      </c>
      <c r="K815">
        <v>7</v>
      </c>
      <c r="L815">
        <v>3</v>
      </c>
      <c r="M815" t="s">
        <v>25</v>
      </c>
      <c r="N815">
        <v>4</v>
      </c>
      <c r="O815">
        <v>23</v>
      </c>
      <c r="P815">
        <v>28</v>
      </c>
      <c r="Q815">
        <v>4</v>
      </c>
      <c r="R815">
        <v>4</v>
      </c>
      <c r="S815" t="s">
        <v>25</v>
      </c>
    </row>
    <row r="816" spans="1:19" x14ac:dyDescent="0.25">
      <c r="A816">
        <v>10815</v>
      </c>
      <c r="B816">
        <v>56</v>
      </c>
      <c r="C816" t="s">
        <v>19</v>
      </c>
      <c r="D816" t="s">
        <v>20</v>
      </c>
      <c r="E816" t="s">
        <v>27</v>
      </c>
      <c r="F816" t="s">
        <v>37</v>
      </c>
      <c r="G816" t="s">
        <v>38</v>
      </c>
      <c r="H816">
        <v>77950</v>
      </c>
      <c r="I816">
        <v>8109</v>
      </c>
      <c r="J816">
        <v>14</v>
      </c>
      <c r="K816">
        <v>3</v>
      </c>
      <c r="L816">
        <v>3</v>
      </c>
      <c r="M816" t="s">
        <v>25</v>
      </c>
      <c r="N816">
        <v>2</v>
      </c>
      <c r="O816">
        <v>23</v>
      </c>
      <c r="P816">
        <v>52</v>
      </c>
      <c r="Q816">
        <v>3</v>
      </c>
      <c r="R816">
        <v>1</v>
      </c>
      <c r="S816" t="s">
        <v>25</v>
      </c>
    </row>
    <row r="817" spans="1:19" x14ac:dyDescent="0.25">
      <c r="A817">
        <v>10816</v>
      </c>
      <c r="B817">
        <v>23</v>
      </c>
      <c r="C817" t="s">
        <v>31</v>
      </c>
      <c r="D817" t="s">
        <v>41</v>
      </c>
      <c r="E817" t="s">
        <v>33</v>
      </c>
      <c r="F817" t="s">
        <v>22</v>
      </c>
      <c r="G817" t="s">
        <v>38</v>
      </c>
      <c r="H817">
        <v>41689</v>
      </c>
      <c r="I817">
        <v>3538</v>
      </c>
      <c r="J817">
        <v>21</v>
      </c>
      <c r="K817">
        <v>12</v>
      </c>
      <c r="L817">
        <v>3</v>
      </c>
      <c r="M817" t="s">
        <v>25</v>
      </c>
      <c r="N817">
        <v>3</v>
      </c>
      <c r="O817">
        <v>3</v>
      </c>
      <c r="P817">
        <v>18</v>
      </c>
      <c r="Q817">
        <v>4</v>
      </c>
      <c r="R817">
        <v>3</v>
      </c>
      <c r="S817" t="s">
        <v>25</v>
      </c>
    </row>
    <row r="818" spans="1:19" x14ac:dyDescent="0.25">
      <c r="A818">
        <v>10817</v>
      </c>
      <c r="B818">
        <v>27</v>
      </c>
      <c r="C818" t="s">
        <v>19</v>
      </c>
      <c r="D818" t="s">
        <v>20</v>
      </c>
      <c r="E818" t="s">
        <v>21</v>
      </c>
      <c r="F818" t="s">
        <v>39</v>
      </c>
      <c r="G818" t="s">
        <v>23</v>
      </c>
      <c r="H818">
        <v>129496</v>
      </c>
      <c r="I818">
        <v>27444</v>
      </c>
      <c r="J818">
        <v>17</v>
      </c>
      <c r="K818">
        <v>11</v>
      </c>
      <c r="L818">
        <v>3</v>
      </c>
      <c r="M818" t="s">
        <v>24</v>
      </c>
      <c r="N818">
        <v>3</v>
      </c>
      <c r="O818">
        <v>28</v>
      </c>
      <c r="P818">
        <v>53</v>
      </c>
      <c r="Q818">
        <v>4</v>
      </c>
      <c r="R818">
        <v>3</v>
      </c>
      <c r="S818" t="s">
        <v>25</v>
      </c>
    </row>
    <row r="819" spans="1:19" x14ac:dyDescent="0.25">
      <c r="A819">
        <v>10818</v>
      </c>
      <c r="B819">
        <v>37</v>
      </c>
      <c r="C819" t="s">
        <v>19</v>
      </c>
      <c r="D819" t="s">
        <v>20</v>
      </c>
      <c r="E819" t="s">
        <v>27</v>
      </c>
      <c r="F819" t="s">
        <v>39</v>
      </c>
      <c r="G819" t="s">
        <v>23</v>
      </c>
      <c r="H819">
        <v>69050</v>
      </c>
      <c r="I819">
        <v>40244</v>
      </c>
      <c r="J819">
        <v>18</v>
      </c>
      <c r="K819">
        <v>10</v>
      </c>
      <c r="L819">
        <v>3</v>
      </c>
      <c r="M819" t="s">
        <v>25</v>
      </c>
      <c r="N819">
        <v>3</v>
      </c>
      <c r="O819">
        <v>21</v>
      </c>
      <c r="P819">
        <v>7</v>
      </c>
      <c r="Q819">
        <v>3</v>
      </c>
      <c r="R819">
        <v>4</v>
      </c>
      <c r="S819" t="s">
        <v>25</v>
      </c>
    </row>
    <row r="820" spans="1:19" x14ac:dyDescent="0.25">
      <c r="A820">
        <v>10819</v>
      </c>
      <c r="B820">
        <v>50</v>
      </c>
      <c r="C820" t="s">
        <v>31</v>
      </c>
      <c r="D820" t="s">
        <v>28</v>
      </c>
      <c r="E820" t="s">
        <v>36</v>
      </c>
      <c r="F820" t="s">
        <v>39</v>
      </c>
      <c r="G820" t="s">
        <v>23</v>
      </c>
      <c r="H820">
        <v>55715</v>
      </c>
      <c r="I820">
        <v>21134</v>
      </c>
      <c r="J820">
        <v>1</v>
      </c>
      <c r="K820">
        <v>1</v>
      </c>
      <c r="L820">
        <v>3</v>
      </c>
      <c r="M820" t="s">
        <v>25</v>
      </c>
      <c r="N820">
        <v>4</v>
      </c>
      <c r="O820">
        <v>15</v>
      </c>
      <c r="P820">
        <v>32</v>
      </c>
      <c r="Q820">
        <v>4</v>
      </c>
      <c r="R820">
        <v>4</v>
      </c>
      <c r="S820" t="s">
        <v>25</v>
      </c>
    </row>
    <row r="821" spans="1:19" x14ac:dyDescent="0.25">
      <c r="A821">
        <v>10820</v>
      </c>
      <c r="B821">
        <v>29</v>
      </c>
      <c r="C821" t="s">
        <v>19</v>
      </c>
      <c r="D821" t="s">
        <v>20</v>
      </c>
      <c r="E821" t="s">
        <v>33</v>
      </c>
      <c r="F821" t="s">
        <v>39</v>
      </c>
      <c r="G821" t="s">
        <v>30</v>
      </c>
      <c r="H821">
        <v>36581</v>
      </c>
      <c r="I821">
        <v>2671</v>
      </c>
      <c r="J821">
        <v>17</v>
      </c>
      <c r="K821">
        <v>3</v>
      </c>
      <c r="L821">
        <v>3</v>
      </c>
      <c r="M821" t="s">
        <v>25</v>
      </c>
      <c r="N821">
        <v>4</v>
      </c>
      <c r="O821">
        <v>10</v>
      </c>
      <c r="P821">
        <v>25</v>
      </c>
      <c r="Q821">
        <v>4</v>
      </c>
      <c r="R821">
        <v>4</v>
      </c>
      <c r="S821" t="s">
        <v>25</v>
      </c>
    </row>
    <row r="822" spans="1:19" x14ac:dyDescent="0.25">
      <c r="A822">
        <v>10821</v>
      </c>
      <c r="B822">
        <v>45</v>
      </c>
      <c r="C822" t="s">
        <v>19</v>
      </c>
      <c r="D822" t="s">
        <v>20</v>
      </c>
      <c r="E822" t="s">
        <v>27</v>
      </c>
      <c r="F822" t="s">
        <v>35</v>
      </c>
      <c r="G822" t="s">
        <v>30</v>
      </c>
      <c r="H822">
        <v>66532</v>
      </c>
      <c r="I822">
        <v>42351</v>
      </c>
      <c r="J822">
        <v>11</v>
      </c>
      <c r="K822">
        <v>8</v>
      </c>
      <c r="L822">
        <v>5</v>
      </c>
      <c r="M822" t="s">
        <v>24</v>
      </c>
      <c r="N822">
        <v>4</v>
      </c>
      <c r="O822">
        <v>35</v>
      </c>
      <c r="P822">
        <v>31</v>
      </c>
      <c r="Q822">
        <v>4</v>
      </c>
      <c r="R822">
        <v>2</v>
      </c>
      <c r="S822" t="s">
        <v>25</v>
      </c>
    </row>
    <row r="823" spans="1:19" x14ac:dyDescent="0.25">
      <c r="A823">
        <v>10822</v>
      </c>
      <c r="B823">
        <v>21</v>
      </c>
      <c r="C823" t="s">
        <v>19</v>
      </c>
      <c r="D823" t="s">
        <v>41</v>
      </c>
      <c r="E823" t="s">
        <v>27</v>
      </c>
      <c r="F823" t="s">
        <v>39</v>
      </c>
      <c r="G823" t="s">
        <v>30</v>
      </c>
      <c r="H823">
        <v>87125</v>
      </c>
      <c r="I823">
        <v>13869</v>
      </c>
      <c r="J823">
        <v>18</v>
      </c>
      <c r="K823">
        <v>7</v>
      </c>
      <c r="L823">
        <v>3</v>
      </c>
      <c r="M823" t="s">
        <v>25</v>
      </c>
      <c r="N823">
        <v>4</v>
      </c>
      <c r="O823">
        <v>25</v>
      </c>
      <c r="P823">
        <v>50</v>
      </c>
      <c r="Q823">
        <v>4</v>
      </c>
      <c r="R823">
        <v>4</v>
      </c>
      <c r="S823" t="s">
        <v>25</v>
      </c>
    </row>
    <row r="824" spans="1:19" x14ac:dyDescent="0.25">
      <c r="A824">
        <v>10823</v>
      </c>
      <c r="B824">
        <v>27</v>
      </c>
      <c r="C824" t="s">
        <v>19</v>
      </c>
      <c r="D824" t="s">
        <v>32</v>
      </c>
      <c r="E824" t="s">
        <v>27</v>
      </c>
      <c r="F824" t="s">
        <v>39</v>
      </c>
      <c r="G824" t="s">
        <v>38</v>
      </c>
      <c r="H824">
        <v>79514</v>
      </c>
      <c r="I824">
        <v>20014</v>
      </c>
      <c r="J824">
        <v>11</v>
      </c>
      <c r="K824">
        <v>8</v>
      </c>
      <c r="L824">
        <v>3</v>
      </c>
      <c r="M824" t="s">
        <v>25</v>
      </c>
      <c r="N824">
        <v>2</v>
      </c>
      <c r="O824">
        <v>34</v>
      </c>
      <c r="P824">
        <v>49</v>
      </c>
      <c r="Q824">
        <v>3</v>
      </c>
      <c r="R824">
        <v>4</v>
      </c>
      <c r="S824" t="s">
        <v>25</v>
      </c>
    </row>
    <row r="825" spans="1:19" x14ac:dyDescent="0.25">
      <c r="A825">
        <v>10824</v>
      </c>
      <c r="B825">
        <v>26</v>
      </c>
      <c r="C825" t="s">
        <v>19</v>
      </c>
      <c r="D825" t="s">
        <v>20</v>
      </c>
      <c r="E825" t="s">
        <v>27</v>
      </c>
      <c r="F825" t="s">
        <v>35</v>
      </c>
      <c r="G825" t="s">
        <v>23</v>
      </c>
      <c r="H825">
        <v>67019</v>
      </c>
      <c r="I825">
        <v>48425</v>
      </c>
      <c r="J825">
        <v>22</v>
      </c>
      <c r="K825">
        <v>3</v>
      </c>
      <c r="L825">
        <v>3</v>
      </c>
      <c r="M825" t="s">
        <v>25</v>
      </c>
      <c r="N825">
        <v>4</v>
      </c>
      <c r="O825">
        <v>16</v>
      </c>
      <c r="P825">
        <v>36</v>
      </c>
      <c r="Q825">
        <v>3</v>
      </c>
      <c r="R825">
        <v>2</v>
      </c>
      <c r="S825" t="s">
        <v>25</v>
      </c>
    </row>
    <row r="826" spans="1:19" x14ac:dyDescent="0.25">
      <c r="A826">
        <v>10825</v>
      </c>
      <c r="B826">
        <v>20</v>
      </c>
      <c r="C826" t="s">
        <v>19</v>
      </c>
      <c r="D826" t="s">
        <v>41</v>
      </c>
      <c r="E826" t="s">
        <v>27</v>
      </c>
      <c r="F826" t="s">
        <v>22</v>
      </c>
      <c r="G826" t="s">
        <v>30</v>
      </c>
      <c r="H826">
        <v>79373</v>
      </c>
      <c r="I826">
        <v>5615</v>
      </c>
      <c r="J826">
        <v>20</v>
      </c>
      <c r="K826">
        <v>12</v>
      </c>
      <c r="L826">
        <v>4</v>
      </c>
      <c r="M826" t="s">
        <v>24</v>
      </c>
      <c r="N826">
        <v>3</v>
      </c>
      <c r="O826">
        <v>4</v>
      </c>
      <c r="P826">
        <v>7</v>
      </c>
      <c r="Q826">
        <v>3</v>
      </c>
      <c r="R826">
        <v>2</v>
      </c>
      <c r="S826" t="s">
        <v>25</v>
      </c>
    </row>
    <row r="827" spans="1:19" x14ac:dyDescent="0.25">
      <c r="A827">
        <v>10826</v>
      </c>
      <c r="B827">
        <v>57</v>
      </c>
      <c r="C827" t="s">
        <v>19</v>
      </c>
      <c r="D827" t="s">
        <v>26</v>
      </c>
      <c r="E827" t="s">
        <v>40</v>
      </c>
      <c r="F827" t="s">
        <v>39</v>
      </c>
      <c r="G827" t="s">
        <v>30</v>
      </c>
      <c r="H827">
        <v>17549</v>
      </c>
      <c r="I827">
        <v>28984</v>
      </c>
      <c r="J827">
        <v>14</v>
      </c>
      <c r="K827">
        <v>3</v>
      </c>
      <c r="L827">
        <v>1</v>
      </c>
      <c r="M827" t="s">
        <v>25</v>
      </c>
      <c r="N827">
        <v>3</v>
      </c>
      <c r="O827">
        <v>14</v>
      </c>
      <c r="P827">
        <v>39</v>
      </c>
      <c r="Q827">
        <v>3</v>
      </c>
      <c r="R827">
        <v>4</v>
      </c>
      <c r="S827" t="s">
        <v>25</v>
      </c>
    </row>
    <row r="828" spans="1:19" x14ac:dyDescent="0.25">
      <c r="A828">
        <v>10827</v>
      </c>
      <c r="B828">
        <v>58</v>
      </c>
      <c r="C828" t="s">
        <v>19</v>
      </c>
      <c r="D828" t="s">
        <v>26</v>
      </c>
      <c r="E828" t="s">
        <v>40</v>
      </c>
      <c r="F828" t="s">
        <v>39</v>
      </c>
      <c r="G828" t="s">
        <v>30</v>
      </c>
      <c r="H828">
        <v>15945</v>
      </c>
      <c r="I828">
        <v>29075</v>
      </c>
      <c r="J828">
        <v>9</v>
      </c>
      <c r="K828">
        <v>7</v>
      </c>
      <c r="L828">
        <v>1</v>
      </c>
      <c r="M828" t="s">
        <v>25</v>
      </c>
      <c r="N828">
        <v>4</v>
      </c>
      <c r="O828">
        <v>11</v>
      </c>
      <c r="P828">
        <v>29</v>
      </c>
      <c r="Q828">
        <v>1</v>
      </c>
      <c r="R828">
        <v>2</v>
      </c>
      <c r="S828" t="s">
        <v>25</v>
      </c>
    </row>
    <row r="829" spans="1:19" x14ac:dyDescent="0.25">
      <c r="A829">
        <v>10828</v>
      </c>
      <c r="B829">
        <v>38</v>
      </c>
      <c r="C829" t="s">
        <v>19</v>
      </c>
      <c r="D829" t="s">
        <v>20</v>
      </c>
      <c r="E829" t="s">
        <v>36</v>
      </c>
      <c r="F829" t="s">
        <v>37</v>
      </c>
      <c r="G829" t="s">
        <v>38</v>
      </c>
      <c r="H829">
        <v>65748</v>
      </c>
      <c r="I829">
        <v>45459</v>
      </c>
      <c r="J829">
        <v>4</v>
      </c>
      <c r="K829">
        <v>13</v>
      </c>
      <c r="L829">
        <v>4</v>
      </c>
      <c r="M829" t="s">
        <v>25</v>
      </c>
      <c r="N829">
        <v>3</v>
      </c>
      <c r="O829">
        <v>20</v>
      </c>
      <c r="P829">
        <v>22</v>
      </c>
      <c r="Q829">
        <v>1</v>
      </c>
      <c r="R829">
        <v>2</v>
      </c>
      <c r="S829" t="s">
        <v>25</v>
      </c>
    </row>
    <row r="830" spans="1:19" x14ac:dyDescent="0.25">
      <c r="A830">
        <v>10829</v>
      </c>
      <c r="B830">
        <v>20</v>
      </c>
      <c r="C830" t="s">
        <v>31</v>
      </c>
      <c r="D830" t="s">
        <v>28</v>
      </c>
      <c r="E830" t="s">
        <v>21</v>
      </c>
      <c r="F830" t="s">
        <v>39</v>
      </c>
      <c r="G830" t="s">
        <v>38</v>
      </c>
      <c r="H830">
        <v>121286</v>
      </c>
      <c r="I830">
        <v>13448</v>
      </c>
      <c r="J830">
        <v>6</v>
      </c>
      <c r="K830">
        <v>0</v>
      </c>
      <c r="L830">
        <v>4</v>
      </c>
      <c r="M830" t="s">
        <v>25</v>
      </c>
      <c r="N830">
        <v>4</v>
      </c>
      <c r="O830">
        <v>33</v>
      </c>
      <c r="P830">
        <v>8</v>
      </c>
      <c r="Q830">
        <v>3</v>
      </c>
      <c r="R830">
        <v>3</v>
      </c>
      <c r="S830" t="s">
        <v>25</v>
      </c>
    </row>
    <row r="831" spans="1:19" x14ac:dyDescent="0.25">
      <c r="A831">
        <v>10830</v>
      </c>
      <c r="B831">
        <v>44</v>
      </c>
      <c r="C831" t="s">
        <v>31</v>
      </c>
      <c r="D831" t="s">
        <v>41</v>
      </c>
      <c r="E831" t="s">
        <v>21</v>
      </c>
      <c r="F831" t="s">
        <v>39</v>
      </c>
      <c r="G831" t="s">
        <v>23</v>
      </c>
      <c r="H831">
        <v>100686</v>
      </c>
      <c r="I831">
        <v>19629</v>
      </c>
      <c r="J831">
        <v>20</v>
      </c>
      <c r="K831">
        <v>9</v>
      </c>
      <c r="L831">
        <v>5</v>
      </c>
      <c r="M831" t="s">
        <v>25</v>
      </c>
      <c r="N831">
        <v>3</v>
      </c>
      <c r="O831">
        <v>22</v>
      </c>
      <c r="P831">
        <v>30</v>
      </c>
      <c r="Q831">
        <v>2</v>
      </c>
      <c r="R831">
        <v>2</v>
      </c>
      <c r="S831" t="s">
        <v>25</v>
      </c>
    </row>
    <row r="832" spans="1:19" x14ac:dyDescent="0.25">
      <c r="A832">
        <v>10831</v>
      </c>
      <c r="B832">
        <v>32</v>
      </c>
      <c r="C832" t="s">
        <v>19</v>
      </c>
      <c r="D832" t="s">
        <v>41</v>
      </c>
      <c r="E832" t="s">
        <v>33</v>
      </c>
      <c r="F832" t="s">
        <v>22</v>
      </c>
      <c r="G832" t="s">
        <v>23</v>
      </c>
      <c r="H832">
        <v>31959</v>
      </c>
      <c r="I832">
        <v>3476</v>
      </c>
      <c r="J832">
        <v>17</v>
      </c>
      <c r="K832">
        <v>14</v>
      </c>
      <c r="L832">
        <v>3</v>
      </c>
      <c r="M832" t="s">
        <v>25</v>
      </c>
      <c r="N832">
        <v>4</v>
      </c>
      <c r="O832">
        <v>29</v>
      </c>
      <c r="P832">
        <v>25</v>
      </c>
      <c r="Q832">
        <v>2</v>
      </c>
      <c r="R832">
        <v>3</v>
      </c>
      <c r="S832" t="s">
        <v>25</v>
      </c>
    </row>
    <row r="833" spans="1:19" x14ac:dyDescent="0.25">
      <c r="A833">
        <v>10832</v>
      </c>
      <c r="B833">
        <v>21</v>
      </c>
      <c r="C833" t="s">
        <v>31</v>
      </c>
      <c r="D833" t="s">
        <v>34</v>
      </c>
      <c r="E833" t="s">
        <v>36</v>
      </c>
      <c r="F833" t="s">
        <v>39</v>
      </c>
      <c r="G833" t="s">
        <v>30</v>
      </c>
      <c r="H833">
        <v>48870</v>
      </c>
      <c r="I833">
        <v>13003</v>
      </c>
      <c r="J833">
        <v>18</v>
      </c>
      <c r="K833">
        <v>9</v>
      </c>
      <c r="L833">
        <v>3</v>
      </c>
      <c r="M833" t="s">
        <v>25</v>
      </c>
      <c r="N833">
        <v>2</v>
      </c>
      <c r="O833">
        <v>14</v>
      </c>
      <c r="P833">
        <v>7</v>
      </c>
      <c r="Q833">
        <v>4</v>
      </c>
      <c r="R833">
        <v>1</v>
      </c>
      <c r="S833" t="s">
        <v>25</v>
      </c>
    </row>
    <row r="834" spans="1:19" x14ac:dyDescent="0.25">
      <c r="A834">
        <v>10833</v>
      </c>
      <c r="B834">
        <v>54</v>
      </c>
      <c r="C834" t="s">
        <v>19</v>
      </c>
      <c r="D834" t="s">
        <v>34</v>
      </c>
      <c r="E834" t="s">
        <v>33</v>
      </c>
      <c r="F834" t="s">
        <v>35</v>
      </c>
      <c r="G834" t="s">
        <v>23</v>
      </c>
      <c r="H834">
        <v>31348</v>
      </c>
      <c r="I834">
        <v>26472</v>
      </c>
      <c r="J834">
        <v>12</v>
      </c>
      <c r="K834">
        <v>7</v>
      </c>
      <c r="L834">
        <v>5</v>
      </c>
      <c r="M834" t="s">
        <v>24</v>
      </c>
      <c r="N834">
        <v>3</v>
      </c>
      <c r="O834">
        <v>2</v>
      </c>
      <c r="P834">
        <v>24</v>
      </c>
      <c r="Q834">
        <v>4</v>
      </c>
      <c r="R834">
        <v>2</v>
      </c>
      <c r="S834" t="s">
        <v>25</v>
      </c>
    </row>
    <row r="835" spans="1:19" x14ac:dyDescent="0.25">
      <c r="A835">
        <v>10834</v>
      </c>
      <c r="B835">
        <v>32</v>
      </c>
      <c r="C835" t="s">
        <v>19</v>
      </c>
      <c r="D835" t="s">
        <v>34</v>
      </c>
      <c r="E835" t="s">
        <v>36</v>
      </c>
      <c r="F835" t="s">
        <v>22</v>
      </c>
      <c r="G835" t="s">
        <v>38</v>
      </c>
      <c r="H835">
        <v>47866</v>
      </c>
      <c r="I835">
        <v>4601</v>
      </c>
      <c r="J835">
        <v>2</v>
      </c>
      <c r="K835">
        <v>13</v>
      </c>
      <c r="L835">
        <v>3</v>
      </c>
      <c r="M835" t="s">
        <v>25</v>
      </c>
      <c r="N835">
        <v>3</v>
      </c>
      <c r="O835">
        <v>9</v>
      </c>
      <c r="P835">
        <v>18</v>
      </c>
      <c r="Q835">
        <v>4</v>
      </c>
      <c r="R835">
        <v>3</v>
      </c>
      <c r="S835" t="s">
        <v>25</v>
      </c>
    </row>
    <row r="836" spans="1:19" x14ac:dyDescent="0.25">
      <c r="A836">
        <v>10835</v>
      </c>
      <c r="B836">
        <v>36</v>
      </c>
      <c r="C836" t="s">
        <v>19</v>
      </c>
      <c r="D836" t="s">
        <v>26</v>
      </c>
      <c r="E836" t="s">
        <v>27</v>
      </c>
      <c r="F836" t="s">
        <v>39</v>
      </c>
      <c r="G836" t="s">
        <v>38</v>
      </c>
      <c r="H836">
        <v>70817</v>
      </c>
      <c r="I836">
        <v>48846</v>
      </c>
      <c r="J836">
        <v>17</v>
      </c>
      <c r="K836">
        <v>7</v>
      </c>
      <c r="L836">
        <v>4</v>
      </c>
      <c r="M836" t="s">
        <v>25</v>
      </c>
      <c r="N836">
        <v>2</v>
      </c>
      <c r="O836">
        <v>26</v>
      </c>
      <c r="P836">
        <v>12</v>
      </c>
      <c r="Q836">
        <v>4</v>
      </c>
      <c r="R836">
        <v>3</v>
      </c>
      <c r="S836" t="s">
        <v>24</v>
      </c>
    </row>
    <row r="837" spans="1:19" x14ac:dyDescent="0.25">
      <c r="A837">
        <v>10836</v>
      </c>
      <c r="B837">
        <v>27</v>
      </c>
      <c r="C837" t="s">
        <v>19</v>
      </c>
      <c r="D837" t="s">
        <v>28</v>
      </c>
      <c r="E837" t="s">
        <v>29</v>
      </c>
      <c r="F837" t="s">
        <v>37</v>
      </c>
      <c r="G837" t="s">
        <v>38</v>
      </c>
      <c r="H837">
        <v>159916</v>
      </c>
      <c r="I837">
        <v>2246</v>
      </c>
      <c r="J837">
        <v>15</v>
      </c>
      <c r="K837">
        <v>13</v>
      </c>
      <c r="L837">
        <v>3</v>
      </c>
      <c r="M837" t="s">
        <v>25</v>
      </c>
      <c r="N837">
        <v>3</v>
      </c>
      <c r="O837">
        <v>23</v>
      </c>
      <c r="P837">
        <v>52</v>
      </c>
      <c r="Q837">
        <v>4</v>
      </c>
      <c r="R837">
        <v>3</v>
      </c>
      <c r="S837" t="s">
        <v>25</v>
      </c>
    </row>
    <row r="838" spans="1:19" x14ac:dyDescent="0.25">
      <c r="A838">
        <v>10837</v>
      </c>
      <c r="B838">
        <v>46</v>
      </c>
      <c r="C838" t="s">
        <v>19</v>
      </c>
      <c r="D838" t="s">
        <v>20</v>
      </c>
      <c r="E838" t="s">
        <v>40</v>
      </c>
      <c r="F838" t="s">
        <v>22</v>
      </c>
      <c r="G838" t="s">
        <v>38</v>
      </c>
      <c r="H838">
        <v>16537</v>
      </c>
      <c r="I838">
        <v>30771</v>
      </c>
      <c r="J838">
        <v>14</v>
      </c>
      <c r="K838">
        <v>3</v>
      </c>
      <c r="L838">
        <v>4</v>
      </c>
      <c r="M838" t="s">
        <v>24</v>
      </c>
      <c r="N838">
        <v>4</v>
      </c>
      <c r="O838">
        <v>26</v>
      </c>
      <c r="P838">
        <v>35</v>
      </c>
      <c r="Q838">
        <v>2</v>
      </c>
      <c r="R838">
        <v>1</v>
      </c>
      <c r="S838" t="s">
        <v>25</v>
      </c>
    </row>
    <row r="839" spans="1:19" x14ac:dyDescent="0.25">
      <c r="A839">
        <v>10838</v>
      </c>
      <c r="B839">
        <v>48</v>
      </c>
      <c r="C839" t="s">
        <v>19</v>
      </c>
      <c r="D839" t="s">
        <v>41</v>
      </c>
      <c r="E839" t="s">
        <v>27</v>
      </c>
      <c r="F839" t="s">
        <v>35</v>
      </c>
      <c r="G839" t="s">
        <v>30</v>
      </c>
      <c r="H839">
        <v>60508</v>
      </c>
      <c r="I839">
        <v>45330</v>
      </c>
      <c r="J839">
        <v>22</v>
      </c>
      <c r="K839">
        <v>12</v>
      </c>
      <c r="L839">
        <v>5</v>
      </c>
      <c r="M839" t="s">
        <v>24</v>
      </c>
      <c r="N839">
        <v>3</v>
      </c>
      <c r="O839">
        <v>9</v>
      </c>
      <c r="P839">
        <v>53</v>
      </c>
      <c r="Q839">
        <v>4</v>
      </c>
      <c r="R839">
        <v>4</v>
      </c>
      <c r="S839" t="s">
        <v>25</v>
      </c>
    </row>
    <row r="840" spans="1:19" x14ac:dyDescent="0.25">
      <c r="A840">
        <v>10839</v>
      </c>
      <c r="B840">
        <v>33</v>
      </c>
      <c r="C840" t="s">
        <v>19</v>
      </c>
      <c r="D840" t="s">
        <v>26</v>
      </c>
      <c r="E840" t="s">
        <v>40</v>
      </c>
      <c r="F840" t="s">
        <v>35</v>
      </c>
      <c r="G840" t="s">
        <v>38</v>
      </c>
      <c r="H840">
        <v>16181</v>
      </c>
      <c r="I840">
        <v>27071</v>
      </c>
      <c r="J840">
        <v>14</v>
      </c>
      <c r="K840">
        <v>11</v>
      </c>
      <c r="L840">
        <v>4</v>
      </c>
      <c r="M840" t="s">
        <v>24</v>
      </c>
      <c r="N840">
        <v>3</v>
      </c>
      <c r="O840">
        <v>15</v>
      </c>
      <c r="P840">
        <v>38</v>
      </c>
      <c r="Q840">
        <v>4</v>
      </c>
      <c r="R840">
        <v>2</v>
      </c>
      <c r="S840" t="s">
        <v>25</v>
      </c>
    </row>
    <row r="841" spans="1:19" x14ac:dyDescent="0.25">
      <c r="A841">
        <v>10840</v>
      </c>
      <c r="B841">
        <v>58</v>
      </c>
      <c r="C841" t="s">
        <v>19</v>
      </c>
      <c r="D841" t="s">
        <v>41</v>
      </c>
      <c r="E841" t="s">
        <v>27</v>
      </c>
      <c r="F841" t="s">
        <v>39</v>
      </c>
      <c r="G841" t="s">
        <v>38</v>
      </c>
      <c r="H841">
        <v>71008</v>
      </c>
      <c r="I841">
        <v>6710</v>
      </c>
      <c r="J841">
        <v>13</v>
      </c>
      <c r="K841">
        <v>12</v>
      </c>
      <c r="L841">
        <v>2</v>
      </c>
      <c r="M841" t="s">
        <v>25</v>
      </c>
      <c r="N841">
        <v>3</v>
      </c>
      <c r="O841">
        <v>12</v>
      </c>
      <c r="P841">
        <v>14</v>
      </c>
      <c r="Q841">
        <v>2</v>
      </c>
      <c r="R841">
        <v>1</v>
      </c>
      <c r="S841" t="s">
        <v>24</v>
      </c>
    </row>
    <row r="842" spans="1:19" x14ac:dyDescent="0.25">
      <c r="A842">
        <v>10841</v>
      </c>
      <c r="B842">
        <v>40</v>
      </c>
      <c r="C842" t="s">
        <v>19</v>
      </c>
      <c r="D842" t="s">
        <v>32</v>
      </c>
      <c r="E842" t="s">
        <v>27</v>
      </c>
      <c r="F842" t="s">
        <v>37</v>
      </c>
      <c r="G842" t="s">
        <v>30</v>
      </c>
      <c r="H842">
        <v>75760</v>
      </c>
      <c r="I842">
        <v>11145</v>
      </c>
      <c r="J842">
        <v>8</v>
      </c>
      <c r="K842">
        <v>11</v>
      </c>
      <c r="L842">
        <v>3</v>
      </c>
      <c r="M842" t="s">
        <v>25</v>
      </c>
      <c r="N842">
        <v>3</v>
      </c>
      <c r="O842">
        <v>12</v>
      </c>
      <c r="P842">
        <v>22</v>
      </c>
      <c r="Q842">
        <v>3</v>
      </c>
      <c r="R842">
        <v>2</v>
      </c>
      <c r="S842" t="s">
        <v>25</v>
      </c>
    </row>
    <row r="843" spans="1:19" x14ac:dyDescent="0.25">
      <c r="A843">
        <v>10842</v>
      </c>
      <c r="B843">
        <v>43</v>
      </c>
      <c r="C843" t="s">
        <v>19</v>
      </c>
      <c r="D843" t="s">
        <v>20</v>
      </c>
      <c r="E843" t="s">
        <v>27</v>
      </c>
      <c r="F843" t="s">
        <v>39</v>
      </c>
      <c r="G843" t="s">
        <v>30</v>
      </c>
      <c r="H843">
        <v>60169</v>
      </c>
      <c r="I843">
        <v>18225</v>
      </c>
      <c r="J843">
        <v>11</v>
      </c>
      <c r="K843">
        <v>14</v>
      </c>
      <c r="L843">
        <v>5</v>
      </c>
      <c r="M843" t="s">
        <v>25</v>
      </c>
      <c r="N843">
        <v>1</v>
      </c>
      <c r="O843">
        <v>17</v>
      </c>
      <c r="P843">
        <v>6</v>
      </c>
      <c r="Q843">
        <v>2</v>
      </c>
      <c r="R843">
        <v>3</v>
      </c>
      <c r="S843" t="s">
        <v>24</v>
      </c>
    </row>
    <row r="844" spans="1:19" x14ac:dyDescent="0.25">
      <c r="A844">
        <v>10843</v>
      </c>
      <c r="B844">
        <v>27</v>
      </c>
      <c r="C844" t="s">
        <v>19</v>
      </c>
      <c r="D844" t="s">
        <v>41</v>
      </c>
      <c r="E844" t="s">
        <v>33</v>
      </c>
      <c r="F844" t="s">
        <v>37</v>
      </c>
      <c r="G844" t="s">
        <v>38</v>
      </c>
      <c r="H844">
        <v>39726</v>
      </c>
      <c r="I844">
        <v>10321</v>
      </c>
      <c r="J844">
        <v>5</v>
      </c>
      <c r="K844">
        <v>5</v>
      </c>
      <c r="L844">
        <v>3</v>
      </c>
      <c r="M844" t="s">
        <v>24</v>
      </c>
      <c r="N844">
        <v>3</v>
      </c>
      <c r="O844">
        <v>31</v>
      </c>
      <c r="P844">
        <v>56</v>
      </c>
      <c r="Q844">
        <v>4</v>
      </c>
      <c r="R844">
        <v>1</v>
      </c>
      <c r="S844" t="s">
        <v>25</v>
      </c>
    </row>
    <row r="845" spans="1:19" x14ac:dyDescent="0.25">
      <c r="A845">
        <v>10844</v>
      </c>
      <c r="B845">
        <v>38</v>
      </c>
      <c r="C845" t="s">
        <v>31</v>
      </c>
      <c r="D845" t="s">
        <v>28</v>
      </c>
      <c r="E845" t="s">
        <v>33</v>
      </c>
      <c r="F845" t="s">
        <v>22</v>
      </c>
      <c r="G845" t="s">
        <v>30</v>
      </c>
      <c r="H845">
        <v>25613</v>
      </c>
      <c r="I845">
        <v>29485</v>
      </c>
      <c r="J845">
        <v>17</v>
      </c>
      <c r="K845">
        <v>7</v>
      </c>
      <c r="L845">
        <v>5</v>
      </c>
      <c r="M845" t="s">
        <v>24</v>
      </c>
      <c r="N845">
        <v>3</v>
      </c>
      <c r="O845">
        <v>3</v>
      </c>
      <c r="P845">
        <v>27</v>
      </c>
      <c r="Q845">
        <v>4</v>
      </c>
      <c r="R845">
        <v>4</v>
      </c>
      <c r="S845" t="s">
        <v>25</v>
      </c>
    </row>
    <row r="846" spans="1:19" x14ac:dyDescent="0.25">
      <c r="A846">
        <v>10845</v>
      </c>
      <c r="B846">
        <v>45</v>
      </c>
      <c r="C846" t="s">
        <v>19</v>
      </c>
      <c r="D846" t="s">
        <v>41</v>
      </c>
      <c r="E846" t="s">
        <v>21</v>
      </c>
      <c r="F846" t="s">
        <v>39</v>
      </c>
      <c r="G846" t="s">
        <v>30</v>
      </c>
      <c r="H846">
        <v>103300</v>
      </c>
      <c r="I846">
        <v>21868</v>
      </c>
      <c r="J846">
        <v>13</v>
      </c>
      <c r="K846">
        <v>7</v>
      </c>
      <c r="L846">
        <v>4</v>
      </c>
      <c r="M846" t="s">
        <v>25</v>
      </c>
      <c r="N846">
        <v>1</v>
      </c>
      <c r="O846">
        <v>22</v>
      </c>
      <c r="P846">
        <v>38</v>
      </c>
      <c r="Q846">
        <v>1</v>
      </c>
      <c r="R846">
        <v>3</v>
      </c>
      <c r="S846" t="s">
        <v>24</v>
      </c>
    </row>
    <row r="847" spans="1:19" x14ac:dyDescent="0.25">
      <c r="A847">
        <v>10846</v>
      </c>
      <c r="B847">
        <v>35</v>
      </c>
      <c r="C847" t="s">
        <v>19</v>
      </c>
      <c r="D847" t="s">
        <v>20</v>
      </c>
      <c r="E847" t="s">
        <v>40</v>
      </c>
      <c r="F847" t="s">
        <v>39</v>
      </c>
      <c r="G847" t="s">
        <v>30</v>
      </c>
      <c r="H847">
        <v>17548</v>
      </c>
      <c r="I847">
        <v>9368</v>
      </c>
      <c r="J847">
        <v>23</v>
      </c>
      <c r="K847">
        <v>5</v>
      </c>
      <c r="L847">
        <v>3</v>
      </c>
      <c r="M847" t="s">
        <v>25</v>
      </c>
      <c r="N847">
        <v>3</v>
      </c>
      <c r="O847">
        <v>4</v>
      </c>
      <c r="P847">
        <v>8</v>
      </c>
      <c r="Q847">
        <v>4</v>
      </c>
      <c r="R847">
        <v>2</v>
      </c>
      <c r="S847" t="s">
        <v>25</v>
      </c>
    </row>
    <row r="848" spans="1:19" x14ac:dyDescent="0.25">
      <c r="A848">
        <v>10847</v>
      </c>
      <c r="B848">
        <v>23</v>
      </c>
      <c r="C848" t="s">
        <v>19</v>
      </c>
      <c r="D848" t="s">
        <v>32</v>
      </c>
      <c r="E848" t="s">
        <v>33</v>
      </c>
      <c r="F848" t="s">
        <v>39</v>
      </c>
      <c r="G848" t="s">
        <v>38</v>
      </c>
      <c r="H848">
        <v>34428</v>
      </c>
      <c r="I848">
        <v>9458</v>
      </c>
      <c r="J848">
        <v>1</v>
      </c>
      <c r="K848">
        <v>8</v>
      </c>
      <c r="L848">
        <v>3</v>
      </c>
      <c r="M848" t="s">
        <v>25</v>
      </c>
      <c r="N848">
        <v>3</v>
      </c>
      <c r="O848">
        <v>11</v>
      </c>
      <c r="P848">
        <v>29</v>
      </c>
      <c r="Q848">
        <v>2</v>
      </c>
      <c r="R848">
        <v>4</v>
      </c>
      <c r="S848" t="s">
        <v>25</v>
      </c>
    </row>
    <row r="849" spans="1:19" x14ac:dyDescent="0.25">
      <c r="A849">
        <v>10848</v>
      </c>
      <c r="B849">
        <v>41</v>
      </c>
      <c r="C849" t="s">
        <v>19</v>
      </c>
      <c r="D849" t="s">
        <v>20</v>
      </c>
      <c r="E849" t="s">
        <v>36</v>
      </c>
      <c r="F849" t="s">
        <v>39</v>
      </c>
      <c r="G849" t="s">
        <v>30</v>
      </c>
      <c r="H849">
        <v>69674</v>
      </c>
      <c r="I849">
        <v>20967</v>
      </c>
      <c r="J849">
        <v>9</v>
      </c>
      <c r="K849">
        <v>0</v>
      </c>
      <c r="L849">
        <v>2</v>
      </c>
      <c r="M849" t="s">
        <v>25</v>
      </c>
      <c r="N849">
        <v>4</v>
      </c>
      <c r="O849">
        <v>29</v>
      </c>
      <c r="P849">
        <v>45</v>
      </c>
      <c r="Q849">
        <v>3</v>
      </c>
      <c r="R849">
        <v>2</v>
      </c>
      <c r="S849" t="s">
        <v>25</v>
      </c>
    </row>
    <row r="850" spans="1:19" x14ac:dyDescent="0.25">
      <c r="A850">
        <v>10849</v>
      </c>
      <c r="B850">
        <v>38</v>
      </c>
      <c r="C850" t="s">
        <v>19</v>
      </c>
      <c r="D850" t="s">
        <v>28</v>
      </c>
      <c r="E850" t="s">
        <v>40</v>
      </c>
      <c r="F850" t="s">
        <v>39</v>
      </c>
      <c r="G850" t="s">
        <v>38</v>
      </c>
      <c r="H850">
        <v>15479</v>
      </c>
      <c r="I850">
        <v>14691</v>
      </c>
      <c r="J850">
        <v>17</v>
      </c>
      <c r="K850">
        <v>13</v>
      </c>
      <c r="L850">
        <v>5</v>
      </c>
      <c r="M850" t="s">
        <v>25</v>
      </c>
      <c r="N850">
        <v>4</v>
      </c>
      <c r="O850">
        <v>17</v>
      </c>
      <c r="P850">
        <v>35</v>
      </c>
      <c r="Q850">
        <v>3</v>
      </c>
      <c r="R850">
        <v>1</v>
      </c>
      <c r="S850" t="s">
        <v>25</v>
      </c>
    </row>
    <row r="851" spans="1:19" x14ac:dyDescent="0.25">
      <c r="A851">
        <v>10850</v>
      </c>
      <c r="B851">
        <v>56</v>
      </c>
      <c r="C851" t="s">
        <v>19</v>
      </c>
      <c r="D851" t="s">
        <v>41</v>
      </c>
      <c r="E851" t="s">
        <v>27</v>
      </c>
      <c r="F851" t="s">
        <v>39</v>
      </c>
      <c r="G851" t="s">
        <v>30</v>
      </c>
      <c r="H851">
        <v>71377</v>
      </c>
      <c r="I851">
        <v>37443</v>
      </c>
      <c r="J851">
        <v>12</v>
      </c>
      <c r="K851">
        <v>7</v>
      </c>
      <c r="L851">
        <v>2</v>
      </c>
      <c r="M851" t="s">
        <v>25</v>
      </c>
      <c r="N851">
        <v>4</v>
      </c>
      <c r="O851">
        <v>29</v>
      </c>
      <c r="P851">
        <v>40</v>
      </c>
      <c r="Q851">
        <v>2</v>
      </c>
      <c r="R851">
        <v>3</v>
      </c>
      <c r="S851" t="s">
        <v>25</v>
      </c>
    </row>
    <row r="852" spans="1:19" x14ac:dyDescent="0.25">
      <c r="A852">
        <v>10851</v>
      </c>
      <c r="B852">
        <v>46</v>
      </c>
      <c r="C852" t="s">
        <v>31</v>
      </c>
      <c r="D852" t="s">
        <v>41</v>
      </c>
      <c r="E852" t="s">
        <v>33</v>
      </c>
      <c r="F852" t="s">
        <v>35</v>
      </c>
      <c r="G852" t="s">
        <v>38</v>
      </c>
      <c r="H852">
        <v>27753</v>
      </c>
      <c r="I852">
        <v>43025</v>
      </c>
      <c r="J852">
        <v>9</v>
      </c>
      <c r="K852">
        <v>9</v>
      </c>
      <c r="L852">
        <v>3</v>
      </c>
      <c r="M852" t="s">
        <v>25</v>
      </c>
      <c r="N852">
        <v>3</v>
      </c>
      <c r="O852">
        <v>27</v>
      </c>
      <c r="P852">
        <v>57</v>
      </c>
      <c r="Q852">
        <v>4</v>
      </c>
      <c r="R852">
        <v>3</v>
      </c>
      <c r="S852" t="s">
        <v>25</v>
      </c>
    </row>
    <row r="853" spans="1:19" x14ac:dyDescent="0.25">
      <c r="A853">
        <v>10852</v>
      </c>
      <c r="B853">
        <v>29</v>
      </c>
      <c r="C853" t="s">
        <v>19</v>
      </c>
      <c r="D853" t="s">
        <v>28</v>
      </c>
      <c r="E853" t="s">
        <v>36</v>
      </c>
      <c r="F853" t="s">
        <v>35</v>
      </c>
      <c r="G853" t="s">
        <v>38</v>
      </c>
      <c r="H853">
        <v>48659</v>
      </c>
      <c r="I853">
        <v>19337</v>
      </c>
      <c r="J853">
        <v>11</v>
      </c>
      <c r="K853">
        <v>14</v>
      </c>
      <c r="L853">
        <v>3</v>
      </c>
      <c r="M853" t="s">
        <v>25</v>
      </c>
      <c r="N853">
        <v>3</v>
      </c>
      <c r="O853">
        <v>1</v>
      </c>
      <c r="P853">
        <v>48</v>
      </c>
      <c r="Q853">
        <v>2</v>
      </c>
      <c r="R853">
        <v>2</v>
      </c>
      <c r="S853" t="s">
        <v>25</v>
      </c>
    </row>
    <row r="854" spans="1:19" x14ac:dyDescent="0.25">
      <c r="A854">
        <v>10853</v>
      </c>
      <c r="B854">
        <v>24</v>
      </c>
      <c r="C854" t="s">
        <v>31</v>
      </c>
      <c r="D854" t="s">
        <v>41</v>
      </c>
      <c r="E854" t="s">
        <v>33</v>
      </c>
      <c r="F854" t="s">
        <v>39</v>
      </c>
      <c r="G854" t="s">
        <v>38</v>
      </c>
      <c r="H854">
        <v>42689</v>
      </c>
      <c r="I854">
        <v>22778</v>
      </c>
      <c r="J854">
        <v>4</v>
      </c>
      <c r="K854">
        <v>9</v>
      </c>
      <c r="L854">
        <v>3</v>
      </c>
      <c r="M854" t="s">
        <v>25</v>
      </c>
      <c r="N854">
        <v>2</v>
      </c>
      <c r="O854">
        <v>5</v>
      </c>
      <c r="P854">
        <v>6</v>
      </c>
      <c r="Q854">
        <v>2</v>
      </c>
      <c r="R854">
        <v>2</v>
      </c>
      <c r="S854" t="s">
        <v>25</v>
      </c>
    </row>
    <row r="855" spans="1:19" x14ac:dyDescent="0.25">
      <c r="A855">
        <v>10854</v>
      </c>
      <c r="B855">
        <v>29</v>
      </c>
      <c r="C855" t="s">
        <v>19</v>
      </c>
      <c r="D855" t="s">
        <v>41</v>
      </c>
      <c r="E855" t="s">
        <v>27</v>
      </c>
      <c r="F855" t="s">
        <v>22</v>
      </c>
      <c r="G855" t="s">
        <v>23</v>
      </c>
      <c r="H855">
        <v>64313</v>
      </c>
      <c r="I855">
        <v>12876</v>
      </c>
      <c r="J855">
        <v>7</v>
      </c>
      <c r="K855">
        <v>4</v>
      </c>
      <c r="L855">
        <v>3</v>
      </c>
      <c r="M855" t="s">
        <v>25</v>
      </c>
      <c r="N855">
        <v>1</v>
      </c>
      <c r="O855">
        <v>22</v>
      </c>
      <c r="P855">
        <v>34</v>
      </c>
      <c r="Q855">
        <v>1</v>
      </c>
      <c r="R855">
        <v>3</v>
      </c>
      <c r="S855" t="s">
        <v>24</v>
      </c>
    </row>
    <row r="856" spans="1:19" x14ac:dyDescent="0.25">
      <c r="A856">
        <v>10855</v>
      </c>
      <c r="B856">
        <v>58</v>
      </c>
      <c r="C856" t="s">
        <v>19</v>
      </c>
      <c r="D856" t="s">
        <v>28</v>
      </c>
      <c r="E856" t="s">
        <v>33</v>
      </c>
      <c r="F856" t="s">
        <v>39</v>
      </c>
      <c r="G856" t="s">
        <v>30</v>
      </c>
      <c r="H856">
        <v>32101</v>
      </c>
      <c r="I856">
        <v>41908</v>
      </c>
      <c r="J856">
        <v>11</v>
      </c>
      <c r="K856">
        <v>6</v>
      </c>
      <c r="L856">
        <v>3</v>
      </c>
      <c r="M856" t="s">
        <v>25</v>
      </c>
      <c r="N856">
        <v>2</v>
      </c>
      <c r="O856">
        <v>15</v>
      </c>
      <c r="P856">
        <v>22</v>
      </c>
      <c r="Q856">
        <v>2</v>
      </c>
      <c r="R856">
        <v>4</v>
      </c>
      <c r="S856" t="s">
        <v>25</v>
      </c>
    </row>
    <row r="857" spans="1:19" x14ac:dyDescent="0.25">
      <c r="A857">
        <v>10856</v>
      </c>
      <c r="B857">
        <v>54</v>
      </c>
      <c r="C857" t="s">
        <v>19</v>
      </c>
      <c r="D857" t="s">
        <v>20</v>
      </c>
      <c r="E857" t="s">
        <v>29</v>
      </c>
      <c r="F857" t="s">
        <v>35</v>
      </c>
      <c r="G857" t="s">
        <v>38</v>
      </c>
      <c r="H857">
        <v>133042</v>
      </c>
      <c r="I857">
        <v>28688</v>
      </c>
      <c r="J857">
        <v>17</v>
      </c>
      <c r="K857">
        <v>1</v>
      </c>
      <c r="L857">
        <v>3</v>
      </c>
      <c r="M857" t="s">
        <v>24</v>
      </c>
      <c r="N857">
        <v>3</v>
      </c>
      <c r="O857">
        <v>11</v>
      </c>
      <c r="P857">
        <v>17</v>
      </c>
      <c r="Q857">
        <v>1</v>
      </c>
      <c r="R857">
        <v>4</v>
      </c>
      <c r="S857" t="s">
        <v>25</v>
      </c>
    </row>
    <row r="858" spans="1:19" x14ac:dyDescent="0.25">
      <c r="A858">
        <v>10857</v>
      </c>
      <c r="B858">
        <v>21</v>
      </c>
      <c r="C858" t="s">
        <v>19</v>
      </c>
      <c r="D858" t="s">
        <v>28</v>
      </c>
      <c r="E858" t="s">
        <v>36</v>
      </c>
      <c r="F858" t="s">
        <v>35</v>
      </c>
      <c r="G858" t="s">
        <v>30</v>
      </c>
      <c r="H858">
        <v>48747</v>
      </c>
      <c r="I858">
        <v>21458</v>
      </c>
      <c r="J858">
        <v>17</v>
      </c>
      <c r="K858">
        <v>5</v>
      </c>
      <c r="L858">
        <v>2</v>
      </c>
      <c r="M858" t="s">
        <v>25</v>
      </c>
      <c r="N858">
        <v>4</v>
      </c>
      <c r="O858">
        <v>19</v>
      </c>
      <c r="P858">
        <v>58</v>
      </c>
      <c r="Q858">
        <v>3</v>
      </c>
      <c r="R858">
        <v>3</v>
      </c>
      <c r="S858" t="s">
        <v>25</v>
      </c>
    </row>
    <row r="859" spans="1:19" x14ac:dyDescent="0.25">
      <c r="A859">
        <v>10858</v>
      </c>
      <c r="B859">
        <v>44</v>
      </c>
      <c r="C859" t="s">
        <v>19</v>
      </c>
      <c r="D859" t="s">
        <v>26</v>
      </c>
      <c r="E859" t="s">
        <v>27</v>
      </c>
      <c r="F859" t="s">
        <v>39</v>
      </c>
      <c r="G859" t="s">
        <v>30</v>
      </c>
      <c r="H859">
        <v>87142</v>
      </c>
      <c r="I859">
        <v>8167</v>
      </c>
      <c r="J859">
        <v>20</v>
      </c>
      <c r="K859">
        <v>14</v>
      </c>
      <c r="L859">
        <v>4</v>
      </c>
      <c r="M859" t="s">
        <v>25</v>
      </c>
      <c r="N859">
        <v>3</v>
      </c>
      <c r="O859">
        <v>4</v>
      </c>
      <c r="P859">
        <v>36</v>
      </c>
      <c r="Q859">
        <v>4</v>
      </c>
      <c r="R859">
        <v>1</v>
      </c>
      <c r="S859" t="s">
        <v>25</v>
      </c>
    </row>
    <row r="860" spans="1:19" x14ac:dyDescent="0.25">
      <c r="A860">
        <v>10859</v>
      </c>
      <c r="B860">
        <v>38</v>
      </c>
      <c r="C860" t="s">
        <v>31</v>
      </c>
      <c r="D860" t="s">
        <v>26</v>
      </c>
      <c r="E860" t="s">
        <v>27</v>
      </c>
      <c r="F860" t="s">
        <v>22</v>
      </c>
      <c r="G860" t="s">
        <v>38</v>
      </c>
      <c r="H860">
        <v>86597</v>
      </c>
      <c r="I860">
        <v>34710</v>
      </c>
      <c r="J860">
        <v>24</v>
      </c>
      <c r="K860">
        <v>14</v>
      </c>
      <c r="L860">
        <v>2</v>
      </c>
      <c r="M860" t="s">
        <v>25</v>
      </c>
      <c r="N860">
        <v>4</v>
      </c>
      <c r="O860">
        <v>28</v>
      </c>
      <c r="P860">
        <v>8</v>
      </c>
      <c r="Q860">
        <v>3</v>
      </c>
      <c r="R860">
        <v>3</v>
      </c>
      <c r="S860" t="s">
        <v>25</v>
      </c>
    </row>
    <row r="861" spans="1:19" x14ac:dyDescent="0.25">
      <c r="A861">
        <v>10860</v>
      </c>
      <c r="B861">
        <v>55</v>
      </c>
      <c r="C861" t="s">
        <v>19</v>
      </c>
      <c r="D861" t="s">
        <v>20</v>
      </c>
      <c r="E861" t="s">
        <v>21</v>
      </c>
      <c r="F861" t="s">
        <v>39</v>
      </c>
      <c r="G861" t="s">
        <v>30</v>
      </c>
      <c r="H861">
        <v>107507</v>
      </c>
      <c r="I861">
        <v>49483</v>
      </c>
      <c r="J861">
        <v>12</v>
      </c>
      <c r="K861">
        <v>8</v>
      </c>
      <c r="L861">
        <v>3</v>
      </c>
      <c r="M861" t="s">
        <v>25</v>
      </c>
      <c r="N861">
        <v>3</v>
      </c>
      <c r="O861">
        <v>39</v>
      </c>
      <c r="P861">
        <v>34</v>
      </c>
      <c r="Q861">
        <v>2</v>
      </c>
      <c r="R861">
        <v>2</v>
      </c>
      <c r="S861" t="s">
        <v>25</v>
      </c>
    </row>
    <row r="862" spans="1:19" x14ac:dyDescent="0.25">
      <c r="A862">
        <v>10861</v>
      </c>
      <c r="B862">
        <v>35</v>
      </c>
      <c r="C862" t="s">
        <v>19</v>
      </c>
      <c r="D862" t="s">
        <v>28</v>
      </c>
      <c r="E862" t="s">
        <v>27</v>
      </c>
      <c r="F862" t="s">
        <v>22</v>
      </c>
      <c r="G862" t="s">
        <v>30</v>
      </c>
      <c r="H862">
        <v>81624</v>
      </c>
      <c r="I862">
        <v>30493</v>
      </c>
      <c r="J862">
        <v>10</v>
      </c>
      <c r="K862">
        <v>3</v>
      </c>
      <c r="L862">
        <v>3</v>
      </c>
      <c r="M862" t="s">
        <v>25</v>
      </c>
      <c r="N862">
        <v>4</v>
      </c>
      <c r="O862">
        <v>3</v>
      </c>
      <c r="P862">
        <v>6</v>
      </c>
      <c r="Q862">
        <v>2</v>
      </c>
      <c r="R862">
        <v>2</v>
      </c>
      <c r="S862" t="s">
        <v>25</v>
      </c>
    </row>
    <row r="863" spans="1:19" x14ac:dyDescent="0.25">
      <c r="A863">
        <v>10862</v>
      </c>
      <c r="B863">
        <v>38</v>
      </c>
      <c r="C863" t="s">
        <v>31</v>
      </c>
      <c r="D863" t="s">
        <v>32</v>
      </c>
      <c r="E863" t="s">
        <v>33</v>
      </c>
      <c r="F863" t="s">
        <v>22</v>
      </c>
      <c r="G863" t="s">
        <v>30</v>
      </c>
      <c r="H863">
        <v>38622</v>
      </c>
      <c r="I863">
        <v>10707</v>
      </c>
      <c r="J863">
        <v>24</v>
      </c>
      <c r="K863">
        <v>4</v>
      </c>
      <c r="L863">
        <v>4</v>
      </c>
      <c r="M863" t="s">
        <v>25</v>
      </c>
      <c r="N863">
        <v>3</v>
      </c>
      <c r="O863">
        <v>7</v>
      </c>
      <c r="P863">
        <v>21</v>
      </c>
      <c r="Q863">
        <v>2</v>
      </c>
      <c r="R863">
        <v>2</v>
      </c>
      <c r="S863" t="s">
        <v>25</v>
      </c>
    </row>
    <row r="864" spans="1:19" x14ac:dyDescent="0.25">
      <c r="A864">
        <v>10863</v>
      </c>
      <c r="B864">
        <v>30</v>
      </c>
      <c r="C864" t="s">
        <v>31</v>
      </c>
      <c r="D864" t="s">
        <v>32</v>
      </c>
      <c r="E864" t="s">
        <v>21</v>
      </c>
      <c r="F864" t="s">
        <v>39</v>
      </c>
      <c r="G864" t="s">
        <v>30</v>
      </c>
      <c r="H864">
        <v>117126</v>
      </c>
      <c r="I864">
        <v>23371</v>
      </c>
      <c r="J864">
        <v>7</v>
      </c>
      <c r="K864">
        <v>2</v>
      </c>
      <c r="L864">
        <v>5</v>
      </c>
      <c r="M864" t="s">
        <v>25</v>
      </c>
      <c r="N864">
        <v>3</v>
      </c>
      <c r="O864">
        <v>29</v>
      </c>
      <c r="P864">
        <v>51</v>
      </c>
      <c r="Q864">
        <v>4</v>
      </c>
      <c r="R864">
        <v>3</v>
      </c>
      <c r="S864" t="s">
        <v>25</v>
      </c>
    </row>
    <row r="865" spans="1:19" x14ac:dyDescent="0.25">
      <c r="A865">
        <v>10864</v>
      </c>
      <c r="B865">
        <v>22</v>
      </c>
      <c r="C865" t="s">
        <v>19</v>
      </c>
      <c r="D865" t="s">
        <v>34</v>
      </c>
      <c r="E865" t="s">
        <v>33</v>
      </c>
      <c r="F865" t="s">
        <v>39</v>
      </c>
      <c r="G865" t="s">
        <v>23</v>
      </c>
      <c r="H865">
        <v>35262</v>
      </c>
      <c r="I865">
        <v>17238</v>
      </c>
      <c r="J865">
        <v>0</v>
      </c>
      <c r="K865">
        <v>8</v>
      </c>
      <c r="L865">
        <v>2</v>
      </c>
      <c r="M865" t="s">
        <v>25</v>
      </c>
      <c r="N865">
        <v>3</v>
      </c>
      <c r="O865">
        <v>29</v>
      </c>
      <c r="P865">
        <v>14</v>
      </c>
      <c r="Q865">
        <v>4</v>
      </c>
      <c r="R865">
        <v>4</v>
      </c>
      <c r="S865" t="s">
        <v>25</v>
      </c>
    </row>
    <row r="866" spans="1:19" x14ac:dyDescent="0.25">
      <c r="A866">
        <v>10865</v>
      </c>
      <c r="B866">
        <v>50</v>
      </c>
      <c r="C866" t="s">
        <v>19</v>
      </c>
      <c r="D866" t="s">
        <v>20</v>
      </c>
      <c r="E866" t="s">
        <v>36</v>
      </c>
      <c r="F866" t="s">
        <v>39</v>
      </c>
      <c r="G866" t="s">
        <v>38</v>
      </c>
      <c r="H866">
        <v>51846</v>
      </c>
      <c r="I866">
        <v>44200</v>
      </c>
      <c r="J866">
        <v>15</v>
      </c>
      <c r="K866">
        <v>7</v>
      </c>
      <c r="L866">
        <v>4</v>
      </c>
      <c r="M866" t="s">
        <v>24</v>
      </c>
      <c r="N866">
        <v>2</v>
      </c>
      <c r="O866">
        <v>28</v>
      </c>
      <c r="P866">
        <v>16</v>
      </c>
      <c r="Q866">
        <v>4</v>
      </c>
      <c r="R866">
        <v>4</v>
      </c>
      <c r="S866" t="s">
        <v>25</v>
      </c>
    </row>
    <row r="867" spans="1:19" x14ac:dyDescent="0.25">
      <c r="A867">
        <v>10866</v>
      </c>
      <c r="B867">
        <v>55</v>
      </c>
      <c r="C867" t="s">
        <v>19</v>
      </c>
      <c r="D867" t="s">
        <v>26</v>
      </c>
      <c r="E867" t="s">
        <v>33</v>
      </c>
      <c r="F867" t="s">
        <v>39</v>
      </c>
      <c r="G867" t="s">
        <v>30</v>
      </c>
      <c r="H867">
        <v>35362</v>
      </c>
      <c r="I867">
        <v>29639</v>
      </c>
      <c r="J867">
        <v>23</v>
      </c>
      <c r="K867">
        <v>7</v>
      </c>
      <c r="L867">
        <v>1</v>
      </c>
      <c r="M867" t="s">
        <v>25</v>
      </c>
      <c r="N867">
        <v>2</v>
      </c>
      <c r="O867">
        <v>9</v>
      </c>
      <c r="P867">
        <v>7</v>
      </c>
      <c r="Q867">
        <v>3</v>
      </c>
      <c r="R867">
        <v>1</v>
      </c>
      <c r="S867" t="s">
        <v>24</v>
      </c>
    </row>
    <row r="868" spans="1:19" x14ac:dyDescent="0.25">
      <c r="A868">
        <v>10867</v>
      </c>
      <c r="B868">
        <v>45</v>
      </c>
      <c r="C868" t="s">
        <v>31</v>
      </c>
      <c r="D868" t="s">
        <v>26</v>
      </c>
      <c r="E868" t="s">
        <v>36</v>
      </c>
      <c r="F868" t="s">
        <v>39</v>
      </c>
      <c r="G868" t="s">
        <v>30</v>
      </c>
      <c r="H868">
        <v>45527</v>
      </c>
      <c r="I868">
        <v>28140</v>
      </c>
      <c r="J868">
        <v>14</v>
      </c>
      <c r="K868">
        <v>5</v>
      </c>
      <c r="L868">
        <v>3</v>
      </c>
      <c r="M868" t="s">
        <v>25</v>
      </c>
      <c r="N868">
        <v>3</v>
      </c>
      <c r="O868">
        <v>2</v>
      </c>
      <c r="P868">
        <v>48</v>
      </c>
      <c r="Q868">
        <v>3</v>
      </c>
      <c r="R868">
        <v>3</v>
      </c>
      <c r="S868" t="s">
        <v>25</v>
      </c>
    </row>
    <row r="869" spans="1:19" x14ac:dyDescent="0.25">
      <c r="A869">
        <v>10868</v>
      </c>
      <c r="B869">
        <v>43</v>
      </c>
      <c r="C869" t="s">
        <v>31</v>
      </c>
      <c r="D869" t="s">
        <v>32</v>
      </c>
      <c r="E869" t="s">
        <v>36</v>
      </c>
      <c r="F869" t="s">
        <v>37</v>
      </c>
      <c r="G869" t="s">
        <v>38</v>
      </c>
      <c r="H869">
        <v>65332</v>
      </c>
      <c r="I869">
        <v>21305</v>
      </c>
      <c r="J869">
        <v>15</v>
      </c>
      <c r="K869">
        <v>6</v>
      </c>
      <c r="L869">
        <v>2</v>
      </c>
      <c r="M869" t="s">
        <v>25</v>
      </c>
      <c r="N869">
        <v>2</v>
      </c>
      <c r="O869">
        <v>4</v>
      </c>
      <c r="P869">
        <v>18</v>
      </c>
      <c r="Q869">
        <v>3</v>
      </c>
      <c r="R869">
        <v>2</v>
      </c>
      <c r="S869" t="s">
        <v>25</v>
      </c>
    </row>
    <row r="870" spans="1:19" x14ac:dyDescent="0.25">
      <c r="A870">
        <v>10869</v>
      </c>
      <c r="B870">
        <v>33</v>
      </c>
      <c r="C870" t="s">
        <v>19</v>
      </c>
      <c r="D870" t="s">
        <v>32</v>
      </c>
      <c r="E870" t="s">
        <v>33</v>
      </c>
      <c r="F870" t="s">
        <v>37</v>
      </c>
      <c r="G870" t="s">
        <v>23</v>
      </c>
      <c r="H870">
        <v>43276</v>
      </c>
      <c r="I870">
        <v>26445</v>
      </c>
      <c r="J870">
        <v>16</v>
      </c>
      <c r="K870">
        <v>1</v>
      </c>
      <c r="L870">
        <v>5</v>
      </c>
      <c r="M870" t="s">
        <v>25</v>
      </c>
      <c r="N870">
        <v>1</v>
      </c>
      <c r="O870">
        <v>14</v>
      </c>
      <c r="P870">
        <v>13</v>
      </c>
      <c r="Q870">
        <v>3</v>
      </c>
      <c r="R870">
        <v>4</v>
      </c>
      <c r="S870" t="s">
        <v>24</v>
      </c>
    </row>
    <row r="871" spans="1:19" x14ac:dyDescent="0.25">
      <c r="A871">
        <v>10870</v>
      </c>
      <c r="B871">
        <v>42</v>
      </c>
      <c r="C871" t="s">
        <v>31</v>
      </c>
      <c r="D871" t="s">
        <v>32</v>
      </c>
      <c r="E871" t="s">
        <v>33</v>
      </c>
      <c r="F871" t="s">
        <v>39</v>
      </c>
      <c r="G871" t="s">
        <v>38</v>
      </c>
      <c r="H871">
        <v>31412</v>
      </c>
      <c r="I871">
        <v>5743</v>
      </c>
      <c r="J871">
        <v>14</v>
      </c>
      <c r="K871">
        <v>7</v>
      </c>
      <c r="L871">
        <v>4</v>
      </c>
      <c r="M871" t="s">
        <v>25</v>
      </c>
      <c r="N871">
        <v>1</v>
      </c>
      <c r="O871">
        <v>14</v>
      </c>
      <c r="P871">
        <v>46</v>
      </c>
      <c r="Q871">
        <v>4</v>
      </c>
      <c r="R871">
        <v>3</v>
      </c>
      <c r="S871" t="s">
        <v>25</v>
      </c>
    </row>
    <row r="872" spans="1:19" x14ac:dyDescent="0.25">
      <c r="A872">
        <v>10871</v>
      </c>
      <c r="B872">
        <v>47</v>
      </c>
      <c r="C872" t="s">
        <v>31</v>
      </c>
      <c r="D872" t="s">
        <v>32</v>
      </c>
      <c r="E872" t="s">
        <v>36</v>
      </c>
      <c r="F872" t="s">
        <v>35</v>
      </c>
      <c r="G872" t="s">
        <v>30</v>
      </c>
      <c r="H872">
        <v>58107</v>
      </c>
      <c r="I872">
        <v>49814</v>
      </c>
      <c r="J872">
        <v>7</v>
      </c>
      <c r="K872">
        <v>14</v>
      </c>
      <c r="L872">
        <v>3</v>
      </c>
      <c r="M872" t="s">
        <v>25</v>
      </c>
      <c r="N872">
        <v>4</v>
      </c>
      <c r="O872">
        <v>30</v>
      </c>
      <c r="P872">
        <v>20</v>
      </c>
      <c r="Q872">
        <v>1</v>
      </c>
      <c r="R872">
        <v>1</v>
      </c>
      <c r="S872" t="s">
        <v>25</v>
      </c>
    </row>
    <row r="873" spans="1:19" x14ac:dyDescent="0.25">
      <c r="A873">
        <v>10872</v>
      </c>
      <c r="B873">
        <v>46</v>
      </c>
      <c r="C873" t="s">
        <v>31</v>
      </c>
      <c r="D873" t="s">
        <v>34</v>
      </c>
      <c r="E873" t="s">
        <v>33</v>
      </c>
      <c r="F873" t="s">
        <v>22</v>
      </c>
      <c r="G873" t="s">
        <v>30</v>
      </c>
      <c r="H873">
        <v>27938</v>
      </c>
      <c r="I873">
        <v>10015</v>
      </c>
      <c r="J873">
        <v>20</v>
      </c>
      <c r="K873">
        <v>12</v>
      </c>
      <c r="L873">
        <v>3</v>
      </c>
      <c r="M873" t="s">
        <v>25</v>
      </c>
      <c r="N873">
        <v>4</v>
      </c>
      <c r="O873">
        <v>31</v>
      </c>
      <c r="P873">
        <v>41</v>
      </c>
      <c r="Q873">
        <v>4</v>
      </c>
      <c r="R873">
        <v>4</v>
      </c>
      <c r="S873" t="s">
        <v>25</v>
      </c>
    </row>
    <row r="874" spans="1:19" x14ac:dyDescent="0.25">
      <c r="A874">
        <v>10873</v>
      </c>
      <c r="B874">
        <v>36</v>
      </c>
      <c r="C874" t="s">
        <v>19</v>
      </c>
      <c r="D874" t="s">
        <v>20</v>
      </c>
      <c r="E874" t="s">
        <v>33</v>
      </c>
      <c r="F874" t="s">
        <v>35</v>
      </c>
      <c r="G874" t="s">
        <v>38</v>
      </c>
      <c r="H874">
        <v>25178</v>
      </c>
      <c r="I874">
        <v>43715</v>
      </c>
      <c r="J874">
        <v>10</v>
      </c>
      <c r="K874">
        <v>14</v>
      </c>
      <c r="L874">
        <v>3</v>
      </c>
      <c r="M874" t="s">
        <v>24</v>
      </c>
      <c r="N874">
        <v>3</v>
      </c>
      <c r="O874">
        <v>23</v>
      </c>
      <c r="P874">
        <v>35</v>
      </c>
      <c r="Q874">
        <v>2</v>
      </c>
      <c r="R874">
        <v>3</v>
      </c>
      <c r="S874" t="s">
        <v>25</v>
      </c>
    </row>
    <row r="875" spans="1:19" x14ac:dyDescent="0.25">
      <c r="A875">
        <v>10874</v>
      </c>
      <c r="B875">
        <v>47</v>
      </c>
      <c r="C875" t="s">
        <v>19</v>
      </c>
      <c r="D875" t="s">
        <v>41</v>
      </c>
      <c r="E875" t="s">
        <v>36</v>
      </c>
      <c r="F875" t="s">
        <v>39</v>
      </c>
      <c r="G875" t="s">
        <v>38</v>
      </c>
      <c r="H875">
        <v>69255</v>
      </c>
      <c r="I875">
        <v>1903</v>
      </c>
      <c r="J875">
        <v>1</v>
      </c>
      <c r="K875">
        <v>2</v>
      </c>
      <c r="L875">
        <v>4</v>
      </c>
      <c r="M875" t="s">
        <v>25</v>
      </c>
      <c r="N875">
        <v>2</v>
      </c>
      <c r="O875">
        <v>1</v>
      </c>
      <c r="P875">
        <v>55</v>
      </c>
      <c r="Q875">
        <v>4</v>
      </c>
      <c r="R875">
        <v>2</v>
      </c>
      <c r="S875" t="s">
        <v>25</v>
      </c>
    </row>
    <row r="876" spans="1:19" x14ac:dyDescent="0.25">
      <c r="A876">
        <v>10875</v>
      </c>
      <c r="B876">
        <v>25</v>
      </c>
      <c r="C876" t="s">
        <v>19</v>
      </c>
      <c r="D876" t="s">
        <v>32</v>
      </c>
      <c r="E876" t="s">
        <v>36</v>
      </c>
      <c r="F876" t="s">
        <v>35</v>
      </c>
      <c r="G876" t="s">
        <v>30</v>
      </c>
      <c r="H876">
        <v>50776</v>
      </c>
      <c r="I876">
        <v>33181</v>
      </c>
      <c r="J876">
        <v>4</v>
      </c>
      <c r="K876">
        <v>11</v>
      </c>
      <c r="L876">
        <v>2</v>
      </c>
      <c r="M876" t="s">
        <v>25</v>
      </c>
      <c r="N876">
        <v>3</v>
      </c>
      <c r="O876">
        <v>3</v>
      </c>
      <c r="P876">
        <v>16</v>
      </c>
      <c r="Q876">
        <v>1</v>
      </c>
      <c r="R876">
        <v>2</v>
      </c>
      <c r="S876" t="s">
        <v>24</v>
      </c>
    </row>
    <row r="877" spans="1:19" x14ac:dyDescent="0.25">
      <c r="A877">
        <v>10876</v>
      </c>
      <c r="B877">
        <v>54</v>
      </c>
      <c r="C877" t="s">
        <v>19</v>
      </c>
      <c r="D877" t="s">
        <v>20</v>
      </c>
      <c r="E877" t="s">
        <v>33</v>
      </c>
      <c r="F877" t="s">
        <v>39</v>
      </c>
      <c r="G877" t="s">
        <v>38</v>
      </c>
      <c r="H877">
        <v>30392</v>
      </c>
      <c r="I877">
        <v>33937</v>
      </c>
      <c r="J877">
        <v>17</v>
      </c>
      <c r="K877">
        <v>13</v>
      </c>
      <c r="L877">
        <v>3</v>
      </c>
      <c r="M877" t="s">
        <v>24</v>
      </c>
      <c r="N877">
        <v>4</v>
      </c>
      <c r="O877">
        <v>37</v>
      </c>
      <c r="P877">
        <v>31</v>
      </c>
      <c r="Q877">
        <v>3</v>
      </c>
      <c r="R877">
        <v>3</v>
      </c>
      <c r="S877" t="s">
        <v>25</v>
      </c>
    </row>
    <row r="878" spans="1:19" x14ac:dyDescent="0.25">
      <c r="A878">
        <v>10877</v>
      </c>
      <c r="B878">
        <v>34</v>
      </c>
      <c r="C878" t="s">
        <v>19</v>
      </c>
      <c r="D878" t="s">
        <v>41</v>
      </c>
      <c r="E878" t="s">
        <v>33</v>
      </c>
      <c r="F878" t="s">
        <v>35</v>
      </c>
      <c r="G878" t="s">
        <v>23</v>
      </c>
      <c r="H878">
        <v>34537</v>
      </c>
      <c r="I878">
        <v>41971</v>
      </c>
      <c r="J878">
        <v>21</v>
      </c>
      <c r="K878">
        <v>13</v>
      </c>
      <c r="L878">
        <v>5</v>
      </c>
      <c r="M878" t="s">
        <v>25</v>
      </c>
      <c r="N878">
        <v>4</v>
      </c>
      <c r="O878">
        <v>15</v>
      </c>
      <c r="P878">
        <v>16</v>
      </c>
      <c r="Q878">
        <v>2</v>
      </c>
      <c r="R878">
        <v>3</v>
      </c>
      <c r="S878" t="s">
        <v>25</v>
      </c>
    </row>
    <row r="879" spans="1:19" x14ac:dyDescent="0.25">
      <c r="A879">
        <v>10878</v>
      </c>
      <c r="B879">
        <v>22</v>
      </c>
      <c r="C879" t="s">
        <v>19</v>
      </c>
      <c r="D879" t="s">
        <v>20</v>
      </c>
      <c r="E879" t="s">
        <v>33</v>
      </c>
      <c r="F879" t="s">
        <v>39</v>
      </c>
      <c r="G879" t="s">
        <v>38</v>
      </c>
      <c r="H879">
        <v>36817</v>
      </c>
      <c r="I879">
        <v>27240</v>
      </c>
      <c r="J879">
        <v>15</v>
      </c>
      <c r="K879">
        <v>14</v>
      </c>
      <c r="L879">
        <v>3</v>
      </c>
      <c r="M879" t="s">
        <v>24</v>
      </c>
      <c r="N879">
        <v>3</v>
      </c>
      <c r="O879">
        <v>18</v>
      </c>
      <c r="P879">
        <v>51</v>
      </c>
      <c r="Q879">
        <v>2</v>
      </c>
      <c r="R879">
        <v>4</v>
      </c>
      <c r="S879" t="s">
        <v>25</v>
      </c>
    </row>
    <row r="880" spans="1:19" x14ac:dyDescent="0.25">
      <c r="A880">
        <v>10879</v>
      </c>
      <c r="B880">
        <v>54</v>
      </c>
      <c r="C880" t="s">
        <v>19</v>
      </c>
      <c r="D880" t="s">
        <v>28</v>
      </c>
      <c r="E880" t="s">
        <v>21</v>
      </c>
      <c r="F880" t="s">
        <v>22</v>
      </c>
      <c r="G880" t="s">
        <v>30</v>
      </c>
      <c r="H880">
        <v>110334</v>
      </c>
      <c r="I880">
        <v>35069</v>
      </c>
      <c r="J880">
        <v>0</v>
      </c>
      <c r="K880">
        <v>6</v>
      </c>
      <c r="L880">
        <v>3</v>
      </c>
      <c r="M880" t="s">
        <v>25</v>
      </c>
      <c r="N880">
        <v>3</v>
      </c>
      <c r="O880">
        <v>23</v>
      </c>
      <c r="P880">
        <v>52</v>
      </c>
      <c r="Q880">
        <v>2</v>
      </c>
      <c r="R880">
        <v>1</v>
      </c>
      <c r="S880" t="s">
        <v>25</v>
      </c>
    </row>
    <row r="881" spans="1:19" x14ac:dyDescent="0.25">
      <c r="A881">
        <v>10880</v>
      </c>
      <c r="B881">
        <v>38</v>
      </c>
      <c r="C881" t="s">
        <v>31</v>
      </c>
      <c r="D881" t="s">
        <v>34</v>
      </c>
      <c r="E881" t="s">
        <v>40</v>
      </c>
      <c r="F881" t="s">
        <v>35</v>
      </c>
      <c r="G881" t="s">
        <v>30</v>
      </c>
      <c r="H881">
        <v>17921</v>
      </c>
      <c r="I881">
        <v>9684</v>
      </c>
      <c r="J881">
        <v>15</v>
      </c>
      <c r="K881">
        <v>2</v>
      </c>
      <c r="L881">
        <v>2</v>
      </c>
      <c r="M881" t="s">
        <v>24</v>
      </c>
      <c r="N881">
        <v>3</v>
      </c>
      <c r="O881">
        <v>10</v>
      </c>
      <c r="P881">
        <v>25</v>
      </c>
      <c r="Q881">
        <v>2</v>
      </c>
      <c r="R881">
        <v>3</v>
      </c>
      <c r="S881" t="s">
        <v>25</v>
      </c>
    </row>
    <row r="882" spans="1:19" x14ac:dyDescent="0.25">
      <c r="A882">
        <v>10881</v>
      </c>
      <c r="B882">
        <v>24</v>
      </c>
      <c r="C882" t="s">
        <v>19</v>
      </c>
      <c r="D882" t="s">
        <v>20</v>
      </c>
      <c r="E882" t="s">
        <v>33</v>
      </c>
      <c r="F882" t="s">
        <v>39</v>
      </c>
      <c r="G882" t="s">
        <v>38</v>
      </c>
      <c r="H882">
        <v>32139</v>
      </c>
      <c r="I882">
        <v>29815</v>
      </c>
      <c r="J882">
        <v>22</v>
      </c>
      <c r="K882">
        <v>7</v>
      </c>
      <c r="L882">
        <v>3</v>
      </c>
      <c r="M882" t="s">
        <v>25</v>
      </c>
      <c r="N882">
        <v>2</v>
      </c>
      <c r="O882">
        <v>12</v>
      </c>
      <c r="P882">
        <v>17</v>
      </c>
      <c r="Q882">
        <v>3</v>
      </c>
      <c r="R882">
        <v>3</v>
      </c>
      <c r="S882" t="s">
        <v>25</v>
      </c>
    </row>
    <row r="883" spans="1:19" x14ac:dyDescent="0.25">
      <c r="A883">
        <v>10882</v>
      </c>
      <c r="B883">
        <v>30</v>
      </c>
      <c r="C883" t="s">
        <v>19</v>
      </c>
      <c r="D883" t="s">
        <v>20</v>
      </c>
      <c r="E883" t="s">
        <v>21</v>
      </c>
      <c r="F883" t="s">
        <v>39</v>
      </c>
      <c r="G883" t="s">
        <v>30</v>
      </c>
      <c r="H883">
        <v>99524</v>
      </c>
      <c r="I883">
        <v>18402</v>
      </c>
      <c r="J883">
        <v>18</v>
      </c>
      <c r="K883">
        <v>11</v>
      </c>
      <c r="L883">
        <v>3</v>
      </c>
      <c r="M883" t="s">
        <v>25</v>
      </c>
      <c r="N883">
        <v>4</v>
      </c>
      <c r="O883">
        <v>17</v>
      </c>
      <c r="P883">
        <v>42</v>
      </c>
      <c r="Q883">
        <v>2</v>
      </c>
      <c r="R883">
        <v>1</v>
      </c>
      <c r="S883" t="s">
        <v>25</v>
      </c>
    </row>
    <row r="884" spans="1:19" x14ac:dyDescent="0.25">
      <c r="A884">
        <v>10883</v>
      </c>
      <c r="B884">
        <v>52</v>
      </c>
      <c r="C884" t="s">
        <v>19</v>
      </c>
      <c r="D884" t="s">
        <v>20</v>
      </c>
      <c r="E884" t="s">
        <v>33</v>
      </c>
      <c r="F884" t="s">
        <v>22</v>
      </c>
      <c r="G884" t="s">
        <v>38</v>
      </c>
      <c r="H884">
        <v>36683</v>
      </c>
      <c r="I884">
        <v>44735</v>
      </c>
      <c r="J884">
        <v>17</v>
      </c>
      <c r="K884">
        <v>14</v>
      </c>
      <c r="L884">
        <v>2</v>
      </c>
      <c r="M884" t="s">
        <v>24</v>
      </c>
      <c r="N884">
        <v>3</v>
      </c>
      <c r="O884">
        <v>24</v>
      </c>
      <c r="P884">
        <v>33</v>
      </c>
      <c r="Q884">
        <v>3</v>
      </c>
      <c r="R884">
        <v>3</v>
      </c>
      <c r="S884" t="s">
        <v>25</v>
      </c>
    </row>
    <row r="885" spans="1:19" x14ac:dyDescent="0.25">
      <c r="A885">
        <v>10884</v>
      </c>
      <c r="B885">
        <v>46</v>
      </c>
      <c r="C885" t="s">
        <v>19</v>
      </c>
      <c r="D885" t="s">
        <v>32</v>
      </c>
      <c r="E885" t="s">
        <v>36</v>
      </c>
      <c r="F885" t="s">
        <v>22</v>
      </c>
      <c r="G885" t="s">
        <v>30</v>
      </c>
      <c r="H885">
        <v>66249</v>
      </c>
      <c r="I885">
        <v>2675</v>
      </c>
      <c r="J885">
        <v>16</v>
      </c>
      <c r="K885">
        <v>2</v>
      </c>
      <c r="L885">
        <v>3</v>
      </c>
      <c r="M885" t="s">
        <v>25</v>
      </c>
      <c r="N885">
        <v>3</v>
      </c>
      <c r="O885">
        <v>21</v>
      </c>
      <c r="P885">
        <v>57</v>
      </c>
      <c r="Q885">
        <v>2</v>
      </c>
      <c r="R885">
        <v>3</v>
      </c>
      <c r="S885" t="s">
        <v>25</v>
      </c>
    </row>
    <row r="886" spans="1:19" x14ac:dyDescent="0.25">
      <c r="A886">
        <v>10885</v>
      </c>
      <c r="B886">
        <v>50</v>
      </c>
      <c r="C886" t="s">
        <v>19</v>
      </c>
      <c r="D886" t="s">
        <v>20</v>
      </c>
      <c r="E886" t="s">
        <v>33</v>
      </c>
      <c r="F886" t="s">
        <v>22</v>
      </c>
      <c r="G886" t="s">
        <v>30</v>
      </c>
      <c r="H886">
        <v>39985</v>
      </c>
      <c r="I886">
        <v>17221</v>
      </c>
      <c r="J886">
        <v>13</v>
      </c>
      <c r="K886">
        <v>9</v>
      </c>
      <c r="L886">
        <v>3</v>
      </c>
      <c r="M886" t="s">
        <v>24</v>
      </c>
      <c r="N886">
        <v>3</v>
      </c>
      <c r="O886">
        <v>39</v>
      </c>
      <c r="P886">
        <v>38</v>
      </c>
      <c r="Q886">
        <v>3</v>
      </c>
      <c r="R886">
        <v>2</v>
      </c>
      <c r="S886" t="s">
        <v>25</v>
      </c>
    </row>
    <row r="887" spans="1:19" x14ac:dyDescent="0.25">
      <c r="A887">
        <v>10886</v>
      </c>
      <c r="B887">
        <v>30</v>
      </c>
      <c r="C887" t="s">
        <v>31</v>
      </c>
      <c r="D887" t="s">
        <v>41</v>
      </c>
      <c r="E887" t="s">
        <v>36</v>
      </c>
      <c r="F887" t="s">
        <v>39</v>
      </c>
      <c r="G887" t="s">
        <v>30</v>
      </c>
      <c r="H887">
        <v>51372</v>
      </c>
      <c r="I887">
        <v>41233</v>
      </c>
      <c r="J887">
        <v>13</v>
      </c>
      <c r="K887">
        <v>12</v>
      </c>
      <c r="L887">
        <v>2</v>
      </c>
      <c r="M887" t="s">
        <v>25</v>
      </c>
      <c r="N887">
        <v>3</v>
      </c>
      <c r="O887">
        <v>16</v>
      </c>
      <c r="P887">
        <v>47</v>
      </c>
      <c r="Q887">
        <v>2</v>
      </c>
      <c r="R887">
        <v>3</v>
      </c>
      <c r="S887" t="s">
        <v>25</v>
      </c>
    </row>
    <row r="888" spans="1:19" x14ac:dyDescent="0.25">
      <c r="A888">
        <v>10887</v>
      </c>
      <c r="B888">
        <v>40</v>
      </c>
      <c r="C888" t="s">
        <v>19</v>
      </c>
      <c r="D888" t="s">
        <v>20</v>
      </c>
      <c r="E888" t="s">
        <v>27</v>
      </c>
      <c r="F888" t="s">
        <v>39</v>
      </c>
      <c r="G888" t="s">
        <v>38</v>
      </c>
      <c r="H888">
        <v>60637</v>
      </c>
      <c r="I888">
        <v>47735</v>
      </c>
      <c r="J888">
        <v>22</v>
      </c>
      <c r="K888">
        <v>10</v>
      </c>
      <c r="L888">
        <v>3</v>
      </c>
      <c r="M888" t="s">
        <v>25</v>
      </c>
      <c r="N888">
        <v>1</v>
      </c>
      <c r="O888">
        <v>12</v>
      </c>
      <c r="P888">
        <v>36</v>
      </c>
      <c r="Q888">
        <v>1</v>
      </c>
      <c r="R888">
        <v>3</v>
      </c>
      <c r="S888" t="s">
        <v>24</v>
      </c>
    </row>
    <row r="889" spans="1:19" x14ac:dyDescent="0.25">
      <c r="A889">
        <v>10888</v>
      </c>
      <c r="B889">
        <v>41</v>
      </c>
      <c r="C889" t="s">
        <v>31</v>
      </c>
      <c r="D889" t="s">
        <v>26</v>
      </c>
      <c r="E889" t="s">
        <v>27</v>
      </c>
      <c r="F889" t="s">
        <v>35</v>
      </c>
      <c r="G889" t="s">
        <v>30</v>
      </c>
      <c r="H889">
        <v>84795</v>
      </c>
      <c r="I889">
        <v>37096</v>
      </c>
      <c r="J889">
        <v>18</v>
      </c>
      <c r="K889">
        <v>9</v>
      </c>
      <c r="L889">
        <v>3</v>
      </c>
      <c r="M889" t="s">
        <v>25</v>
      </c>
      <c r="N889">
        <v>1</v>
      </c>
      <c r="O889">
        <v>14</v>
      </c>
      <c r="P889">
        <v>35</v>
      </c>
      <c r="Q889">
        <v>4</v>
      </c>
      <c r="R889">
        <v>1</v>
      </c>
      <c r="S889" t="s">
        <v>25</v>
      </c>
    </row>
    <row r="890" spans="1:19" x14ac:dyDescent="0.25">
      <c r="A890">
        <v>10889</v>
      </c>
      <c r="B890">
        <v>27</v>
      </c>
      <c r="C890" t="s">
        <v>31</v>
      </c>
      <c r="D890" t="s">
        <v>34</v>
      </c>
      <c r="E890" t="s">
        <v>33</v>
      </c>
      <c r="F890" t="s">
        <v>22</v>
      </c>
      <c r="G890" t="s">
        <v>38</v>
      </c>
      <c r="H890">
        <v>38446</v>
      </c>
      <c r="I890">
        <v>13570</v>
      </c>
      <c r="J890">
        <v>20</v>
      </c>
      <c r="K890">
        <v>11</v>
      </c>
      <c r="L890">
        <v>3</v>
      </c>
      <c r="M890" t="s">
        <v>25</v>
      </c>
      <c r="N890">
        <v>1</v>
      </c>
      <c r="O890">
        <v>3</v>
      </c>
      <c r="P890">
        <v>8</v>
      </c>
      <c r="Q890">
        <v>1</v>
      </c>
      <c r="R890">
        <v>4</v>
      </c>
      <c r="S890" t="s">
        <v>25</v>
      </c>
    </row>
    <row r="891" spans="1:19" x14ac:dyDescent="0.25">
      <c r="A891">
        <v>10890</v>
      </c>
      <c r="B891">
        <v>42</v>
      </c>
      <c r="C891" t="s">
        <v>19</v>
      </c>
      <c r="D891" t="s">
        <v>32</v>
      </c>
      <c r="E891" t="s">
        <v>27</v>
      </c>
      <c r="F891" t="s">
        <v>39</v>
      </c>
      <c r="G891" t="s">
        <v>38</v>
      </c>
      <c r="H891">
        <v>63642</v>
      </c>
      <c r="I891">
        <v>7806</v>
      </c>
      <c r="J891">
        <v>21</v>
      </c>
      <c r="K891">
        <v>6</v>
      </c>
      <c r="L891">
        <v>3</v>
      </c>
      <c r="M891" t="s">
        <v>25</v>
      </c>
      <c r="N891">
        <v>4</v>
      </c>
      <c r="O891">
        <v>21</v>
      </c>
      <c r="P891">
        <v>49</v>
      </c>
      <c r="Q891">
        <v>1</v>
      </c>
      <c r="R891">
        <v>4</v>
      </c>
      <c r="S891" t="s">
        <v>24</v>
      </c>
    </row>
    <row r="892" spans="1:19" x14ac:dyDescent="0.25">
      <c r="A892">
        <v>10891</v>
      </c>
      <c r="B892">
        <v>45</v>
      </c>
      <c r="C892" t="s">
        <v>31</v>
      </c>
      <c r="D892" t="s">
        <v>20</v>
      </c>
      <c r="E892" t="s">
        <v>33</v>
      </c>
      <c r="F892" t="s">
        <v>22</v>
      </c>
      <c r="G892" t="s">
        <v>30</v>
      </c>
      <c r="H892">
        <v>33774</v>
      </c>
      <c r="I892">
        <v>10372</v>
      </c>
      <c r="J892">
        <v>18</v>
      </c>
      <c r="K892">
        <v>2</v>
      </c>
      <c r="L892">
        <v>3</v>
      </c>
      <c r="M892" t="s">
        <v>25</v>
      </c>
      <c r="N892">
        <v>3</v>
      </c>
      <c r="O892">
        <v>30</v>
      </c>
      <c r="P892">
        <v>7</v>
      </c>
      <c r="Q892">
        <v>4</v>
      </c>
      <c r="R892">
        <v>3</v>
      </c>
      <c r="S892" t="s">
        <v>25</v>
      </c>
    </row>
    <row r="893" spans="1:19" x14ac:dyDescent="0.25">
      <c r="A893">
        <v>10892</v>
      </c>
      <c r="B893">
        <v>57</v>
      </c>
      <c r="C893" t="s">
        <v>19</v>
      </c>
      <c r="D893" t="s">
        <v>32</v>
      </c>
      <c r="E893" t="s">
        <v>33</v>
      </c>
      <c r="F893" t="s">
        <v>39</v>
      </c>
      <c r="G893" t="s">
        <v>30</v>
      </c>
      <c r="H893">
        <v>42464</v>
      </c>
      <c r="I893">
        <v>1325</v>
      </c>
      <c r="J893">
        <v>9</v>
      </c>
      <c r="K893">
        <v>1</v>
      </c>
      <c r="L893">
        <v>2</v>
      </c>
      <c r="M893" t="s">
        <v>24</v>
      </c>
      <c r="N893">
        <v>2</v>
      </c>
      <c r="O893">
        <v>25</v>
      </c>
      <c r="P893">
        <v>58</v>
      </c>
      <c r="Q893">
        <v>3</v>
      </c>
      <c r="R893">
        <v>1</v>
      </c>
      <c r="S893" t="s">
        <v>25</v>
      </c>
    </row>
    <row r="894" spans="1:19" x14ac:dyDescent="0.25">
      <c r="A894">
        <v>10893</v>
      </c>
      <c r="B894">
        <v>56</v>
      </c>
      <c r="C894" t="s">
        <v>19</v>
      </c>
      <c r="D894" t="s">
        <v>20</v>
      </c>
      <c r="E894" t="s">
        <v>33</v>
      </c>
      <c r="F894" t="s">
        <v>39</v>
      </c>
      <c r="G894" t="s">
        <v>30</v>
      </c>
      <c r="H894">
        <v>43877</v>
      </c>
      <c r="I894">
        <v>10886</v>
      </c>
      <c r="J894">
        <v>21</v>
      </c>
      <c r="K894">
        <v>4</v>
      </c>
      <c r="L894">
        <v>3</v>
      </c>
      <c r="M894" t="s">
        <v>25</v>
      </c>
      <c r="N894">
        <v>3</v>
      </c>
      <c r="O894">
        <v>7</v>
      </c>
      <c r="P894">
        <v>58</v>
      </c>
      <c r="Q894">
        <v>3</v>
      </c>
      <c r="R894">
        <v>1</v>
      </c>
      <c r="S894" t="s">
        <v>25</v>
      </c>
    </row>
    <row r="895" spans="1:19" x14ac:dyDescent="0.25">
      <c r="A895">
        <v>10894</v>
      </c>
      <c r="B895">
        <v>20</v>
      </c>
      <c r="C895" t="s">
        <v>19</v>
      </c>
      <c r="D895" t="s">
        <v>34</v>
      </c>
      <c r="E895" t="s">
        <v>36</v>
      </c>
      <c r="F895" t="s">
        <v>39</v>
      </c>
      <c r="G895" t="s">
        <v>30</v>
      </c>
      <c r="H895">
        <v>51641</v>
      </c>
      <c r="I895">
        <v>34603</v>
      </c>
      <c r="J895">
        <v>1</v>
      </c>
      <c r="K895">
        <v>14</v>
      </c>
      <c r="L895">
        <v>5</v>
      </c>
      <c r="M895" t="s">
        <v>24</v>
      </c>
      <c r="N895">
        <v>3</v>
      </c>
      <c r="O895">
        <v>9</v>
      </c>
      <c r="P895">
        <v>39</v>
      </c>
      <c r="Q895">
        <v>4</v>
      </c>
      <c r="R895">
        <v>2</v>
      </c>
      <c r="S895" t="s">
        <v>25</v>
      </c>
    </row>
    <row r="896" spans="1:19" x14ac:dyDescent="0.25">
      <c r="A896">
        <v>10895</v>
      </c>
      <c r="B896">
        <v>57</v>
      </c>
      <c r="C896" t="s">
        <v>19</v>
      </c>
      <c r="D896" t="s">
        <v>41</v>
      </c>
      <c r="E896" t="s">
        <v>27</v>
      </c>
      <c r="F896" t="s">
        <v>35</v>
      </c>
      <c r="G896" t="s">
        <v>38</v>
      </c>
      <c r="H896">
        <v>73010</v>
      </c>
      <c r="I896">
        <v>18429</v>
      </c>
      <c r="J896">
        <v>0</v>
      </c>
      <c r="K896">
        <v>4</v>
      </c>
      <c r="L896">
        <v>5</v>
      </c>
      <c r="M896" t="s">
        <v>25</v>
      </c>
      <c r="N896">
        <v>2</v>
      </c>
      <c r="O896">
        <v>11</v>
      </c>
      <c r="P896">
        <v>16</v>
      </c>
      <c r="Q896">
        <v>1</v>
      </c>
      <c r="R896">
        <v>3</v>
      </c>
      <c r="S896" t="s">
        <v>24</v>
      </c>
    </row>
    <row r="897" spans="1:19" x14ac:dyDescent="0.25">
      <c r="A897">
        <v>10896</v>
      </c>
      <c r="B897">
        <v>29</v>
      </c>
      <c r="C897" t="s">
        <v>19</v>
      </c>
      <c r="D897" t="s">
        <v>26</v>
      </c>
      <c r="E897" t="s">
        <v>36</v>
      </c>
      <c r="F897" t="s">
        <v>35</v>
      </c>
      <c r="G897" t="s">
        <v>38</v>
      </c>
      <c r="H897">
        <v>63689</v>
      </c>
      <c r="I897">
        <v>45828</v>
      </c>
      <c r="J897">
        <v>17</v>
      </c>
      <c r="K897">
        <v>2</v>
      </c>
      <c r="L897">
        <v>3</v>
      </c>
      <c r="M897" t="s">
        <v>24</v>
      </c>
      <c r="N897">
        <v>3</v>
      </c>
      <c r="O897">
        <v>28</v>
      </c>
      <c r="P897">
        <v>25</v>
      </c>
      <c r="Q897">
        <v>2</v>
      </c>
      <c r="R897">
        <v>2</v>
      </c>
      <c r="S897" t="s">
        <v>25</v>
      </c>
    </row>
    <row r="898" spans="1:19" x14ac:dyDescent="0.25">
      <c r="A898">
        <v>10897</v>
      </c>
      <c r="B898">
        <v>57</v>
      </c>
      <c r="C898" t="s">
        <v>19</v>
      </c>
      <c r="D898" t="s">
        <v>32</v>
      </c>
      <c r="E898" t="s">
        <v>36</v>
      </c>
      <c r="F898" t="s">
        <v>22</v>
      </c>
      <c r="G898" t="s">
        <v>30</v>
      </c>
      <c r="H898">
        <v>57476</v>
      </c>
      <c r="I898">
        <v>5614</v>
      </c>
      <c r="J898">
        <v>3</v>
      </c>
      <c r="K898">
        <v>6</v>
      </c>
      <c r="L898">
        <v>5</v>
      </c>
      <c r="M898" t="s">
        <v>25</v>
      </c>
      <c r="N898">
        <v>3</v>
      </c>
      <c r="O898">
        <v>15</v>
      </c>
      <c r="P898">
        <v>41</v>
      </c>
      <c r="Q898">
        <v>3</v>
      </c>
      <c r="R898">
        <v>3</v>
      </c>
      <c r="S898" t="s">
        <v>25</v>
      </c>
    </row>
    <row r="899" spans="1:19" x14ac:dyDescent="0.25">
      <c r="A899">
        <v>10898</v>
      </c>
      <c r="B899">
        <v>49</v>
      </c>
      <c r="C899" t="s">
        <v>19</v>
      </c>
      <c r="D899" t="s">
        <v>34</v>
      </c>
      <c r="E899" t="s">
        <v>33</v>
      </c>
      <c r="F899" t="s">
        <v>39</v>
      </c>
      <c r="G899" t="s">
        <v>38</v>
      </c>
      <c r="H899">
        <v>26633</v>
      </c>
      <c r="I899">
        <v>46117</v>
      </c>
      <c r="J899">
        <v>21</v>
      </c>
      <c r="K899">
        <v>7</v>
      </c>
      <c r="L899">
        <v>3</v>
      </c>
      <c r="M899" t="s">
        <v>25</v>
      </c>
      <c r="N899">
        <v>4</v>
      </c>
      <c r="O899">
        <v>26</v>
      </c>
      <c r="P899">
        <v>41</v>
      </c>
      <c r="Q899">
        <v>4</v>
      </c>
      <c r="R899">
        <v>3</v>
      </c>
      <c r="S899" t="s">
        <v>25</v>
      </c>
    </row>
    <row r="900" spans="1:19" x14ac:dyDescent="0.25">
      <c r="A900">
        <v>10899</v>
      </c>
      <c r="B900">
        <v>50</v>
      </c>
      <c r="C900" t="s">
        <v>31</v>
      </c>
      <c r="D900" t="s">
        <v>32</v>
      </c>
      <c r="E900" t="s">
        <v>27</v>
      </c>
      <c r="F900" t="s">
        <v>22</v>
      </c>
      <c r="G900" t="s">
        <v>38</v>
      </c>
      <c r="H900">
        <v>76857</v>
      </c>
      <c r="I900">
        <v>29753</v>
      </c>
      <c r="J900">
        <v>8</v>
      </c>
      <c r="K900">
        <v>6</v>
      </c>
      <c r="L900">
        <v>4</v>
      </c>
      <c r="M900" t="s">
        <v>25</v>
      </c>
      <c r="N900">
        <v>4</v>
      </c>
      <c r="O900">
        <v>34</v>
      </c>
      <c r="P900">
        <v>46</v>
      </c>
      <c r="Q900">
        <v>3</v>
      </c>
      <c r="R900">
        <v>3</v>
      </c>
      <c r="S900" t="s">
        <v>25</v>
      </c>
    </row>
    <row r="901" spans="1:19" x14ac:dyDescent="0.25">
      <c r="A901">
        <v>10900</v>
      </c>
      <c r="B901">
        <v>20</v>
      </c>
      <c r="C901" t="s">
        <v>31</v>
      </c>
      <c r="D901" t="s">
        <v>41</v>
      </c>
      <c r="E901" t="s">
        <v>36</v>
      </c>
      <c r="F901" t="s">
        <v>39</v>
      </c>
      <c r="G901" t="s">
        <v>30</v>
      </c>
      <c r="H901">
        <v>60440</v>
      </c>
      <c r="I901">
        <v>33455</v>
      </c>
      <c r="J901">
        <v>23</v>
      </c>
      <c r="K901">
        <v>4</v>
      </c>
      <c r="L901">
        <v>2</v>
      </c>
      <c r="M901" t="s">
        <v>25</v>
      </c>
      <c r="N901">
        <v>4</v>
      </c>
      <c r="O901">
        <v>38</v>
      </c>
      <c r="P901">
        <v>55</v>
      </c>
      <c r="Q901">
        <v>3</v>
      </c>
      <c r="R901">
        <v>4</v>
      </c>
      <c r="S901" t="s">
        <v>25</v>
      </c>
    </row>
    <row r="902" spans="1:19" x14ac:dyDescent="0.25">
      <c r="A902">
        <v>10901</v>
      </c>
      <c r="B902">
        <v>23</v>
      </c>
      <c r="C902" t="s">
        <v>19</v>
      </c>
      <c r="D902" t="s">
        <v>20</v>
      </c>
      <c r="E902" t="s">
        <v>36</v>
      </c>
      <c r="F902" t="s">
        <v>39</v>
      </c>
      <c r="G902" t="s">
        <v>30</v>
      </c>
      <c r="H902">
        <v>62592</v>
      </c>
      <c r="I902">
        <v>3209</v>
      </c>
      <c r="J902">
        <v>6</v>
      </c>
      <c r="K902">
        <v>6</v>
      </c>
      <c r="L902">
        <v>4</v>
      </c>
      <c r="M902" t="s">
        <v>24</v>
      </c>
      <c r="N902">
        <v>4</v>
      </c>
      <c r="O902">
        <v>20</v>
      </c>
      <c r="P902">
        <v>53</v>
      </c>
      <c r="Q902">
        <v>4</v>
      </c>
      <c r="R902">
        <v>1</v>
      </c>
      <c r="S902" t="s">
        <v>25</v>
      </c>
    </row>
    <row r="903" spans="1:19" x14ac:dyDescent="0.25">
      <c r="A903">
        <v>10902</v>
      </c>
      <c r="B903">
        <v>52</v>
      </c>
      <c r="C903" t="s">
        <v>19</v>
      </c>
      <c r="D903" t="s">
        <v>20</v>
      </c>
      <c r="E903" t="s">
        <v>36</v>
      </c>
      <c r="F903" t="s">
        <v>39</v>
      </c>
      <c r="G903" t="s">
        <v>38</v>
      </c>
      <c r="H903">
        <v>66290</v>
      </c>
      <c r="I903">
        <v>21676</v>
      </c>
      <c r="J903">
        <v>12</v>
      </c>
      <c r="K903">
        <v>7</v>
      </c>
      <c r="L903">
        <v>3</v>
      </c>
      <c r="M903" t="s">
        <v>25</v>
      </c>
      <c r="N903">
        <v>4</v>
      </c>
      <c r="O903">
        <v>23</v>
      </c>
      <c r="P903">
        <v>30</v>
      </c>
      <c r="Q903">
        <v>1</v>
      </c>
      <c r="R903">
        <v>2</v>
      </c>
      <c r="S903" t="s">
        <v>25</v>
      </c>
    </row>
    <row r="904" spans="1:19" x14ac:dyDescent="0.25">
      <c r="A904">
        <v>10903</v>
      </c>
      <c r="B904">
        <v>47</v>
      </c>
      <c r="C904" t="s">
        <v>19</v>
      </c>
      <c r="D904" t="s">
        <v>20</v>
      </c>
      <c r="E904" t="s">
        <v>36</v>
      </c>
      <c r="F904" t="s">
        <v>39</v>
      </c>
      <c r="G904" t="s">
        <v>30</v>
      </c>
      <c r="H904">
        <v>51141</v>
      </c>
      <c r="I904">
        <v>5037</v>
      </c>
      <c r="J904">
        <v>14</v>
      </c>
      <c r="K904">
        <v>10</v>
      </c>
      <c r="L904">
        <v>2</v>
      </c>
      <c r="M904" t="s">
        <v>25</v>
      </c>
      <c r="N904">
        <v>3</v>
      </c>
      <c r="O904">
        <v>11</v>
      </c>
      <c r="P904">
        <v>21</v>
      </c>
      <c r="Q904">
        <v>1</v>
      </c>
      <c r="R904">
        <v>3</v>
      </c>
      <c r="S904" t="s">
        <v>25</v>
      </c>
    </row>
    <row r="905" spans="1:19" x14ac:dyDescent="0.25">
      <c r="A905">
        <v>10904</v>
      </c>
      <c r="B905">
        <v>41</v>
      </c>
      <c r="C905" t="s">
        <v>19</v>
      </c>
      <c r="D905" t="s">
        <v>34</v>
      </c>
      <c r="E905" t="s">
        <v>36</v>
      </c>
      <c r="F905" t="s">
        <v>22</v>
      </c>
      <c r="G905" t="s">
        <v>38</v>
      </c>
      <c r="H905">
        <v>58394</v>
      </c>
      <c r="I905">
        <v>8104</v>
      </c>
      <c r="J905">
        <v>4</v>
      </c>
      <c r="K905">
        <v>1</v>
      </c>
      <c r="L905">
        <v>3</v>
      </c>
      <c r="M905" t="s">
        <v>25</v>
      </c>
      <c r="N905">
        <v>3</v>
      </c>
      <c r="O905">
        <v>36</v>
      </c>
      <c r="P905">
        <v>14</v>
      </c>
      <c r="Q905">
        <v>3</v>
      </c>
      <c r="R905">
        <v>4</v>
      </c>
      <c r="S905" t="s">
        <v>25</v>
      </c>
    </row>
    <row r="906" spans="1:19" x14ac:dyDescent="0.25">
      <c r="A906">
        <v>10905</v>
      </c>
      <c r="B906">
        <v>27</v>
      </c>
      <c r="C906" t="s">
        <v>19</v>
      </c>
      <c r="D906" t="s">
        <v>34</v>
      </c>
      <c r="E906" t="s">
        <v>33</v>
      </c>
      <c r="F906" t="s">
        <v>22</v>
      </c>
      <c r="G906" t="s">
        <v>38</v>
      </c>
      <c r="H906">
        <v>33955</v>
      </c>
      <c r="I906">
        <v>6674</v>
      </c>
      <c r="J906">
        <v>6</v>
      </c>
      <c r="K906">
        <v>9</v>
      </c>
      <c r="L906">
        <v>5</v>
      </c>
      <c r="M906" t="s">
        <v>24</v>
      </c>
      <c r="N906">
        <v>4</v>
      </c>
      <c r="O906">
        <v>25</v>
      </c>
      <c r="P906">
        <v>33</v>
      </c>
      <c r="Q906">
        <v>2</v>
      </c>
      <c r="R906">
        <v>4</v>
      </c>
      <c r="S906" t="s">
        <v>25</v>
      </c>
    </row>
    <row r="907" spans="1:19" x14ac:dyDescent="0.25">
      <c r="A907">
        <v>10906</v>
      </c>
      <c r="B907">
        <v>44</v>
      </c>
      <c r="C907" t="s">
        <v>19</v>
      </c>
      <c r="D907" t="s">
        <v>34</v>
      </c>
      <c r="E907" t="s">
        <v>33</v>
      </c>
      <c r="F907" t="s">
        <v>39</v>
      </c>
      <c r="G907" t="s">
        <v>30</v>
      </c>
      <c r="H907">
        <v>34537</v>
      </c>
      <c r="I907">
        <v>8330</v>
      </c>
      <c r="J907">
        <v>3</v>
      </c>
      <c r="K907">
        <v>0</v>
      </c>
      <c r="L907">
        <v>4</v>
      </c>
      <c r="M907" t="s">
        <v>25</v>
      </c>
      <c r="N907">
        <v>4</v>
      </c>
      <c r="O907">
        <v>27</v>
      </c>
      <c r="P907">
        <v>17</v>
      </c>
      <c r="Q907">
        <v>4</v>
      </c>
      <c r="R907">
        <v>4</v>
      </c>
      <c r="S907" t="s">
        <v>25</v>
      </c>
    </row>
    <row r="908" spans="1:19" x14ac:dyDescent="0.25">
      <c r="A908">
        <v>10907</v>
      </c>
      <c r="B908">
        <v>33</v>
      </c>
      <c r="C908" t="s">
        <v>19</v>
      </c>
      <c r="D908" t="s">
        <v>20</v>
      </c>
      <c r="E908" t="s">
        <v>36</v>
      </c>
      <c r="F908" t="s">
        <v>22</v>
      </c>
      <c r="G908" t="s">
        <v>30</v>
      </c>
      <c r="H908">
        <v>45838</v>
      </c>
      <c r="I908">
        <v>15095</v>
      </c>
      <c r="J908">
        <v>8</v>
      </c>
      <c r="K908">
        <v>0</v>
      </c>
      <c r="L908">
        <v>4</v>
      </c>
      <c r="M908" t="s">
        <v>25</v>
      </c>
      <c r="N908">
        <v>3</v>
      </c>
      <c r="O908">
        <v>24</v>
      </c>
      <c r="P908">
        <v>38</v>
      </c>
      <c r="Q908">
        <v>3</v>
      </c>
      <c r="R908">
        <v>3</v>
      </c>
      <c r="S908" t="s">
        <v>25</v>
      </c>
    </row>
    <row r="909" spans="1:19" x14ac:dyDescent="0.25">
      <c r="A909">
        <v>10908</v>
      </c>
      <c r="B909">
        <v>58</v>
      </c>
      <c r="C909" t="s">
        <v>19</v>
      </c>
      <c r="D909" t="s">
        <v>32</v>
      </c>
      <c r="E909" t="s">
        <v>29</v>
      </c>
      <c r="F909" t="s">
        <v>39</v>
      </c>
      <c r="G909" t="s">
        <v>38</v>
      </c>
      <c r="H909">
        <v>121982</v>
      </c>
      <c r="I909">
        <v>34527</v>
      </c>
      <c r="J909">
        <v>18</v>
      </c>
      <c r="K909">
        <v>9</v>
      </c>
      <c r="L909">
        <v>3</v>
      </c>
      <c r="M909" t="s">
        <v>25</v>
      </c>
      <c r="N909">
        <v>4</v>
      </c>
      <c r="O909">
        <v>27</v>
      </c>
      <c r="P909">
        <v>55</v>
      </c>
      <c r="Q909">
        <v>4</v>
      </c>
      <c r="R909">
        <v>3</v>
      </c>
      <c r="S909" t="s">
        <v>25</v>
      </c>
    </row>
    <row r="910" spans="1:19" x14ac:dyDescent="0.25">
      <c r="A910">
        <v>10909</v>
      </c>
      <c r="B910">
        <v>29</v>
      </c>
      <c r="C910" t="s">
        <v>19</v>
      </c>
      <c r="D910" t="s">
        <v>20</v>
      </c>
      <c r="E910" t="s">
        <v>36</v>
      </c>
      <c r="F910" t="s">
        <v>35</v>
      </c>
      <c r="G910" t="s">
        <v>30</v>
      </c>
      <c r="H910">
        <v>56719</v>
      </c>
      <c r="I910">
        <v>31368</v>
      </c>
      <c r="J910">
        <v>4</v>
      </c>
      <c r="K910">
        <v>8</v>
      </c>
      <c r="L910">
        <v>3</v>
      </c>
      <c r="M910" t="s">
        <v>25</v>
      </c>
      <c r="N910">
        <v>4</v>
      </c>
      <c r="O910">
        <v>11</v>
      </c>
      <c r="P910">
        <v>24</v>
      </c>
      <c r="Q910">
        <v>4</v>
      </c>
      <c r="R910">
        <v>4</v>
      </c>
      <c r="S910" t="s">
        <v>25</v>
      </c>
    </row>
    <row r="911" spans="1:19" x14ac:dyDescent="0.25">
      <c r="A911">
        <v>10910</v>
      </c>
      <c r="B911">
        <v>55</v>
      </c>
      <c r="C911" t="s">
        <v>19</v>
      </c>
      <c r="D911" t="s">
        <v>41</v>
      </c>
      <c r="E911" t="s">
        <v>36</v>
      </c>
      <c r="F911" t="s">
        <v>35</v>
      </c>
      <c r="G911" t="s">
        <v>30</v>
      </c>
      <c r="H911">
        <v>69244</v>
      </c>
      <c r="I911">
        <v>45712</v>
      </c>
      <c r="J911">
        <v>15</v>
      </c>
      <c r="K911">
        <v>12</v>
      </c>
      <c r="L911">
        <v>3</v>
      </c>
      <c r="M911" t="s">
        <v>25</v>
      </c>
      <c r="N911">
        <v>2</v>
      </c>
      <c r="O911">
        <v>27</v>
      </c>
      <c r="P911">
        <v>54</v>
      </c>
      <c r="Q911">
        <v>3</v>
      </c>
      <c r="R911">
        <v>1</v>
      </c>
      <c r="S911" t="s">
        <v>25</v>
      </c>
    </row>
    <row r="912" spans="1:19" x14ac:dyDescent="0.25">
      <c r="A912">
        <v>10911</v>
      </c>
      <c r="B912">
        <v>57</v>
      </c>
      <c r="C912" t="s">
        <v>19</v>
      </c>
      <c r="D912" t="s">
        <v>20</v>
      </c>
      <c r="E912" t="s">
        <v>33</v>
      </c>
      <c r="F912" t="s">
        <v>39</v>
      </c>
      <c r="G912" t="s">
        <v>30</v>
      </c>
      <c r="H912">
        <v>35789</v>
      </c>
      <c r="I912">
        <v>22383</v>
      </c>
      <c r="J912">
        <v>19</v>
      </c>
      <c r="K912">
        <v>6</v>
      </c>
      <c r="L912">
        <v>2</v>
      </c>
      <c r="M912" t="s">
        <v>25</v>
      </c>
      <c r="N912">
        <v>4</v>
      </c>
      <c r="O912">
        <v>24</v>
      </c>
      <c r="P912">
        <v>14</v>
      </c>
      <c r="Q912">
        <v>4</v>
      </c>
      <c r="R912">
        <v>2</v>
      </c>
      <c r="S912" t="s">
        <v>25</v>
      </c>
    </row>
    <row r="913" spans="1:19" x14ac:dyDescent="0.25">
      <c r="A913">
        <v>10912</v>
      </c>
      <c r="B913">
        <v>38</v>
      </c>
      <c r="C913" t="s">
        <v>31</v>
      </c>
      <c r="D913" t="s">
        <v>28</v>
      </c>
      <c r="E913" t="s">
        <v>33</v>
      </c>
      <c r="F913" t="s">
        <v>22</v>
      </c>
      <c r="G913" t="s">
        <v>38</v>
      </c>
      <c r="H913">
        <v>43261</v>
      </c>
      <c r="I913">
        <v>26379</v>
      </c>
      <c r="J913">
        <v>11</v>
      </c>
      <c r="K913">
        <v>4</v>
      </c>
      <c r="L913">
        <v>1</v>
      </c>
      <c r="M913" t="s">
        <v>24</v>
      </c>
      <c r="N913">
        <v>4</v>
      </c>
      <c r="O913">
        <v>36</v>
      </c>
      <c r="P913">
        <v>46</v>
      </c>
      <c r="Q913">
        <v>1</v>
      </c>
      <c r="R913">
        <v>1</v>
      </c>
      <c r="S913" t="s">
        <v>25</v>
      </c>
    </row>
    <row r="914" spans="1:19" x14ac:dyDescent="0.25">
      <c r="A914">
        <v>10913</v>
      </c>
      <c r="B914">
        <v>56</v>
      </c>
      <c r="C914" t="s">
        <v>31</v>
      </c>
      <c r="D914" t="s">
        <v>32</v>
      </c>
      <c r="E914" t="s">
        <v>27</v>
      </c>
      <c r="F914" t="s">
        <v>35</v>
      </c>
      <c r="G914" t="s">
        <v>30</v>
      </c>
      <c r="H914">
        <v>67670</v>
      </c>
      <c r="I914">
        <v>49849</v>
      </c>
      <c r="J914">
        <v>12</v>
      </c>
      <c r="K914">
        <v>1</v>
      </c>
      <c r="L914">
        <v>4</v>
      </c>
      <c r="M914" t="s">
        <v>25</v>
      </c>
      <c r="N914">
        <v>3</v>
      </c>
      <c r="O914">
        <v>38</v>
      </c>
      <c r="P914">
        <v>53</v>
      </c>
      <c r="Q914">
        <v>4</v>
      </c>
      <c r="R914">
        <v>3</v>
      </c>
      <c r="S914" t="s">
        <v>25</v>
      </c>
    </row>
    <row r="915" spans="1:19" x14ac:dyDescent="0.25">
      <c r="A915">
        <v>10914</v>
      </c>
      <c r="B915">
        <v>49</v>
      </c>
      <c r="C915" t="s">
        <v>19</v>
      </c>
      <c r="D915" t="s">
        <v>41</v>
      </c>
      <c r="E915" t="s">
        <v>36</v>
      </c>
      <c r="F915" t="s">
        <v>39</v>
      </c>
      <c r="G915" t="s">
        <v>38</v>
      </c>
      <c r="H915">
        <v>51154</v>
      </c>
      <c r="I915">
        <v>42290</v>
      </c>
      <c r="J915">
        <v>19</v>
      </c>
      <c r="K915">
        <v>6</v>
      </c>
      <c r="L915">
        <v>1</v>
      </c>
      <c r="M915" t="s">
        <v>25</v>
      </c>
      <c r="N915">
        <v>2</v>
      </c>
      <c r="O915">
        <v>24</v>
      </c>
      <c r="P915">
        <v>44</v>
      </c>
      <c r="Q915">
        <v>4</v>
      </c>
      <c r="R915">
        <v>1</v>
      </c>
      <c r="S915" t="s">
        <v>25</v>
      </c>
    </row>
    <row r="916" spans="1:19" x14ac:dyDescent="0.25">
      <c r="A916">
        <v>10915</v>
      </c>
      <c r="B916">
        <v>30</v>
      </c>
      <c r="C916" t="s">
        <v>31</v>
      </c>
      <c r="D916" t="s">
        <v>34</v>
      </c>
      <c r="E916" t="s">
        <v>40</v>
      </c>
      <c r="F916" t="s">
        <v>22</v>
      </c>
      <c r="G916" t="s">
        <v>38</v>
      </c>
      <c r="H916">
        <v>15765</v>
      </c>
      <c r="I916">
        <v>22555</v>
      </c>
      <c r="J916">
        <v>13</v>
      </c>
      <c r="K916">
        <v>14</v>
      </c>
      <c r="L916">
        <v>3</v>
      </c>
      <c r="M916" t="s">
        <v>25</v>
      </c>
      <c r="N916">
        <v>3</v>
      </c>
      <c r="O916">
        <v>23</v>
      </c>
      <c r="P916">
        <v>25</v>
      </c>
      <c r="Q916">
        <v>2</v>
      </c>
      <c r="R916">
        <v>3</v>
      </c>
      <c r="S916" t="s">
        <v>25</v>
      </c>
    </row>
    <row r="917" spans="1:19" x14ac:dyDescent="0.25">
      <c r="A917">
        <v>10916</v>
      </c>
      <c r="B917">
        <v>34</v>
      </c>
      <c r="C917" t="s">
        <v>31</v>
      </c>
      <c r="D917" t="s">
        <v>41</v>
      </c>
      <c r="E917" t="s">
        <v>27</v>
      </c>
      <c r="F917" t="s">
        <v>39</v>
      </c>
      <c r="G917" t="s">
        <v>38</v>
      </c>
      <c r="H917">
        <v>87782</v>
      </c>
      <c r="I917">
        <v>27860</v>
      </c>
      <c r="J917">
        <v>22</v>
      </c>
      <c r="K917">
        <v>12</v>
      </c>
      <c r="L917">
        <v>1</v>
      </c>
      <c r="M917" t="s">
        <v>25</v>
      </c>
      <c r="N917">
        <v>3</v>
      </c>
      <c r="O917">
        <v>24</v>
      </c>
      <c r="P917">
        <v>17</v>
      </c>
      <c r="Q917">
        <v>4</v>
      </c>
      <c r="R917">
        <v>3</v>
      </c>
      <c r="S917" t="s">
        <v>25</v>
      </c>
    </row>
    <row r="918" spans="1:19" x14ac:dyDescent="0.25">
      <c r="A918">
        <v>10917</v>
      </c>
      <c r="B918">
        <v>38</v>
      </c>
      <c r="C918" t="s">
        <v>19</v>
      </c>
      <c r="D918" t="s">
        <v>20</v>
      </c>
      <c r="E918" t="s">
        <v>33</v>
      </c>
      <c r="F918" t="s">
        <v>39</v>
      </c>
      <c r="G918" t="s">
        <v>30</v>
      </c>
      <c r="H918">
        <v>44560</v>
      </c>
      <c r="I918">
        <v>2712</v>
      </c>
      <c r="J918">
        <v>3</v>
      </c>
      <c r="K918">
        <v>1</v>
      </c>
      <c r="L918">
        <v>4</v>
      </c>
      <c r="M918" t="s">
        <v>24</v>
      </c>
      <c r="N918">
        <v>4</v>
      </c>
      <c r="O918">
        <v>37</v>
      </c>
      <c r="P918">
        <v>7</v>
      </c>
      <c r="Q918">
        <v>3</v>
      </c>
      <c r="R918">
        <v>4</v>
      </c>
      <c r="S918" t="s">
        <v>25</v>
      </c>
    </row>
    <row r="919" spans="1:19" x14ac:dyDescent="0.25">
      <c r="A919">
        <v>10918</v>
      </c>
      <c r="B919">
        <v>46</v>
      </c>
      <c r="C919" t="s">
        <v>19</v>
      </c>
      <c r="D919" t="s">
        <v>32</v>
      </c>
      <c r="E919" t="s">
        <v>29</v>
      </c>
      <c r="F919" t="s">
        <v>37</v>
      </c>
      <c r="G919" t="s">
        <v>38</v>
      </c>
      <c r="H919">
        <v>131156</v>
      </c>
      <c r="I919">
        <v>27220</v>
      </c>
      <c r="J919">
        <v>19</v>
      </c>
      <c r="K919">
        <v>1</v>
      </c>
      <c r="L919">
        <v>3</v>
      </c>
      <c r="M919" t="s">
        <v>25</v>
      </c>
      <c r="N919">
        <v>1</v>
      </c>
      <c r="O919">
        <v>22</v>
      </c>
      <c r="P919">
        <v>12</v>
      </c>
      <c r="Q919">
        <v>3</v>
      </c>
      <c r="R919">
        <v>3</v>
      </c>
      <c r="S919" t="s">
        <v>25</v>
      </c>
    </row>
    <row r="920" spans="1:19" x14ac:dyDescent="0.25">
      <c r="A920">
        <v>10919</v>
      </c>
      <c r="B920">
        <v>56</v>
      </c>
      <c r="C920" t="s">
        <v>19</v>
      </c>
      <c r="D920" t="s">
        <v>20</v>
      </c>
      <c r="E920" t="s">
        <v>29</v>
      </c>
      <c r="F920" t="s">
        <v>39</v>
      </c>
      <c r="G920" t="s">
        <v>38</v>
      </c>
      <c r="H920">
        <v>144054</v>
      </c>
      <c r="I920">
        <v>43602</v>
      </c>
      <c r="J920">
        <v>2</v>
      </c>
      <c r="K920">
        <v>7</v>
      </c>
      <c r="L920">
        <v>2</v>
      </c>
      <c r="M920" t="s">
        <v>25</v>
      </c>
      <c r="N920">
        <v>3</v>
      </c>
      <c r="O920">
        <v>34</v>
      </c>
      <c r="P920">
        <v>49</v>
      </c>
      <c r="Q920">
        <v>3</v>
      </c>
      <c r="R920">
        <v>4</v>
      </c>
      <c r="S920" t="s">
        <v>25</v>
      </c>
    </row>
    <row r="921" spans="1:19" x14ac:dyDescent="0.25">
      <c r="A921">
        <v>10920</v>
      </c>
      <c r="B921">
        <v>42</v>
      </c>
      <c r="C921" t="s">
        <v>19</v>
      </c>
      <c r="D921" t="s">
        <v>26</v>
      </c>
      <c r="E921" t="s">
        <v>33</v>
      </c>
      <c r="F921" t="s">
        <v>22</v>
      </c>
      <c r="G921" t="s">
        <v>38</v>
      </c>
      <c r="H921">
        <v>30105</v>
      </c>
      <c r="I921">
        <v>46904</v>
      </c>
      <c r="J921">
        <v>0</v>
      </c>
      <c r="K921">
        <v>8</v>
      </c>
      <c r="L921">
        <v>3</v>
      </c>
      <c r="M921" t="s">
        <v>25</v>
      </c>
      <c r="N921">
        <v>3</v>
      </c>
      <c r="O921">
        <v>38</v>
      </c>
      <c r="P921">
        <v>44</v>
      </c>
      <c r="Q921">
        <v>1</v>
      </c>
      <c r="R921">
        <v>2</v>
      </c>
      <c r="S921" t="s">
        <v>24</v>
      </c>
    </row>
    <row r="922" spans="1:19" x14ac:dyDescent="0.25">
      <c r="A922">
        <v>10921</v>
      </c>
      <c r="B922">
        <v>35</v>
      </c>
      <c r="C922" t="s">
        <v>19</v>
      </c>
      <c r="D922" t="s">
        <v>41</v>
      </c>
      <c r="E922" t="s">
        <v>27</v>
      </c>
      <c r="F922" t="s">
        <v>35</v>
      </c>
      <c r="G922" t="s">
        <v>38</v>
      </c>
      <c r="H922">
        <v>78915</v>
      </c>
      <c r="I922">
        <v>18836</v>
      </c>
      <c r="J922">
        <v>0</v>
      </c>
      <c r="K922">
        <v>2</v>
      </c>
      <c r="L922">
        <v>3</v>
      </c>
      <c r="M922" t="s">
        <v>25</v>
      </c>
      <c r="N922">
        <v>4</v>
      </c>
      <c r="O922">
        <v>7</v>
      </c>
      <c r="P922">
        <v>11</v>
      </c>
      <c r="Q922">
        <v>3</v>
      </c>
      <c r="R922">
        <v>1</v>
      </c>
      <c r="S922" t="s">
        <v>25</v>
      </c>
    </row>
    <row r="923" spans="1:19" x14ac:dyDescent="0.25">
      <c r="A923">
        <v>10922</v>
      </c>
      <c r="B923">
        <v>21</v>
      </c>
      <c r="C923" t="s">
        <v>19</v>
      </c>
      <c r="D923" t="s">
        <v>26</v>
      </c>
      <c r="E923" t="s">
        <v>21</v>
      </c>
      <c r="F923" t="s">
        <v>35</v>
      </c>
      <c r="G923" t="s">
        <v>38</v>
      </c>
      <c r="H923">
        <v>96589</v>
      </c>
      <c r="I923">
        <v>48970</v>
      </c>
      <c r="J923">
        <v>2</v>
      </c>
      <c r="K923">
        <v>7</v>
      </c>
      <c r="L923">
        <v>5</v>
      </c>
      <c r="M923" t="s">
        <v>25</v>
      </c>
      <c r="N923">
        <v>4</v>
      </c>
      <c r="O923">
        <v>37</v>
      </c>
      <c r="P923">
        <v>15</v>
      </c>
      <c r="Q923">
        <v>2</v>
      </c>
      <c r="R923">
        <v>2</v>
      </c>
      <c r="S923" t="s">
        <v>25</v>
      </c>
    </row>
    <row r="924" spans="1:19" x14ac:dyDescent="0.25">
      <c r="A924">
        <v>10923</v>
      </c>
      <c r="B924">
        <v>30</v>
      </c>
      <c r="C924" t="s">
        <v>19</v>
      </c>
      <c r="D924" t="s">
        <v>32</v>
      </c>
      <c r="E924" t="s">
        <v>36</v>
      </c>
      <c r="F924" t="s">
        <v>35</v>
      </c>
      <c r="G924" t="s">
        <v>38</v>
      </c>
      <c r="H924">
        <v>62499</v>
      </c>
      <c r="I924">
        <v>30480</v>
      </c>
      <c r="J924">
        <v>15</v>
      </c>
      <c r="K924">
        <v>13</v>
      </c>
      <c r="L924">
        <v>3</v>
      </c>
      <c r="M924" t="s">
        <v>25</v>
      </c>
      <c r="N924">
        <v>2</v>
      </c>
      <c r="O924">
        <v>34</v>
      </c>
      <c r="P924">
        <v>13</v>
      </c>
      <c r="Q924">
        <v>4</v>
      </c>
      <c r="R924">
        <v>2</v>
      </c>
      <c r="S924" t="s">
        <v>25</v>
      </c>
    </row>
    <row r="925" spans="1:19" x14ac:dyDescent="0.25">
      <c r="A925">
        <v>10924</v>
      </c>
      <c r="B925">
        <v>25</v>
      </c>
      <c r="C925" t="s">
        <v>31</v>
      </c>
      <c r="D925" t="s">
        <v>34</v>
      </c>
      <c r="E925" t="s">
        <v>33</v>
      </c>
      <c r="F925" t="s">
        <v>39</v>
      </c>
      <c r="G925" t="s">
        <v>30</v>
      </c>
      <c r="H925">
        <v>40613</v>
      </c>
      <c r="I925">
        <v>1069</v>
      </c>
      <c r="J925">
        <v>5</v>
      </c>
      <c r="K925">
        <v>7</v>
      </c>
      <c r="L925">
        <v>3</v>
      </c>
      <c r="M925" t="s">
        <v>25</v>
      </c>
      <c r="N925">
        <v>2</v>
      </c>
      <c r="O925">
        <v>9</v>
      </c>
      <c r="P925">
        <v>16</v>
      </c>
      <c r="Q925">
        <v>2</v>
      </c>
      <c r="R925">
        <v>2</v>
      </c>
      <c r="S925" t="s">
        <v>25</v>
      </c>
    </row>
    <row r="926" spans="1:19" x14ac:dyDescent="0.25">
      <c r="A926">
        <v>10925</v>
      </c>
      <c r="B926">
        <v>50</v>
      </c>
      <c r="C926" t="s">
        <v>19</v>
      </c>
      <c r="D926" t="s">
        <v>28</v>
      </c>
      <c r="E926" t="s">
        <v>36</v>
      </c>
      <c r="F926" t="s">
        <v>39</v>
      </c>
      <c r="G926" t="s">
        <v>30</v>
      </c>
      <c r="H926">
        <v>45632</v>
      </c>
      <c r="I926">
        <v>32695</v>
      </c>
      <c r="J926">
        <v>1</v>
      </c>
      <c r="K926">
        <v>1</v>
      </c>
      <c r="L926">
        <v>5</v>
      </c>
      <c r="M926" t="s">
        <v>25</v>
      </c>
      <c r="N926">
        <v>4</v>
      </c>
      <c r="O926">
        <v>6</v>
      </c>
      <c r="P926">
        <v>5</v>
      </c>
      <c r="Q926">
        <v>3</v>
      </c>
      <c r="R926">
        <v>2</v>
      </c>
      <c r="S926" t="s">
        <v>25</v>
      </c>
    </row>
    <row r="927" spans="1:19" x14ac:dyDescent="0.25">
      <c r="A927">
        <v>10926</v>
      </c>
      <c r="B927">
        <v>51</v>
      </c>
      <c r="C927" t="s">
        <v>19</v>
      </c>
      <c r="D927" t="s">
        <v>26</v>
      </c>
      <c r="E927" t="s">
        <v>21</v>
      </c>
      <c r="F927" t="s">
        <v>22</v>
      </c>
      <c r="G927" t="s">
        <v>38</v>
      </c>
      <c r="H927">
        <v>119845</v>
      </c>
      <c r="I927">
        <v>2321</v>
      </c>
      <c r="J927">
        <v>12</v>
      </c>
      <c r="K927">
        <v>5</v>
      </c>
      <c r="L927">
        <v>1</v>
      </c>
      <c r="M927" t="s">
        <v>25</v>
      </c>
      <c r="N927">
        <v>3</v>
      </c>
      <c r="O927">
        <v>22</v>
      </c>
      <c r="P927">
        <v>40</v>
      </c>
      <c r="Q927">
        <v>2</v>
      </c>
      <c r="R927">
        <v>2</v>
      </c>
      <c r="S927" t="s">
        <v>25</v>
      </c>
    </row>
    <row r="928" spans="1:19" x14ac:dyDescent="0.25">
      <c r="A928">
        <v>10927</v>
      </c>
      <c r="B928">
        <v>59</v>
      </c>
      <c r="C928" t="s">
        <v>19</v>
      </c>
      <c r="D928" t="s">
        <v>26</v>
      </c>
      <c r="E928" t="s">
        <v>36</v>
      </c>
      <c r="F928" t="s">
        <v>35</v>
      </c>
      <c r="G928" t="s">
        <v>30</v>
      </c>
      <c r="H928">
        <v>45643</v>
      </c>
      <c r="I928">
        <v>610</v>
      </c>
      <c r="J928">
        <v>14</v>
      </c>
      <c r="K928">
        <v>7</v>
      </c>
      <c r="L928">
        <v>3</v>
      </c>
      <c r="M928" t="s">
        <v>24</v>
      </c>
      <c r="N928">
        <v>2</v>
      </c>
      <c r="O928">
        <v>24</v>
      </c>
      <c r="P928">
        <v>34</v>
      </c>
      <c r="Q928">
        <v>2</v>
      </c>
      <c r="R928">
        <v>1</v>
      </c>
      <c r="S928" t="s">
        <v>24</v>
      </c>
    </row>
    <row r="929" spans="1:19" x14ac:dyDescent="0.25">
      <c r="A929">
        <v>10928</v>
      </c>
      <c r="B929">
        <v>42</v>
      </c>
      <c r="C929" t="s">
        <v>31</v>
      </c>
      <c r="D929" t="s">
        <v>20</v>
      </c>
      <c r="E929" t="s">
        <v>40</v>
      </c>
      <c r="F929" t="s">
        <v>39</v>
      </c>
      <c r="G929" t="s">
        <v>30</v>
      </c>
      <c r="H929">
        <v>10063</v>
      </c>
      <c r="I929">
        <v>42231</v>
      </c>
      <c r="J929">
        <v>15</v>
      </c>
      <c r="K929">
        <v>7</v>
      </c>
      <c r="L929">
        <v>1</v>
      </c>
      <c r="M929" t="s">
        <v>25</v>
      </c>
      <c r="N929">
        <v>4</v>
      </c>
      <c r="O929">
        <v>27</v>
      </c>
      <c r="P929">
        <v>16</v>
      </c>
      <c r="Q929">
        <v>3</v>
      </c>
      <c r="R929">
        <v>1</v>
      </c>
      <c r="S929" t="s">
        <v>25</v>
      </c>
    </row>
    <row r="930" spans="1:19" x14ac:dyDescent="0.25">
      <c r="A930">
        <v>10929</v>
      </c>
      <c r="B930">
        <v>21</v>
      </c>
      <c r="C930" t="s">
        <v>31</v>
      </c>
      <c r="D930" t="s">
        <v>34</v>
      </c>
      <c r="E930" t="s">
        <v>36</v>
      </c>
      <c r="F930" t="s">
        <v>39</v>
      </c>
      <c r="G930" t="s">
        <v>38</v>
      </c>
      <c r="H930">
        <v>69908</v>
      </c>
      <c r="I930">
        <v>7482</v>
      </c>
      <c r="J930">
        <v>7</v>
      </c>
      <c r="K930">
        <v>4</v>
      </c>
      <c r="L930">
        <v>2</v>
      </c>
      <c r="M930" t="s">
        <v>25</v>
      </c>
      <c r="N930">
        <v>4</v>
      </c>
      <c r="O930">
        <v>23</v>
      </c>
      <c r="P930">
        <v>28</v>
      </c>
      <c r="Q930">
        <v>4</v>
      </c>
      <c r="R930">
        <v>3</v>
      </c>
      <c r="S930" t="s">
        <v>25</v>
      </c>
    </row>
    <row r="931" spans="1:19" x14ac:dyDescent="0.25">
      <c r="A931">
        <v>10930</v>
      </c>
      <c r="B931">
        <v>36</v>
      </c>
      <c r="C931" t="s">
        <v>19</v>
      </c>
      <c r="D931" t="s">
        <v>41</v>
      </c>
      <c r="E931" t="s">
        <v>33</v>
      </c>
      <c r="F931" t="s">
        <v>39</v>
      </c>
      <c r="G931" t="s">
        <v>30</v>
      </c>
      <c r="H931">
        <v>29714</v>
      </c>
      <c r="I931">
        <v>13601</v>
      </c>
      <c r="J931">
        <v>18</v>
      </c>
      <c r="K931">
        <v>5</v>
      </c>
      <c r="L931">
        <v>4</v>
      </c>
      <c r="M931" t="s">
        <v>25</v>
      </c>
      <c r="N931">
        <v>4</v>
      </c>
      <c r="O931">
        <v>26</v>
      </c>
      <c r="P931">
        <v>17</v>
      </c>
      <c r="Q931">
        <v>2</v>
      </c>
      <c r="R931">
        <v>4</v>
      </c>
      <c r="S931" t="s">
        <v>25</v>
      </c>
    </row>
    <row r="932" spans="1:19" x14ac:dyDescent="0.25">
      <c r="A932">
        <v>10931</v>
      </c>
      <c r="B932">
        <v>56</v>
      </c>
      <c r="C932" t="s">
        <v>19</v>
      </c>
      <c r="D932" t="s">
        <v>32</v>
      </c>
      <c r="E932" t="s">
        <v>36</v>
      </c>
      <c r="F932" t="s">
        <v>22</v>
      </c>
      <c r="G932" t="s">
        <v>38</v>
      </c>
      <c r="H932">
        <v>64446</v>
      </c>
      <c r="I932">
        <v>10558</v>
      </c>
      <c r="J932">
        <v>11</v>
      </c>
      <c r="K932">
        <v>14</v>
      </c>
      <c r="L932">
        <v>5</v>
      </c>
      <c r="M932" t="s">
        <v>25</v>
      </c>
      <c r="N932">
        <v>4</v>
      </c>
      <c r="O932">
        <v>20</v>
      </c>
      <c r="P932">
        <v>49</v>
      </c>
      <c r="Q932">
        <v>4</v>
      </c>
      <c r="R932">
        <v>3</v>
      </c>
      <c r="S932" t="s">
        <v>25</v>
      </c>
    </row>
    <row r="933" spans="1:19" x14ac:dyDescent="0.25">
      <c r="A933">
        <v>10932</v>
      </c>
      <c r="B933">
        <v>37</v>
      </c>
      <c r="C933" t="s">
        <v>31</v>
      </c>
      <c r="D933" t="s">
        <v>28</v>
      </c>
      <c r="E933" t="s">
        <v>33</v>
      </c>
      <c r="F933" t="s">
        <v>35</v>
      </c>
      <c r="G933" t="s">
        <v>38</v>
      </c>
      <c r="H933">
        <v>39418</v>
      </c>
      <c r="I933">
        <v>22268</v>
      </c>
      <c r="J933">
        <v>0</v>
      </c>
      <c r="K933">
        <v>14</v>
      </c>
      <c r="L933">
        <v>2</v>
      </c>
      <c r="M933" t="s">
        <v>24</v>
      </c>
      <c r="N933">
        <v>2</v>
      </c>
      <c r="O933">
        <v>2</v>
      </c>
      <c r="P933">
        <v>56</v>
      </c>
      <c r="Q933">
        <v>3</v>
      </c>
      <c r="R933">
        <v>3</v>
      </c>
      <c r="S933" t="s">
        <v>25</v>
      </c>
    </row>
    <row r="934" spans="1:19" x14ac:dyDescent="0.25">
      <c r="A934">
        <v>10933</v>
      </c>
      <c r="B934">
        <v>26</v>
      </c>
      <c r="C934" t="s">
        <v>19</v>
      </c>
      <c r="D934" t="s">
        <v>34</v>
      </c>
      <c r="E934" t="s">
        <v>40</v>
      </c>
      <c r="F934" t="s">
        <v>39</v>
      </c>
      <c r="G934" t="s">
        <v>38</v>
      </c>
      <c r="H934">
        <v>11737</v>
      </c>
      <c r="I934">
        <v>33178</v>
      </c>
      <c r="J934">
        <v>23</v>
      </c>
      <c r="K934">
        <v>1</v>
      </c>
      <c r="L934">
        <v>5</v>
      </c>
      <c r="M934" t="s">
        <v>24</v>
      </c>
      <c r="N934">
        <v>3</v>
      </c>
      <c r="O934">
        <v>12</v>
      </c>
      <c r="P934">
        <v>7</v>
      </c>
      <c r="Q934">
        <v>4</v>
      </c>
      <c r="R934">
        <v>4</v>
      </c>
      <c r="S934" t="s">
        <v>25</v>
      </c>
    </row>
    <row r="935" spans="1:19" x14ac:dyDescent="0.25">
      <c r="A935">
        <v>10934</v>
      </c>
      <c r="B935">
        <v>31</v>
      </c>
      <c r="C935" t="s">
        <v>19</v>
      </c>
      <c r="D935" t="s">
        <v>41</v>
      </c>
      <c r="E935" t="s">
        <v>33</v>
      </c>
      <c r="F935" t="s">
        <v>22</v>
      </c>
      <c r="G935" t="s">
        <v>30</v>
      </c>
      <c r="H935">
        <v>31701</v>
      </c>
      <c r="I935">
        <v>42589</v>
      </c>
      <c r="J935">
        <v>4</v>
      </c>
      <c r="K935">
        <v>0</v>
      </c>
      <c r="L935">
        <v>3</v>
      </c>
      <c r="M935" t="s">
        <v>25</v>
      </c>
      <c r="N935">
        <v>2</v>
      </c>
      <c r="O935">
        <v>26</v>
      </c>
      <c r="P935">
        <v>48</v>
      </c>
      <c r="Q935">
        <v>2</v>
      </c>
      <c r="R935">
        <v>1</v>
      </c>
      <c r="S935" t="s">
        <v>24</v>
      </c>
    </row>
    <row r="936" spans="1:19" x14ac:dyDescent="0.25">
      <c r="A936">
        <v>10935</v>
      </c>
      <c r="B936">
        <v>36</v>
      </c>
      <c r="C936" t="s">
        <v>31</v>
      </c>
      <c r="D936" t="s">
        <v>28</v>
      </c>
      <c r="E936" t="s">
        <v>36</v>
      </c>
      <c r="F936" t="s">
        <v>35</v>
      </c>
      <c r="G936" t="s">
        <v>38</v>
      </c>
      <c r="H936">
        <v>55913</v>
      </c>
      <c r="I936">
        <v>43780</v>
      </c>
      <c r="J936">
        <v>15</v>
      </c>
      <c r="K936">
        <v>9</v>
      </c>
      <c r="L936">
        <v>3</v>
      </c>
      <c r="M936" t="s">
        <v>25</v>
      </c>
      <c r="N936">
        <v>2</v>
      </c>
      <c r="O936">
        <v>25</v>
      </c>
      <c r="P936">
        <v>46</v>
      </c>
      <c r="Q936">
        <v>4</v>
      </c>
      <c r="R936">
        <v>1</v>
      </c>
      <c r="S936" t="s">
        <v>25</v>
      </c>
    </row>
    <row r="937" spans="1:19" x14ac:dyDescent="0.25">
      <c r="A937">
        <v>10936</v>
      </c>
      <c r="B937">
        <v>26</v>
      </c>
      <c r="C937" t="s">
        <v>19</v>
      </c>
      <c r="D937" t="s">
        <v>32</v>
      </c>
      <c r="E937" t="s">
        <v>33</v>
      </c>
      <c r="F937" t="s">
        <v>22</v>
      </c>
      <c r="G937" t="s">
        <v>38</v>
      </c>
      <c r="H937">
        <v>32617</v>
      </c>
      <c r="I937">
        <v>15478</v>
      </c>
      <c r="J937">
        <v>21</v>
      </c>
      <c r="K937">
        <v>1</v>
      </c>
      <c r="L937">
        <v>2</v>
      </c>
      <c r="M937" t="s">
        <v>25</v>
      </c>
      <c r="N937">
        <v>3</v>
      </c>
      <c r="O937">
        <v>16</v>
      </c>
      <c r="P937">
        <v>25</v>
      </c>
      <c r="Q937">
        <v>2</v>
      </c>
      <c r="R937">
        <v>4</v>
      </c>
      <c r="S937" t="s">
        <v>25</v>
      </c>
    </row>
    <row r="938" spans="1:19" x14ac:dyDescent="0.25">
      <c r="A938">
        <v>10937</v>
      </c>
      <c r="B938">
        <v>59</v>
      </c>
      <c r="C938" t="s">
        <v>31</v>
      </c>
      <c r="D938" t="s">
        <v>20</v>
      </c>
      <c r="E938" t="s">
        <v>21</v>
      </c>
      <c r="F938" t="s">
        <v>39</v>
      </c>
      <c r="G938" t="s">
        <v>38</v>
      </c>
      <c r="H938">
        <v>112290</v>
      </c>
      <c r="I938">
        <v>16439</v>
      </c>
      <c r="J938">
        <v>16</v>
      </c>
      <c r="K938">
        <v>7</v>
      </c>
      <c r="L938">
        <v>3</v>
      </c>
      <c r="M938" t="s">
        <v>25</v>
      </c>
      <c r="N938">
        <v>4</v>
      </c>
      <c r="O938">
        <v>16</v>
      </c>
      <c r="P938">
        <v>30</v>
      </c>
      <c r="Q938">
        <v>2</v>
      </c>
      <c r="R938">
        <v>3</v>
      </c>
      <c r="S938" t="s">
        <v>25</v>
      </c>
    </row>
    <row r="939" spans="1:19" x14ac:dyDescent="0.25">
      <c r="A939">
        <v>10938</v>
      </c>
      <c r="B939">
        <v>38</v>
      </c>
      <c r="C939" t="s">
        <v>19</v>
      </c>
      <c r="D939" t="s">
        <v>20</v>
      </c>
      <c r="E939" t="s">
        <v>21</v>
      </c>
      <c r="F939" t="s">
        <v>39</v>
      </c>
      <c r="G939" t="s">
        <v>30</v>
      </c>
      <c r="H939">
        <v>90947</v>
      </c>
      <c r="I939">
        <v>19439</v>
      </c>
      <c r="J939">
        <v>12</v>
      </c>
      <c r="K939">
        <v>1</v>
      </c>
      <c r="L939">
        <v>2</v>
      </c>
      <c r="M939" t="s">
        <v>25</v>
      </c>
      <c r="N939">
        <v>3</v>
      </c>
      <c r="O939">
        <v>10</v>
      </c>
      <c r="P939">
        <v>11</v>
      </c>
      <c r="Q939">
        <v>1</v>
      </c>
      <c r="R939">
        <v>3</v>
      </c>
      <c r="S939" t="s">
        <v>24</v>
      </c>
    </row>
    <row r="940" spans="1:19" x14ac:dyDescent="0.25">
      <c r="A940">
        <v>10939</v>
      </c>
      <c r="B940">
        <v>37</v>
      </c>
      <c r="C940" t="s">
        <v>31</v>
      </c>
      <c r="D940" t="s">
        <v>26</v>
      </c>
      <c r="E940" t="s">
        <v>27</v>
      </c>
      <c r="F940" t="s">
        <v>37</v>
      </c>
      <c r="G940" t="s">
        <v>30</v>
      </c>
      <c r="H940">
        <v>83987</v>
      </c>
      <c r="I940">
        <v>30312</v>
      </c>
      <c r="J940">
        <v>23</v>
      </c>
      <c r="K940">
        <v>7</v>
      </c>
      <c r="L940">
        <v>3</v>
      </c>
      <c r="M940" t="s">
        <v>25</v>
      </c>
      <c r="N940">
        <v>4</v>
      </c>
      <c r="O940">
        <v>10</v>
      </c>
      <c r="P940">
        <v>21</v>
      </c>
      <c r="Q940">
        <v>4</v>
      </c>
      <c r="R940">
        <v>1</v>
      </c>
      <c r="S940" t="s">
        <v>25</v>
      </c>
    </row>
    <row r="941" spans="1:19" x14ac:dyDescent="0.25">
      <c r="A941">
        <v>10940</v>
      </c>
      <c r="B941">
        <v>23</v>
      </c>
      <c r="C941" t="s">
        <v>19</v>
      </c>
      <c r="D941" t="s">
        <v>26</v>
      </c>
      <c r="E941" t="s">
        <v>33</v>
      </c>
      <c r="F941" t="s">
        <v>39</v>
      </c>
      <c r="G941" t="s">
        <v>23</v>
      </c>
      <c r="H941">
        <v>34494</v>
      </c>
      <c r="I941">
        <v>20751</v>
      </c>
      <c r="J941">
        <v>22</v>
      </c>
      <c r="K941">
        <v>9</v>
      </c>
      <c r="L941">
        <v>4</v>
      </c>
      <c r="M941" t="s">
        <v>25</v>
      </c>
      <c r="N941">
        <v>4</v>
      </c>
      <c r="O941">
        <v>1</v>
      </c>
      <c r="P941">
        <v>52</v>
      </c>
      <c r="Q941">
        <v>2</v>
      </c>
      <c r="R941">
        <v>3</v>
      </c>
      <c r="S941" t="s">
        <v>25</v>
      </c>
    </row>
    <row r="942" spans="1:19" x14ac:dyDescent="0.25">
      <c r="A942">
        <v>10941</v>
      </c>
      <c r="B942">
        <v>33</v>
      </c>
      <c r="C942" t="s">
        <v>19</v>
      </c>
      <c r="D942" t="s">
        <v>20</v>
      </c>
      <c r="E942" t="s">
        <v>36</v>
      </c>
      <c r="F942" t="s">
        <v>22</v>
      </c>
      <c r="G942" t="s">
        <v>38</v>
      </c>
      <c r="H942">
        <v>54231</v>
      </c>
      <c r="I942">
        <v>2747</v>
      </c>
      <c r="J942">
        <v>7</v>
      </c>
      <c r="K942">
        <v>12</v>
      </c>
      <c r="L942">
        <v>3</v>
      </c>
      <c r="M942" t="s">
        <v>25</v>
      </c>
      <c r="N942">
        <v>3</v>
      </c>
      <c r="O942">
        <v>28</v>
      </c>
      <c r="P942">
        <v>8</v>
      </c>
      <c r="Q942">
        <v>3</v>
      </c>
      <c r="R942">
        <v>2</v>
      </c>
      <c r="S942" t="s">
        <v>25</v>
      </c>
    </row>
    <row r="943" spans="1:19" x14ac:dyDescent="0.25">
      <c r="A943">
        <v>10942</v>
      </c>
      <c r="B943">
        <v>45</v>
      </c>
      <c r="C943" t="s">
        <v>19</v>
      </c>
      <c r="D943" t="s">
        <v>20</v>
      </c>
      <c r="E943" t="s">
        <v>33</v>
      </c>
      <c r="F943" t="s">
        <v>35</v>
      </c>
      <c r="G943" t="s">
        <v>38</v>
      </c>
      <c r="H943">
        <v>28411</v>
      </c>
      <c r="I943">
        <v>33744</v>
      </c>
      <c r="J943">
        <v>16</v>
      </c>
      <c r="K943">
        <v>1</v>
      </c>
      <c r="L943">
        <v>3</v>
      </c>
      <c r="M943" t="s">
        <v>25</v>
      </c>
      <c r="N943">
        <v>3</v>
      </c>
      <c r="O943">
        <v>13</v>
      </c>
      <c r="P943">
        <v>24</v>
      </c>
      <c r="Q943">
        <v>3</v>
      </c>
      <c r="R943">
        <v>3</v>
      </c>
      <c r="S943" t="s">
        <v>25</v>
      </c>
    </row>
    <row r="944" spans="1:19" x14ac:dyDescent="0.25">
      <c r="A944">
        <v>10943</v>
      </c>
      <c r="B944">
        <v>26</v>
      </c>
      <c r="C944" t="s">
        <v>19</v>
      </c>
      <c r="D944" t="s">
        <v>28</v>
      </c>
      <c r="E944" t="s">
        <v>33</v>
      </c>
      <c r="F944" t="s">
        <v>39</v>
      </c>
      <c r="G944" t="s">
        <v>30</v>
      </c>
      <c r="H944">
        <v>33464</v>
      </c>
      <c r="I944">
        <v>31029</v>
      </c>
      <c r="J944">
        <v>12</v>
      </c>
      <c r="K944">
        <v>4</v>
      </c>
      <c r="L944">
        <v>3</v>
      </c>
      <c r="M944" t="s">
        <v>25</v>
      </c>
      <c r="N944">
        <v>1</v>
      </c>
      <c r="O944">
        <v>21</v>
      </c>
      <c r="P944">
        <v>45</v>
      </c>
      <c r="Q944">
        <v>3</v>
      </c>
      <c r="R944">
        <v>4</v>
      </c>
      <c r="S944" t="s">
        <v>25</v>
      </c>
    </row>
    <row r="945" spans="1:19" x14ac:dyDescent="0.25">
      <c r="A945">
        <v>10944</v>
      </c>
      <c r="B945">
        <v>59</v>
      </c>
      <c r="C945" t="s">
        <v>31</v>
      </c>
      <c r="D945" t="s">
        <v>32</v>
      </c>
      <c r="E945" t="s">
        <v>33</v>
      </c>
      <c r="F945" t="s">
        <v>39</v>
      </c>
      <c r="G945" t="s">
        <v>38</v>
      </c>
      <c r="H945">
        <v>37766</v>
      </c>
      <c r="I945">
        <v>42844</v>
      </c>
      <c r="J945">
        <v>9</v>
      </c>
      <c r="K945">
        <v>1</v>
      </c>
      <c r="L945">
        <v>3</v>
      </c>
      <c r="M945" t="s">
        <v>25</v>
      </c>
      <c r="N945">
        <v>4</v>
      </c>
      <c r="O945">
        <v>30</v>
      </c>
      <c r="P945">
        <v>23</v>
      </c>
      <c r="Q945">
        <v>2</v>
      </c>
      <c r="R945">
        <v>3</v>
      </c>
      <c r="S945" t="s">
        <v>25</v>
      </c>
    </row>
    <row r="946" spans="1:19" x14ac:dyDescent="0.25">
      <c r="A946">
        <v>10945</v>
      </c>
      <c r="B946">
        <v>39</v>
      </c>
      <c r="C946" t="s">
        <v>19</v>
      </c>
      <c r="D946" t="s">
        <v>20</v>
      </c>
      <c r="E946" t="s">
        <v>33</v>
      </c>
      <c r="F946" t="s">
        <v>35</v>
      </c>
      <c r="G946" t="s">
        <v>30</v>
      </c>
      <c r="H946">
        <v>40058</v>
      </c>
      <c r="I946">
        <v>2167</v>
      </c>
      <c r="J946">
        <v>0</v>
      </c>
      <c r="K946">
        <v>7</v>
      </c>
      <c r="L946">
        <v>3</v>
      </c>
      <c r="M946" t="s">
        <v>24</v>
      </c>
      <c r="N946">
        <v>1</v>
      </c>
      <c r="O946">
        <v>15</v>
      </c>
      <c r="P946">
        <v>30</v>
      </c>
      <c r="Q946">
        <v>3</v>
      </c>
      <c r="R946">
        <v>4</v>
      </c>
      <c r="S946" t="s">
        <v>24</v>
      </c>
    </row>
    <row r="947" spans="1:19" x14ac:dyDescent="0.25">
      <c r="A947">
        <v>10946</v>
      </c>
      <c r="B947">
        <v>52</v>
      </c>
      <c r="C947" t="s">
        <v>31</v>
      </c>
      <c r="D947" t="s">
        <v>28</v>
      </c>
      <c r="E947" t="s">
        <v>21</v>
      </c>
      <c r="F947" t="s">
        <v>35</v>
      </c>
      <c r="G947" t="s">
        <v>38</v>
      </c>
      <c r="H947">
        <v>113991</v>
      </c>
      <c r="I947">
        <v>16321</v>
      </c>
      <c r="J947">
        <v>17</v>
      </c>
      <c r="K947">
        <v>12</v>
      </c>
      <c r="L947">
        <v>1</v>
      </c>
      <c r="M947" t="s">
        <v>25</v>
      </c>
      <c r="N947">
        <v>2</v>
      </c>
      <c r="O947">
        <v>29</v>
      </c>
      <c r="P947">
        <v>26</v>
      </c>
      <c r="Q947">
        <v>1</v>
      </c>
      <c r="R947">
        <v>1</v>
      </c>
      <c r="S947" t="s">
        <v>25</v>
      </c>
    </row>
    <row r="948" spans="1:19" x14ac:dyDescent="0.25">
      <c r="A948">
        <v>10947</v>
      </c>
      <c r="B948">
        <v>39</v>
      </c>
      <c r="C948" t="s">
        <v>31</v>
      </c>
      <c r="D948" t="s">
        <v>20</v>
      </c>
      <c r="E948" t="s">
        <v>27</v>
      </c>
      <c r="F948" t="s">
        <v>35</v>
      </c>
      <c r="G948" t="s">
        <v>38</v>
      </c>
      <c r="H948">
        <v>60707</v>
      </c>
      <c r="I948">
        <v>31516</v>
      </c>
      <c r="J948">
        <v>22</v>
      </c>
      <c r="K948">
        <v>1</v>
      </c>
      <c r="L948">
        <v>4</v>
      </c>
      <c r="M948" t="s">
        <v>24</v>
      </c>
      <c r="N948">
        <v>3</v>
      </c>
      <c r="O948">
        <v>20</v>
      </c>
      <c r="P948">
        <v>17</v>
      </c>
      <c r="Q948">
        <v>2</v>
      </c>
      <c r="R948">
        <v>3</v>
      </c>
      <c r="S948" t="s">
        <v>25</v>
      </c>
    </row>
    <row r="949" spans="1:19" x14ac:dyDescent="0.25">
      <c r="A949">
        <v>10948</v>
      </c>
      <c r="B949">
        <v>29</v>
      </c>
      <c r="C949" t="s">
        <v>19</v>
      </c>
      <c r="D949" t="s">
        <v>41</v>
      </c>
      <c r="E949" t="s">
        <v>40</v>
      </c>
      <c r="F949" t="s">
        <v>39</v>
      </c>
      <c r="G949" t="s">
        <v>38</v>
      </c>
      <c r="H949">
        <v>13907</v>
      </c>
      <c r="I949">
        <v>49103</v>
      </c>
      <c r="J949">
        <v>10</v>
      </c>
      <c r="K949">
        <v>5</v>
      </c>
      <c r="L949">
        <v>3</v>
      </c>
      <c r="M949" t="s">
        <v>25</v>
      </c>
      <c r="N949">
        <v>3</v>
      </c>
      <c r="O949">
        <v>13</v>
      </c>
      <c r="P949">
        <v>7</v>
      </c>
      <c r="Q949">
        <v>2</v>
      </c>
      <c r="R949">
        <v>4</v>
      </c>
      <c r="S949" t="s">
        <v>25</v>
      </c>
    </row>
    <row r="950" spans="1:19" x14ac:dyDescent="0.25">
      <c r="A950">
        <v>10949</v>
      </c>
      <c r="B950">
        <v>20</v>
      </c>
      <c r="C950" t="s">
        <v>19</v>
      </c>
      <c r="D950" t="s">
        <v>34</v>
      </c>
      <c r="E950" t="s">
        <v>33</v>
      </c>
      <c r="F950" t="s">
        <v>37</v>
      </c>
      <c r="G950" t="s">
        <v>30</v>
      </c>
      <c r="H950">
        <v>34526</v>
      </c>
      <c r="I950">
        <v>29715</v>
      </c>
      <c r="J950">
        <v>0</v>
      </c>
      <c r="K950">
        <v>0</v>
      </c>
      <c r="L950">
        <v>3</v>
      </c>
      <c r="M950" t="s">
        <v>25</v>
      </c>
      <c r="N950">
        <v>3</v>
      </c>
      <c r="O950">
        <v>36</v>
      </c>
      <c r="P950">
        <v>34</v>
      </c>
      <c r="Q950">
        <v>2</v>
      </c>
      <c r="R950">
        <v>1</v>
      </c>
      <c r="S950" t="s">
        <v>25</v>
      </c>
    </row>
    <row r="951" spans="1:19" x14ac:dyDescent="0.25">
      <c r="A951">
        <v>10950</v>
      </c>
      <c r="B951">
        <v>57</v>
      </c>
      <c r="C951" t="s">
        <v>31</v>
      </c>
      <c r="D951" t="s">
        <v>34</v>
      </c>
      <c r="E951" t="s">
        <v>36</v>
      </c>
      <c r="F951" t="s">
        <v>39</v>
      </c>
      <c r="G951" t="s">
        <v>38</v>
      </c>
      <c r="H951">
        <v>62332</v>
      </c>
      <c r="I951">
        <v>1403</v>
      </c>
      <c r="J951">
        <v>11</v>
      </c>
      <c r="K951">
        <v>7</v>
      </c>
      <c r="L951">
        <v>3</v>
      </c>
      <c r="M951" t="s">
        <v>25</v>
      </c>
      <c r="N951">
        <v>3</v>
      </c>
      <c r="O951">
        <v>5</v>
      </c>
      <c r="P951">
        <v>9</v>
      </c>
      <c r="Q951">
        <v>2</v>
      </c>
      <c r="R951">
        <v>3</v>
      </c>
      <c r="S951" t="s">
        <v>25</v>
      </c>
    </row>
    <row r="952" spans="1:19" x14ac:dyDescent="0.25">
      <c r="A952">
        <v>10951</v>
      </c>
      <c r="B952">
        <v>45</v>
      </c>
      <c r="C952" t="s">
        <v>19</v>
      </c>
      <c r="D952" t="s">
        <v>34</v>
      </c>
      <c r="E952" t="s">
        <v>21</v>
      </c>
      <c r="F952" t="s">
        <v>35</v>
      </c>
      <c r="G952" t="s">
        <v>30</v>
      </c>
      <c r="H952">
        <v>96023</v>
      </c>
      <c r="I952">
        <v>9963</v>
      </c>
      <c r="J952">
        <v>4</v>
      </c>
      <c r="K952">
        <v>12</v>
      </c>
      <c r="L952">
        <v>3</v>
      </c>
      <c r="M952" t="s">
        <v>25</v>
      </c>
      <c r="N952">
        <v>2</v>
      </c>
      <c r="O952">
        <v>21</v>
      </c>
      <c r="P952">
        <v>58</v>
      </c>
      <c r="Q952">
        <v>2</v>
      </c>
      <c r="R952">
        <v>4</v>
      </c>
      <c r="S952" t="s">
        <v>25</v>
      </c>
    </row>
    <row r="953" spans="1:19" x14ac:dyDescent="0.25">
      <c r="A953">
        <v>10952</v>
      </c>
      <c r="B953">
        <v>27</v>
      </c>
      <c r="C953" t="s">
        <v>19</v>
      </c>
      <c r="D953" t="s">
        <v>28</v>
      </c>
      <c r="E953" t="s">
        <v>36</v>
      </c>
      <c r="F953" t="s">
        <v>35</v>
      </c>
      <c r="G953" t="s">
        <v>23</v>
      </c>
      <c r="H953">
        <v>58540</v>
      </c>
      <c r="I953">
        <v>39451</v>
      </c>
      <c r="J953">
        <v>10</v>
      </c>
      <c r="K953">
        <v>0</v>
      </c>
      <c r="L953">
        <v>3</v>
      </c>
      <c r="M953" t="s">
        <v>25</v>
      </c>
      <c r="N953">
        <v>3</v>
      </c>
      <c r="O953">
        <v>35</v>
      </c>
      <c r="P953">
        <v>14</v>
      </c>
      <c r="Q953">
        <v>4</v>
      </c>
      <c r="R953">
        <v>1</v>
      </c>
      <c r="S953" t="s">
        <v>25</v>
      </c>
    </row>
    <row r="954" spans="1:19" x14ac:dyDescent="0.25">
      <c r="A954">
        <v>10953</v>
      </c>
      <c r="B954">
        <v>42</v>
      </c>
      <c r="C954" t="s">
        <v>19</v>
      </c>
      <c r="D954" t="s">
        <v>41</v>
      </c>
      <c r="E954" t="s">
        <v>27</v>
      </c>
      <c r="F954" t="s">
        <v>39</v>
      </c>
      <c r="G954" t="s">
        <v>38</v>
      </c>
      <c r="H954">
        <v>88172</v>
      </c>
      <c r="I954">
        <v>18130</v>
      </c>
      <c r="J954">
        <v>21</v>
      </c>
      <c r="K954">
        <v>8</v>
      </c>
      <c r="L954">
        <v>5</v>
      </c>
      <c r="M954" t="s">
        <v>25</v>
      </c>
      <c r="N954">
        <v>3</v>
      </c>
      <c r="O954">
        <v>36</v>
      </c>
      <c r="P954">
        <v>55</v>
      </c>
      <c r="Q954">
        <v>4</v>
      </c>
      <c r="R954">
        <v>2</v>
      </c>
      <c r="S954" t="s">
        <v>25</v>
      </c>
    </row>
    <row r="955" spans="1:19" x14ac:dyDescent="0.25">
      <c r="A955">
        <v>10954</v>
      </c>
      <c r="B955">
        <v>48</v>
      </c>
      <c r="C955" t="s">
        <v>19</v>
      </c>
      <c r="D955" t="s">
        <v>20</v>
      </c>
      <c r="E955" t="s">
        <v>27</v>
      </c>
      <c r="F955" t="s">
        <v>22</v>
      </c>
      <c r="G955" t="s">
        <v>23</v>
      </c>
      <c r="H955">
        <v>89424</v>
      </c>
      <c r="I955">
        <v>22481</v>
      </c>
      <c r="J955">
        <v>5</v>
      </c>
      <c r="K955">
        <v>3</v>
      </c>
      <c r="L955">
        <v>4</v>
      </c>
      <c r="M955" t="s">
        <v>24</v>
      </c>
      <c r="N955">
        <v>3</v>
      </c>
      <c r="O955">
        <v>32</v>
      </c>
      <c r="P955">
        <v>14</v>
      </c>
      <c r="Q955">
        <v>2</v>
      </c>
      <c r="R955">
        <v>2</v>
      </c>
      <c r="S955" t="s">
        <v>25</v>
      </c>
    </row>
    <row r="956" spans="1:19" x14ac:dyDescent="0.25">
      <c r="A956">
        <v>10955</v>
      </c>
      <c r="B956">
        <v>57</v>
      </c>
      <c r="C956" t="s">
        <v>31</v>
      </c>
      <c r="D956" t="s">
        <v>41</v>
      </c>
      <c r="E956" t="s">
        <v>40</v>
      </c>
      <c r="F956" t="s">
        <v>39</v>
      </c>
      <c r="G956" t="s">
        <v>30</v>
      </c>
      <c r="H956">
        <v>11638</v>
      </c>
      <c r="I956">
        <v>160</v>
      </c>
      <c r="J956">
        <v>8</v>
      </c>
      <c r="K956">
        <v>10</v>
      </c>
      <c r="L956">
        <v>5</v>
      </c>
      <c r="M956" t="s">
        <v>25</v>
      </c>
      <c r="N956">
        <v>3</v>
      </c>
      <c r="O956">
        <v>3</v>
      </c>
      <c r="P956">
        <v>26</v>
      </c>
      <c r="Q956">
        <v>4</v>
      </c>
      <c r="R956">
        <v>3</v>
      </c>
      <c r="S956" t="s">
        <v>25</v>
      </c>
    </row>
    <row r="957" spans="1:19" x14ac:dyDescent="0.25">
      <c r="A957">
        <v>10956</v>
      </c>
      <c r="B957">
        <v>40</v>
      </c>
      <c r="C957" t="s">
        <v>19</v>
      </c>
      <c r="D957" t="s">
        <v>20</v>
      </c>
      <c r="E957" t="s">
        <v>36</v>
      </c>
      <c r="F957" t="s">
        <v>22</v>
      </c>
      <c r="G957" t="s">
        <v>30</v>
      </c>
      <c r="H957">
        <v>63309</v>
      </c>
      <c r="I957">
        <v>49137</v>
      </c>
      <c r="J957">
        <v>3</v>
      </c>
      <c r="K957">
        <v>10</v>
      </c>
      <c r="L957">
        <v>3</v>
      </c>
      <c r="M957" t="s">
        <v>25</v>
      </c>
      <c r="N957">
        <v>2</v>
      </c>
      <c r="O957">
        <v>1</v>
      </c>
      <c r="P957">
        <v>42</v>
      </c>
      <c r="Q957">
        <v>4</v>
      </c>
      <c r="R957">
        <v>2</v>
      </c>
      <c r="S957" t="s">
        <v>25</v>
      </c>
    </row>
    <row r="958" spans="1:19" x14ac:dyDescent="0.25">
      <c r="A958">
        <v>10957</v>
      </c>
      <c r="B958">
        <v>28</v>
      </c>
      <c r="C958" t="s">
        <v>19</v>
      </c>
      <c r="D958" t="s">
        <v>20</v>
      </c>
      <c r="E958" t="s">
        <v>33</v>
      </c>
      <c r="F958" t="s">
        <v>22</v>
      </c>
      <c r="G958" t="s">
        <v>23</v>
      </c>
      <c r="H958">
        <v>35412</v>
      </c>
      <c r="I958">
        <v>16579</v>
      </c>
      <c r="J958">
        <v>22</v>
      </c>
      <c r="K958">
        <v>4</v>
      </c>
      <c r="L958">
        <v>3</v>
      </c>
      <c r="M958" t="s">
        <v>24</v>
      </c>
      <c r="N958">
        <v>4</v>
      </c>
      <c r="O958">
        <v>14</v>
      </c>
      <c r="P958">
        <v>43</v>
      </c>
      <c r="Q958">
        <v>3</v>
      </c>
      <c r="R958">
        <v>1</v>
      </c>
      <c r="S958" t="s">
        <v>25</v>
      </c>
    </row>
    <row r="959" spans="1:19" x14ac:dyDescent="0.25">
      <c r="A959">
        <v>10958</v>
      </c>
      <c r="B959">
        <v>39</v>
      </c>
      <c r="C959" t="s">
        <v>19</v>
      </c>
      <c r="D959" t="s">
        <v>20</v>
      </c>
      <c r="E959" t="s">
        <v>33</v>
      </c>
      <c r="F959" t="s">
        <v>22</v>
      </c>
      <c r="G959" t="s">
        <v>38</v>
      </c>
      <c r="H959">
        <v>38437</v>
      </c>
      <c r="I959">
        <v>18243</v>
      </c>
      <c r="J959">
        <v>15</v>
      </c>
      <c r="K959">
        <v>3</v>
      </c>
      <c r="L959">
        <v>2</v>
      </c>
      <c r="M959" t="s">
        <v>25</v>
      </c>
      <c r="N959">
        <v>3</v>
      </c>
      <c r="O959">
        <v>23</v>
      </c>
      <c r="P959">
        <v>39</v>
      </c>
      <c r="Q959">
        <v>4</v>
      </c>
      <c r="R959">
        <v>1</v>
      </c>
      <c r="S959" t="s">
        <v>25</v>
      </c>
    </row>
    <row r="960" spans="1:19" x14ac:dyDescent="0.25">
      <c r="A960">
        <v>10959</v>
      </c>
      <c r="B960">
        <v>26</v>
      </c>
      <c r="C960" t="s">
        <v>19</v>
      </c>
      <c r="D960" t="s">
        <v>41</v>
      </c>
      <c r="E960" t="s">
        <v>33</v>
      </c>
      <c r="F960" t="s">
        <v>22</v>
      </c>
      <c r="G960" t="s">
        <v>30</v>
      </c>
      <c r="H960">
        <v>38195</v>
      </c>
      <c r="I960">
        <v>21734</v>
      </c>
      <c r="J960">
        <v>12</v>
      </c>
      <c r="K960">
        <v>8</v>
      </c>
      <c r="L960">
        <v>2</v>
      </c>
      <c r="M960" t="s">
        <v>25</v>
      </c>
      <c r="N960">
        <v>2</v>
      </c>
      <c r="O960">
        <v>29</v>
      </c>
      <c r="P960">
        <v>6</v>
      </c>
      <c r="Q960">
        <v>3</v>
      </c>
      <c r="R960">
        <v>1</v>
      </c>
      <c r="S960" t="s">
        <v>25</v>
      </c>
    </row>
    <row r="961" spans="1:19" x14ac:dyDescent="0.25">
      <c r="A961">
        <v>10960</v>
      </c>
      <c r="B961">
        <v>53</v>
      </c>
      <c r="C961" t="s">
        <v>19</v>
      </c>
      <c r="D961" t="s">
        <v>32</v>
      </c>
      <c r="E961" t="s">
        <v>36</v>
      </c>
      <c r="F961" t="s">
        <v>39</v>
      </c>
      <c r="G961" t="s">
        <v>30</v>
      </c>
      <c r="H961">
        <v>68362</v>
      </c>
      <c r="I961">
        <v>8796</v>
      </c>
      <c r="J961">
        <v>4</v>
      </c>
      <c r="K961">
        <v>9</v>
      </c>
      <c r="L961">
        <v>2</v>
      </c>
      <c r="M961" t="s">
        <v>25</v>
      </c>
      <c r="N961">
        <v>1</v>
      </c>
      <c r="O961">
        <v>10</v>
      </c>
      <c r="P961">
        <v>42</v>
      </c>
      <c r="Q961">
        <v>2</v>
      </c>
      <c r="R961">
        <v>1</v>
      </c>
      <c r="S961" t="s">
        <v>24</v>
      </c>
    </row>
    <row r="962" spans="1:19" x14ac:dyDescent="0.25">
      <c r="A962">
        <v>10961</v>
      </c>
      <c r="B962">
        <v>52</v>
      </c>
      <c r="C962" t="s">
        <v>19</v>
      </c>
      <c r="D962" t="s">
        <v>28</v>
      </c>
      <c r="E962" t="s">
        <v>33</v>
      </c>
      <c r="F962" t="s">
        <v>39</v>
      </c>
      <c r="G962" t="s">
        <v>38</v>
      </c>
      <c r="H962">
        <v>29642</v>
      </c>
      <c r="I962">
        <v>11399</v>
      </c>
      <c r="J962">
        <v>13</v>
      </c>
      <c r="K962">
        <v>13</v>
      </c>
      <c r="L962">
        <v>5</v>
      </c>
      <c r="M962" t="s">
        <v>25</v>
      </c>
      <c r="N962">
        <v>3</v>
      </c>
      <c r="O962">
        <v>21</v>
      </c>
      <c r="P962">
        <v>51</v>
      </c>
      <c r="Q962">
        <v>2</v>
      </c>
      <c r="R962">
        <v>2</v>
      </c>
      <c r="S962" t="s">
        <v>25</v>
      </c>
    </row>
    <row r="963" spans="1:19" x14ac:dyDescent="0.25">
      <c r="A963">
        <v>10962</v>
      </c>
      <c r="B963">
        <v>46</v>
      </c>
      <c r="C963" t="s">
        <v>31</v>
      </c>
      <c r="D963" t="s">
        <v>20</v>
      </c>
      <c r="E963" t="s">
        <v>27</v>
      </c>
      <c r="F963" t="s">
        <v>39</v>
      </c>
      <c r="G963" t="s">
        <v>38</v>
      </c>
      <c r="H963">
        <v>73712</v>
      </c>
      <c r="I963">
        <v>36005</v>
      </c>
      <c r="J963">
        <v>17</v>
      </c>
      <c r="K963">
        <v>9</v>
      </c>
      <c r="L963">
        <v>2</v>
      </c>
      <c r="M963" t="s">
        <v>25</v>
      </c>
      <c r="N963">
        <v>4</v>
      </c>
      <c r="O963">
        <v>26</v>
      </c>
      <c r="P963">
        <v>55</v>
      </c>
      <c r="Q963">
        <v>4</v>
      </c>
      <c r="R963">
        <v>3</v>
      </c>
      <c r="S963" t="s">
        <v>25</v>
      </c>
    </row>
    <row r="964" spans="1:19" x14ac:dyDescent="0.25">
      <c r="A964">
        <v>10963</v>
      </c>
      <c r="B964">
        <v>27</v>
      </c>
      <c r="C964" t="s">
        <v>19</v>
      </c>
      <c r="D964" t="s">
        <v>41</v>
      </c>
      <c r="E964" t="s">
        <v>27</v>
      </c>
      <c r="F964" t="s">
        <v>35</v>
      </c>
      <c r="G964" t="s">
        <v>38</v>
      </c>
      <c r="H964">
        <v>88789</v>
      </c>
      <c r="I964">
        <v>20497</v>
      </c>
      <c r="J964">
        <v>2</v>
      </c>
      <c r="K964">
        <v>12</v>
      </c>
      <c r="L964">
        <v>4</v>
      </c>
      <c r="M964" t="s">
        <v>25</v>
      </c>
      <c r="N964">
        <v>4</v>
      </c>
      <c r="O964">
        <v>25</v>
      </c>
      <c r="P964">
        <v>42</v>
      </c>
      <c r="Q964">
        <v>3</v>
      </c>
      <c r="R964">
        <v>2</v>
      </c>
      <c r="S964" t="s">
        <v>25</v>
      </c>
    </row>
    <row r="965" spans="1:19" x14ac:dyDescent="0.25">
      <c r="A965">
        <v>10964</v>
      </c>
      <c r="B965">
        <v>35</v>
      </c>
      <c r="C965" t="s">
        <v>19</v>
      </c>
      <c r="D965" t="s">
        <v>26</v>
      </c>
      <c r="E965" t="s">
        <v>27</v>
      </c>
      <c r="F965" t="s">
        <v>39</v>
      </c>
      <c r="G965" t="s">
        <v>30</v>
      </c>
      <c r="H965">
        <v>62681</v>
      </c>
      <c r="I965">
        <v>42710</v>
      </c>
      <c r="J965">
        <v>3</v>
      </c>
      <c r="K965">
        <v>7</v>
      </c>
      <c r="L965">
        <v>2</v>
      </c>
      <c r="M965" t="s">
        <v>25</v>
      </c>
      <c r="N965">
        <v>3</v>
      </c>
      <c r="O965">
        <v>17</v>
      </c>
      <c r="P965">
        <v>6</v>
      </c>
      <c r="Q965">
        <v>4</v>
      </c>
      <c r="R965">
        <v>1</v>
      </c>
      <c r="S965" t="s">
        <v>25</v>
      </c>
    </row>
    <row r="966" spans="1:19" x14ac:dyDescent="0.25">
      <c r="A966">
        <v>10965</v>
      </c>
      <c r="B966">
        <v>49</v>
      </c>
      <c r="C966" t="s">
        <v>31</v>
      </c>
      <c r="D966" t="s">
        <v>20</v>
      </c>
      <c r="E966" t="s">
        <v>27</v>
      </c>
      <c r="F966" t="s">
        <v>39</v>
      </c>
      <c r="G966" t="s">
        <v>30</v>
      </c>
      <c r="H966">
        <v>87924</v>
      </c>
      <c r="I966">
        <v>3896</v>
      </c>
      <c r="J966">
        <v>24</v>
      </c>
      <c r="K966">
        <v>2</v>
      </c>
      <c r="L966">
        <v>4</v>
      </c>
      <c r="M966" t="s">
        <v>25</v>
      </c>
      <c r="N966">
        <v>1</v>
      </c>
      <c r="O966">
        <v>8</v>
      </c>
      <c r="P966">
        <v>58</v>
      </c>
      <c r="Q966">
        <v>1</v>
      </c>
      <c r="R966">
        <v>3</v>
      </c>
      <c r="S966" t="s">
        <v>24</v>
      </c>
    </row>
    <row r="967" spans="1:19" x14ac:dyDescent="0.25">
      <c r="A967">
        <v>10966</v>
      </c>
      <c r="B967">
        <v>22</v>
      </c>
      <c r="C967" t="s">
        <v>31</v>
      </c>
      <c r="D967" t="s">
        <v>28</v>
      </c>
      <c r="E967" t="s">
        <v>36</v>
      </c>
      <c r="F967" t="s">
        <v>39</v>
      </c>
      <c r="G967" t="s">
        <v>38</v>
      </c>
      <c r="H967">
        <v>47632</v>
      </c>
      <c r="I967">
        <v>7818</v>
      </c>
      <c r="J967">
        <v>19</v>
      </c>
      <c r="K967">
        <v>10</v>
      </c>
      <c r="L967">
        <v>4</v>
      </c>
      <c r="M967" t="s">
        <v>25</v>
      </c>
      <c r="N967">
        <v>4</v>
      </c>
      <c r="O967">
        <v>16</v>
      </c>
      <c r="P967">
        <v>14</v>
      </c>
      <c r="Q967">
        <v>4</v>
      </c>
      <c r="R967">
        <v>1</v>
      </c>
      <c r="S967" t="s">
        <v>25</v>
      </c>
    </row>
    <row r="968" spans="1:19" x14ac:dyDescent="0.25">
      <c r="A968">
        <v>10967</v>
      </c>
      <c r="B968">
        <v>45</v>
      </c>
      <c r="C968" t="s">
        <v>19</v>
      </c>
      <c r="D968" t="s">
        <v>20</v>
      </c>
      <c r="E968" t="s">
        <v>21</v>
      </c>
      <c r="F968" t="s">
        <v>22</v>
      </c>
      <c r="G968" t="s">
        <v>38</v>
      </c>
      <c r="H968">
        <v>103134</v>
      </c>
      <c r="I968">
        <v>36727</v>
      </c>
      <c r="J968">
        <v>13</v>
      </c>
      <c r="K968">
        <v>5</v>
      </c>
      <c r="L968">
        <v>1</v>
      </c>
      <c r="M968" t="s">
        <v>25</v>
      </c>
      <c r="N968">
        <v>3</v>
      </c>
      <c r="O968">
        <v>32</v>
      </c>
      <c r="P968">
        <v>59</v>
      </c>
      <c r="Q968">
        <v>4</v>
      </c>
      <c r="R968">
        <v>4</v>
      </c>
      <c r="S968" t="s">
        <v>25</v>
      </c>
    </row>
    <row r="969" spans="1:19" x14ac:dyDescent="0.25">
      <c r="A969">
        <v>10968</v>
      </c>
      <c r="B969">
        <v>24</v>
      </c>
      <c r="C969" t="s">
        <v>19</v>
      </c>
      <c r="D969" t="s">
        <v>32</v>
      </c>
      <c r="E969" t="s">
        <v>36</v>
      </c>
      <c r="F969" t="s">
        <v>35</v>
      </c>
      <c r="G969" t="s">
        <v>38</v>
      </c>
      <c r="H969">
        <v>68621</v>
      </c>
      <c r="I969">
        <v>9989</v>
      </c>
      <c r="J969">
        <v>0</v>
      </c>
      <c r="K969">
        <v>14</v>
      </c>
      <c r="L969">
        <v>4</v>
      </c>
      <c r="M969" t="s">
        <v>25</v>
      </c>
      <c r="N969">
        <v>1</v>
      </c>
      <c r="O969">
        <v>26</v>
      </c>
      <c r="P969">
        <v>52</v>
      </c>
      <c r="Q969">
        <v>3</v>
      </c>
      <c r="R969">
        <v>3</v>
      </c>
      <c r="S969" t="s">
        <v>25</v>
      </c>
    </row>
    <row r="970" spans="1:19" x14ac:dyDescent="0.25">
      <c r="A970">
        <v>10969</v>
      </c>
      <c r="B970">
        <v>53</v>
      </c>
      <c r="C970" t="s">
        <v>19</v>
      </c>
      <c r="D970" t="s">
        <v>20</v>
      </c>
      <c r="E970" t="s">
        <v>36</v>
      </c>
      <c r="F970" t="s">
        <v>39</v>
      </c>
      <c r="G970" t="s">
        <v>38</v>
      </c>
      <c r="H970">
        <v>59048</v>
      </c>
      <c r="I970">
        <v>33201</v>
      </c>
      <c r="J970">
        <v>8</v>
      </c>
      <c r="K970">
        <v>9</v>
      </c>
      <c r="L970">
        <v>3</v>
      </c>
      <c r="M970" t="s">
        <v>25</v>
      </c>
      <c r="N970">
        <v>4</v>
      </c>
      <c r="O970">
        <v>20</v>
      </c>
      <c r="P970">
        <v>9</v>
      </c>
      <c r="Q970">
        <v>3</v>
      </c>
      <c r="R970">
        <v>3</v>
      </c>
      <c r="S970" t="s">
        <v>25</v>
      </c>
    </row>
    <row r="971" spans="1:19" x14ac:dyDescent="0.25">
      <c r="A971">
        <v>10970</v>
      </c>
      <c r="B971">
        <v>54</v>
      </c>
      <c r="C971" t="s">
        <v>19</v>
      </c>
      <c r="D971" t="s">
        <v>41</v>
      </c>
      <c r="E971" t="s">
        <v>33</v>
      </c>
      <c r="F971" t="s">
        <v>37</v>
      </c>
      <c r="G971" t="s">
        <v>23</v>
      </c>
      <c r="H971">
        <v>36621</v>
      </c>
      <c r="I971">
        <v>20577</v>
      </c>
      <c r="J971">
        <v>24</v>
      </c>
      <c r="K971">
        <v>7</v>
      </c>
      <c r="L971">
        <v>3</v>
      </c>
      <c r="M971" t="s">
        <v>25</v>
      </c>
      <c r="N971">
        <v>3</v>
      </c>
      <c r="O971">
        <v>9</v>
      </c>
      <c r="P971">
        <v>14</v>
      </c>
      <c r="Q971">
        <v>1</v>
      </c>
      <c r="R971">
        <v>2</v>
      </c>
      <c r="S971" t="s">
        <v>25</v>
      </c>
    </row>
    <row r="972" spans="1:19" x14ac:dyDescent="0.25">
      <c r="A972">
        <v>10971</v>
      </c>
      <c r="B972">
        <v>20</v>
      </c>
      <c r="C972" t="s">
        <v>19</v>
      </c>
      <c r="D972" t="s">
        <v>41</v>
      </c>
      <c r="E972" t="s">
        <v>36</v>
      </c>
      <c r="F972" t="s">
        <v>39</v>
      </c>
      <c r="G972" t="s">
        <v>30</v>
      </c>
      <c r="H972">
        <v>66037</v>
      </c>
      <c r="I972">
        <v>46328</v>
      </c>
      <c r="J972">
        <v>8</v>
      </c>
      <c r="K972">
        <v>7</v>
      </c>
      <c r="L972">
        <v>3</v>
      </c>
      <c r="M972" t="s">
        <v>25</v>
      </c>
      <c r="N972">
        <v>3</v>
      </c>
      <c r="O972">
        <v>10</v>
      </c>
      <c r="P972">
        <v>19</v>
      </c>
      <c r="Q972">
        <v>4</v>
      </c>
      <c r="R972">
        <v>3</v>
      </c>
      <c r="S972" t="s">
        <v>25</v>
      </c>
    </row>
    <row r="973" spans="1:19" x14ac:dyDescent="0.25">
      <c r="A973">
        <v>10972</v>
      </c>
      <c r="B973">
        <v>55</v>
      </c>
      <c r="C973" t="s">
        <v>19</v>
      </c>
      <c r="D973" t="s">
        <v>26</v>
      </c>
      <c r="E973" t="s">
        <v>36</v>
      </c>
      <c r="F973" t="s">
        <v>39</v>
      </c>
      <c r="G973" t="s">
        <v>38</v>
      </c>
      <c r="H973">
        <v>46688</v>
      </c>
      <c r="I973">
        <v>48531</v>
      </c>
      <c r="J973">
        <v>4</v>
      </c>
      <c r="K973">
        <v>3</v>
      </c>
      <c r="L973">
        <v>3</v>
      </c>
      <c r="M973" t="s">
        <v>25</v>
      </c>
      <c r="N973">
        <v>4</v>
      </c>
      <c r="O973">
        <v>2</v>
      </c>
      <c r="P973">
        <v>20</v>
      </c>
      <c r="Q973">
        <v>3</v>
      </c>
      <c r="R973">
        <v>4</v>
      </c>
      <c r="S973" t="s">
        <v>25</v>
      </c>
    </row>
    <row r="974" spans="1:19" x14ac:dyDescent="0.25">
      <c r="A974">
        <v>10973</v>
      </c>
      <c r="B974">
        <v>52</v>
      </c>
      <c r="C974" t="s">
        <v>19</v>
      </c>
      <c r="D974" t="s">
        <v>41</v>
      </c>
      <c r="E974" t="s">
        <v>40</v>
      </c>
      <c r="F974" t="s">
        <v>39</v>
      </c>
      <c r="G974" t="s">
        <v>38</v>
      </c>
      <c r="H974">
        <v>15955</v>
      </c>
      <c r="I974">
        <v>11675</v>
      </c>
      <c r="J974">
        <v>6</v>
      </c>
      <c r="K974">
        <v>0</v>
      </c>
      <c r="L974">
        <v>4</v>
      </c>
      <c r="M974" t="s">
        <v>24</v>
      </c>
      <c r="N974">
        <v>3</v>
      </c>
      <c r="O974">
        <v>18</v>
      </c>
      <c r="P974">
        <v>53</v>
      </c>
      <c r="Q974">
        <v>1</v>
      </c>
      <c r="R974">
        <v>3</v>
      </c>
      <c r="S974" t="s">
        <v>24</v>
      </c>
    </row>
    <row r="975" spans="1:19" x14ac:dyDescent="0.25">
      <c r="A975">
        <v>10974</v>
      </c>
      <c r="B975">
        <v>52</v>
      </c>
      <c r="C975" t="s">
        <v>19</v>
      </c>
      <c r="D975" t="s">
        <v>41</v>
      </c>
      <c r="E975" t="s">
        <v>29</v>
      </c>
      <c r="F975" t="s">
        <v>35</v>
      </c>
      <c r="G975" t="s">
        <v>30</v>
      </c>
      <c r="H975">
        <v>164001</v>
      </c>
      <c r="I975">
        <v>193</v>
      </c>
      <c r="J975">
        <v>5</v>
      </c>
      <c r="K975">
        <v>8</v>
      </c>
      <c r="L975">
        <v>1</v>
      </c>
      <c r="M975" t="s">
        <v>25</v>
      </c>
      <c r="N975">
        <v>3</v>
      </c>
      <c r="O975">
        <v>26</v>
      </c>
      <c r="P975">
        <v>42</v>
      </c>
      <c r="Q975">
        <v>3</v>
      </c>
      <c r="R975">
        <v>1</v>
      </c>
      <c r="S975" t="s">
        <v>25</v>
      </c>
    </row>
    <row r="976" spans="1:19" x14ac:dyDescent="0.25">
      <c r="A976">
        <v>10975</v>
      </c>
      <c r="B976">
        <v>38</v>
      </c>
      <c r="C976" t="s">
        <v>19</v>
      </c>
      <c r="D976" t="s">
        <v>20</v>
      </c>
      <c r="E976" t="s">
        <v>29</v>
      </c>
      <c r="F976" t="s">
        <v>39</v>
      </c>
      <c r="G976" t="s">
        <v>38</v>
      </c>
      <c r="H976">
        <v>142214</v>
      </c>
      <c r="I976">
        <v>42636</v>
      </c>
      <c r="J976">
        <v>9</v>
      </c>
      <c r="K976">
        <v>11</v>
      </c>
      <c r="L976">
        <v>3</v>
      </c>
      <c r="M976" t="s">
        <v>25</v>
      </c>
      <c r="N976">
        <v>2</v>
      </c>
      <c r="O976">
        <v>23</v>
      </c>
      <c r="P976">
        <v>14</v>
      </c>
      <c r="Q976">
        <v>2</v>
      </c>
      <c r="R976">
        <v>3</v>
      </c>
      <c r="S976" t="s">
        <v>24</v>
      </c>
    </row>
    <row r="977" spans="1:19" x14ac:dyDescent="0.25">
      <c r="A977">
        <v>10976</v>
      </c>
      <c r="B977">
        <v>33</v>
      </c>
      <c r="C977" t="s">
        <v>19</v>
      </c>
      <c r="D977" t="s">
        <v>32</v>
      </c>
      <c r="E977" t="s">
        <v>27</v>
      </c>
      <c r="F977" t="s">
        <v>39</v>
      </c>
      <c r="G977" t="s">
        <v>30</v>
      </c>
      <c r="H977">
        <v>73696</v>
      </c>
      <c r="I977">
        <v>25412</v>
      </c>
      <c r="J977">
        <v>13</v>
      </c>
      <c r="K977">
        <v>2</v>
      </c>
      <c r="L977">
        <v>3</v>
      </c>
      <c r="M977" t="s">
        <v>24</v>
      </c>
      <c r="N977">
        <v>3</v>
      </c>
      <c r="O977">
        <v>30</v>
      </c>
      <c r="P977">
        <v>19</v>
      </c>
      <c r="Q977">
        <v>4</v>
      </c>
      <c r="R977">
        <v>4</v>
      </c>
      <c r="S977" t="s">
        <v>25</v>
      </c>
    </row>
    <row r="978" spans="1:19" x14ac:dyDescent="0.25">
      <c r="A978">
        <v>10977</v>
      </c>
      <c r="B978">
        <v>52</v>
      </c>
      <c r="C978" t="s">
        <v>19</v>
      </c>
      <c r="D978" t="s">
        <v>41</v>
      </c>
      <c r="E978" t="s">
        <v>36</v>
      </c>
      <c r="F978" t="s">
        <v>39</v>
      </c>
      <c r="G978" t="s">
        <v>38</v>
      </c>
      <c r="H978">
        <v>54891</v>
      </c>
      <c r="I978">
        <v>33743</v>
      </c>
      <c r="J978">
        <v>8</v>
      </c>
      <c r="K978">
        <v>10</v>
      </c>
      <c r="L978">
        <v>5</v>
      </c>
      <c r="M978" t="s">
        <v>25</v>
      </c>
      <c r="N978">
        <v>4</v>
      </c>
      <c r="O978">
        <v>22</v>
      </c>
      <c r="P978">
        <v>44</v>
      </c>
      <c r="Q978">
        <v>2</v>
      </c>
      <c r="R978">
        <v>2</v>
      </c>
      <c r="S978" t="s">
        <v>25</v>
      </c>
    </row>
    <row r="979" spans="1:19" x14ac:dyDescent="0.25">
      <c r="A979">
        <v>10978</v>
      </c>
      <c r="B979">
        <v>32</v>
      </c>
      <c r="C979" t="s">
        <v>19</v>
      </c>
      <c r="D979" t="s">
        <v>41</v>
      </c>
      <c r="E979" t="s">
        <v>36</v>
      </c>
      <c r="F979" t="s">
        <v>39</v>
      </c>
      <c r="G979" t="s">
        <v>38</v>
      </c>
      <c r="H979">
        <v>57049</v>
      </c>
      <c r="I979">
        <v>12460</v>
      </c>
      <c r="J979">
        <v>2</v>
      </c>
      <c r="K979">
        <v>5</v>
      </c>
      <c r="L979">
        <v>3</v>
      </c>
      <c r="M979" t="s">
        <v>24</v>
      </c>
      <c r="N979">
        <v>2</v>
      </c>
      <c r="O979">
        <v>10</v>
      </c>
      <c r="P979">
        <v>43</v>
      </c>
      <c r="Q979">
        <v>4</v>
      </c>
      <c r="R979">
        <v>4</v>
      </c>
      <c r="S979" t="s">
        <v>24</v>
      </c>
    </row>
    <row r="980" spans="1:19" x14ac:dyDescent="0.25">
      <c r="A980">
        <v>10979</v>
      </c>
      <c r="B980">
        <v>26</v>
      </c>
      <c r="C980" t="s">
        <v>31</v>
      </c>
      <c r="D980" t="s">
        <v>20</v>
      </c>
      <c r="E980" t="s">
        <v>33</v>
      </c>
      <c r="F980" t="s">
        <v>39</v>
      </c>
      <c r="G980" t="s">
        <v>30</v>
      </c>
      <c r="H980">
        <v>43458</v>
      </c>
      <c r="I980">
        <v>27655</v>
      </c>
      <c r="J980">
        <v>23</v>
      </c>
      <c r="K980">
        <v>2</v>
      </c>
      <c r="L980">
        <v>3</v>
      </c>
      <c r="M980" t="s">
        <v>24</v>
      </c>
      <c r="N980">
        <v>3</v>
      </c>
      <c r="O980">
        <v>18</v>
      </c>
      <c r="P980">
        <v>42</v>
      </c>
      <c r="Q980">
        <v>3</v>
      </c>
      <c r="R980">
        <v>3</v>
      </c>
      <c r="S980" t="s">
        <v>25</v>
      </c>
    </row>
    <row r="981" spans="1:19" x14ac:dyDescent="0.25">
      <c r="A981">
        <v>10980</v>
      </c>
      <c r="B981">
        <v>55</v>
      </c>
      <c r="C981" t="s">
        <v>31</v>
      </c>
      <c r="D981" t="s">
        <v>20</v>
      </c>
      <c r="E981" t="s">
        <v>21</v>
      </c>
      <c r="F981" t="s">
        <v>35</v>
      </c>
      <c r="G981" t="s">
        <v>30</v>
      </c>
      <c r="H981">
        <v>100667</v>
      </c>
      <c r="I981">
        <v>46384</v>
      </c>
      <c r="J981">
        <v>2</v>
      </c>
      <c r="K981">
        <v>5</v>
      </c>
      <c r="L981">
        <v>3</v>
      </c>
      <c r="M981" t="s">
        <v>25</v>
      </c>
      <c r="N981">
        <v>3</v>
      </c>
      <c r="O981">
        <v>17</v>
      </c>
      <c r="P981">
        <v>20</v>
      </c>
      <c r="Q981">
        <v>1</v>
      </c>
      <c r="R981">
        <v>3</v>
      </c>
      <c r="S981" t="s">
        <v>25</v>
      </c>
    </row>
    <row r="982" spans="1:19" x14ac:dyDescent="0.25">
      <c r="A982">
        <v>10981</v>
      </c>
      <c r="B982">
        <v>57</v>
      </c>
      <c r="C982" t="s">
        <v>31</v>
      </c>
      <c r="D982" t="s">
        <v>20</v>
      </c>
      <c r="E982" t="s">
        <v>40</v>
      </c>
      <c r="F982" t="s">
        <v>39</v>
      </c>
      <c r="G982" t="s">
        <v>30</v>
      </c>
      <c r="H982">
        <v>15581</v>
      </c>
      <c r="I982">
        <v>18088</v>
      </c>
      <c r="J982">
        <v>1</v>
      </c>
      <c r="K982">
        <v>5</v>
      </c>
      <c r="L982">
        <v>5</v>
      </c>
      <c r="M982" t="s">
        <v>25</v>
      </c>
      <c r="N982">
        <v>1</v>
      </c>
      <c r="O982">
        <v>27</v>
      </c>
      <c r="P982">
        <v>36</v>
      </c>
      <c r="Q982">
        <v>3</v>
      </c>
      <c r="R982">
        <v>4</v>
      </c>
      <c r="S982" t="s">
        <v>25</v>
      </c>
    </row>
    <row r="983" spans="1:19" x14ac:dyDescent="0.25">
      <c r="A983">
        <v>10982</v>
      </c>
      <c r="B983">
        <v>44</v>
      </c>
      <c r="C983" t="s">
        <v>19</v>
      </c>
      <c r="D983" t="s">
        <v>32</v>
      </c>
      <c r="E983" t="s">
        <v>33</v>
      </c>
      <c r="F983" t="s">
        <v>39</v>
      </c>
      <c r="G983" t="s">
        <v>23</v>
      </c>
      <c r="H983">
        <v>33977</v>
      </c>
      <c r="I983">
        <v>49939</v>
      </c>
      <c r="J983">
        <v>7</v>
      </c>
      <c r="K983">
        <v>0</v>
      </c>
      <c r="L983">
        <v>3</v>
      </c>
      <c r="M983" t="s">
        <v>25</v>
      </c>
      <c r="N983">
        <v>4</v>
      </c>
      <c r="O983">
        <v>13</v>
      </c>
      <c r="P983">
        <v>20</v>
      </c>
      <c r="Q983">
        <v>4</v>
      </c>
      <c r="R983">
        <v>4</v>
      </c>
      <c r="S983" t="s">
        <v>25</v>
      </c>
    </row>
    <row r="984" spans="1:19" x14ac:dyDescent="0.25">
      <c r="A984">
        <v>10983</v>
      </c>
      <c r="B984">
        <v>57</v>
      </c>
      <c r="C984" t="s">
        <v>19</v>
      </c>
      <c r="D984" t="s">
        <v>28</v>
      </c>
      <c r="E984" t="s">
        <v>21</v>
      </c>
      <c r="F984" t="s">
        <v>39</v>
      </c>
      <c r="G984" t="s">
        <v>30</v>
      </c>
      <c r="H984">
        <v>129540</v>
      </c>
      <c r="I984">
        <v>29552</v>
      </c>
      <c r="J984">
        <v>1</v>
      </c>
      <c r="K984">
        <v>2</v>
      </c>
      <c r="L984">
        <v>4</v>
      </c>
      <c r="M984" t="s">
        <v>25</v>
      </c>
      <c r="N984">
        <v>4</v>
      </c>
      <c r="O984">
        <v>12</v>
      </c>
      <c r="P984">
        <v>54</v>
      </c>
      <c r="Q984">
        <v>4</v>
      </c>
      <c r="R984">
        <v>1</v>
      </c>
      <c r="S984" t="s">
        <v>25</v>
      </c>
    </row>
    <row r="985" spans="1:19" x14ac:dyDescent="0.25">
      <c r="A985">
        <v>10984</v>
      </c>
      <c r="B985">
        <v>27</v>
      </c>
      <c r="C985" t="s">
        <v>31</v>
      </c>
      <c r="D985" t="s">
        <v>28</v>
      </c>
      <c r="E985" t="s">
        <v>33</v>
      </c>
      <c r="F985" t="s">
        <v>39</v>
      </c>
      <c r="G985" t="s">
        <v>30</v>
      </c>
      <c r="H985">
        <v>27238</v>
      </c>
      <c r="I985">
        <v>9096</v>
      </c>
      <c r="J985">
        <v>24</v>
      </c>
      <c r="K985">
        <v>3</v>
      </c>
      <c r="L985">
        <v>3</v>
      </c>
      <c r="M985" t="s">
        <v>25</v>
      </c>
      <c r="N985">
        <v>3</v>
      </c>
      <c r="O985">
        <v>31</v>
      </c>
      <c r="P985">
        <v>49</v>
      </c>
      <c r="Q985">
        <v>3</v>
      </c>
      <c r="R985">
        <v>1</v>
      </c>
      <c r="S985" t="s">
        <v>24</v>
      </c>
    </row>
    <row r="986" spans="1:19" x14ac:dyDescent="0.25">
      <c r="A986">
        <v>10985</v>
      </c>
      <c r="B986">
        <v>48</v>
      </c>
      <c r="C986" t="s">
        <v>19</v>
      </c>
      <c r="D986" t="s">
        <v>34</v>
      </c>
      <c r="E986" t="s">
        <v>27</v>
      </c>
      <c r="F986" t="s">
        <v>39</v>
      </c>
      <c r="G986" t="s">
        <v>38</v>
      </c>
      <c r="H986">
        <v>67213</v>
      </c>
      <c r="I986">
        <v>1046</v>
      </c>
      <c r="J986">
        <v>10</v>
      </c>
      <c r="K986">
        <v>8</v>
      </c>
      <c r="L986">
        <v>4</v>
      </c>
      <c r="M986" t="s">
        <v>24</v>
      </c>
      <c r="N986">
        <v>3</v>
      </c>
      <c r="O986">
        <v>9</v>
      </c>
      <c r="P986">
        <v>16</v>
      </c>
      <c r="Q986">
        <v>4</v>
      </c>
      <c r="R986">
        <v>3</v>
      </c>
      <c r="S986" t="s">
        <v>25</v>
      </c>
    </row>
    <row r="987" spans="1:19" x14ac:dyDescent="0.25">
      <c r="A987">
        <v>10986</v>
      </c>
      <c r="B987">
        <v>27</v>
      </c>
      <c r="C987" t="s">
        <v>19</v>
      </c>
      <c r="D987" t="s">
        <v>20</v>
      </c>
      <c r="E987" t="s">
        <v>33</v>
      </c>
      <c r="F987" t="s">
        <v>39</v>
      </c>
      <c r="G987" t="s">
        <v>30</v>
      </c>
      <c r="H987">
        <v>44464</v>
      </c>
      <c r="I987">
        <v>37858</v>
      </c>
      <c r="J987">
        <v>16</v>
      </c>
      <c r="K987">
        <v>3</v>
      </c>
      <c r="L987">
        <v>3</v>
      </c>
      <c r="M987" t="s">
        <v>25</v>
      </c>
      <c r="N987">
        <v>2</v>
      </c>
      <c r="O987">
        <v>22</v>
      </c>
      <c r="P987">
        <v>10</v>
      </c>
      <c r="Q987">
        <v>4</v>
      </c>
      <c r="R987">
        <v>1</v>
      </c>
      <c r="S987" t="s">
        <v>25</v>
      </c>
    </row>
    <row r="988" spans="1:19" x14ac:dyDescent="0.25">
      <c r="A988">
        <v>10987</v>
      </c>
      <c r="B988">
        <v>26</v>
      </c>
      <c r="C988" t="s">
        <v>31</v>
      </c>
      <c r="D988" t="s">
        <v>41</v>
      </c>
      <c r="E988" t="s">
        <v>40</v>
      </c>
      <c r="F988" t="s">
        <v>39</v>
      </c>
      <c r="G988" t="s">
        <v>30</v>
      </c>
      <c r="H988">
        <v>10803</v>
      </c>
      <c r="I988">
        <v>9261</v>
      </c>
      <c r="J988">
        <v>7</v>
      </c>
      <c r="K988">
        <v>12</v>
      </c>
      <c r="L988">
        <v>3</v>
      </c>
      <c r="M988" t="s">
        <v>25</v>
      </c>
      <c r="N988">
        <v>3</v>
      </c>
      <c r="O988">
        <v>1</v>
      </c>
      <c r="P988">
        <v>33</v>
      </c>
      <c r="Q988">
        <v>3</v>
      </c>
      <c r="R988">
        <v>4</v>
      </c>
      <c r="S988" t="s">
        <v>25</v>
      </c>
    </row>
    <row r="989" spans="1:19" x14ac:dyDescent="0.25">
      <c r="A989">
        <v>10988</v>
      </c>
      <c r="B989">
        <v>38</v>
      </c>
      <c r="C989" t="s">
        <v>31</v>
      </c>
      <c r="D989" t="s">
        <v>41</v>
      </c>
      <c r="E989" t="s">
        <v>33</v>
      </c>
      <c r="F989" t="s">
        <v>35</v>
      </c>
      <c r="G989" t="s">
        <v>38</v>
      </c>
      <c r="H989">
        <v>26206</v>
      </c>
      <c r="I989">
        <v>9147</v>
      </c>
      <c r="J989">
        <v>11</v>
      </c>
      <c r="K989">
        <v>10</v>
      </c>
      <c r="L989">
        <v>5</v>
      </c>
      <c r="M989" t="s">
        <v>25</v>
      </c>
      <c r="N989">
        <v>4</v>
      </c>
      <c r="O989">
        <v>13</v>
      </c>
      <c r="P989">
        <v>9</v>
      </c>
      <c r="Q989">
        <v>1</v>
      </c>
      <c r="R989">
        <v>2</v>
      </c>
      <c r="S989" t="s">
        <v>24</v>
      </c>
    </row>
    <row r="990" spans="1:19" x14ac:dyDescent="0.25">
      <c r="A990">
        <v>10989</v>
      </c>
      <c r="B990">
        <v>44</v>
      </c>
      <c r="C990" t="s">
        <v>19</v>
      </c>
      <c r="D990" t="s">
        <v>32</v>
      </c>
      <c r="E990" t="s">
        <v>29</v>
      </c>
      <c r="F990" t="s">
        <v>37</v>
      </c>
      <c r="G990" t="s">
        <v>30</v>
      </c>
      <c r="H990">
        <v>131657</v>
      </c>
      <c r="I990">
        <v>25247</v>
      </c>
      <c r="J990">
        <v>22</v>
      </c>
      <c r="K990">
        <v>14</v>
      </c>
      <c r="L990">
        <v>4</v>
      </c>
      <c r="M990" t="s">
        <v>25</v>
      </c>
      <c r="N990">
        <v>3</v>
      </c>
      <c r="O990">
        <v>24</v>
      </c>
      <c r="P990">
        <v>5</v>
      </c>
      <c r="Q990">
        <v>3</v>
      </c>
      <c r="R990">
        <v>1</v>
      </c>
      <c r="S990" t="s">
        <v>25</v>
      </c>
    </row>
    <row r="991" spans="1:19" x14ac:dyDescent="0.25">
      <c r="A991">
        <v>10990</v>
      </c>
      <c r="B991">
        <v>56</v>
      </c>
      <c r="C991" t="s">
        <v>19</v>
      </c>
      <c r="D991" t="s">
        <v>32</v>
      </c>
      <c r="E991" t="s">
        <v>36</v>
      </c>
      <c r="F991" t="s">
        <v>39</v>
      </c>
      <c r="G991" t="s">
        <v>30</v>
      </c>
      <c r="H991">
        <v>50928</v>
      </c>
      <c r="I991">
        <v>15062</v>
      </c>
      <c r="J991">
        <v>3</v>
      </c>
      <c r="K991">
        <v>0</v>
      </c>
      <c r="L991">
        <v>3</v>
      </c>
      <c r="M991" t="s">
        <v>25</v>
      </c>
      <c r="N991">
        <v>2</v>
      </c>
      <c r="O991">
        <v>23</v>
      </c>
      <c r="P991">
        <v>48</v>
      </c>
      <c r="Q991">
        <v>3</v>
      </c>
      <c r="R991">
        <v>3</v>
      </c>
      <c r="S991" t="s">
        <v>25</v>
      </c>
    </row>
    <row r="992" spans="1:19" x14ac:dyDescent="0.25">
      <c r="A992">
        <v>10991</v>
      </c>
      <c r="B992">
        <v>44</v>
      </c>
      <c r="C992" t="s">
        <v>31</v>
      </c>
      <c r="D992" t="s">
        <v>41</v>
      </c>
      <c r="E992" t="s">
        <v>27</v>
      </c>
      <c r="F992" t="s">
        <v>35</v>
      </c>
      <c r="G992" t="s">
        <v>30</v>
      </c>
      <c r="H992">
        <v>69551</v>
      </c>
      <c r="I992">
        <v>17921</v>
      </c>
      <c r="J992">
        <v>18</v>
      </c>
      <c r="K992">
        <v>9</v>
      </c>
      <c r="L992">
        <v>2</v>
      </c>
      <c r="M992" t="s">
        <v>24</v>
      </c>
      <c r="N992">
        <v>1</v>
      </c>
      <c r="O992">
        <v>8</v>
      </c>
      <c r="P992">
        <v>54</v>
      </c>
      <c r="Q992">
        <v>1</v>
      </c>
      <c r="R992">
        <v>3</v>
      </c>
      <c r="S992" t="s">
        <v>24</v>
      </c>
    </row>
    <row r="993" spans="1:19" x14ac:dyDescent="0.25">
      <c r="A993">
        <v>10992</v>
      </c>
      <c r="B993">
        <v>48</v>
      </c>
      <c r="C993" t="s">
        <v>19</v>
      </c>
      <c r="D993" t="s">
        <v>41</v>
      </c>
      <c r="E993" t="s">
        <v>27</v>
      </c>
      <c r="F993" t="s">
        <v>35</v>
      </c>
      <c r="G993" t="s">
        <v>38</v>
      </c>
      <c r="H993">
        <v>85073</v>
      </c>
      <c r="I993">
        <v>11780</v>
      </c>
      <c r="J993">
        <v>6</v>
      </c>
      <c r="K993">
        <v>9</v>
      </c>
      <c r="L993">
        <v>3</v>
      </c>
      <c r="M993" t="s">
        <v>25</v>
      </c>
      <c r="N993">
        <v>2</v>
      </c>
      <c r="O993">
        <v>10</v>
      </c>
      <c r="P993">
        <v>54</v>
      </c>
      <c r="Q993">
        <v>3</v>
      </c>
      <c r="R993">
        <v>3</v>
      </c>
      <c r="S993" t="s">
        <v>25</v>
      </c>
    </row>
    <row r="994" spans="1:19" x14ac:dyDescent="0.25">
      <c r="A994">
        <v>10993</v>
      </c>
      <c r="B994">
        <v>23</v>
      </c>
      <c r="C994" t="s">
        <v>19</v>
      </c>
      <c r="D994" t="s">
        <v>34</v>
      </c>
      <c r="E994" t="s">
        <v>27</v>
      </c>
      <c r="F994" t="s">
        <v>39</v>
      </c>
      <c r="G994" t="s">
        <v>23</v>
      </c>
      <c r="H994">
        <v>82418</v>
      </c>
      <c r="I994">
        <v>18212</v>
      </c>
      <c r="J994">
        <v>20</v>
      </c>
      <c r="K994">
        <v>13</v>
      </c>
      <c r="L994">
        <v>4</v>
      </c>
      <c r="M994" t="s">
        <v>25</v>
      </c>
      <c r="N994">
        <v>3</v>
      </c>
      <c r="O994">
        <v>19</v>
      </c>
      <c r="P994">
        <v>46</v>
      </c>
      <c r="Q994">
        <v>4</v>
      </c>
      <c r="R994">
        <v>3</v>
      </c>
      <c r="S994" t="s">
        <v>25</v>
      </c>
    </row>
    <row r="995" spans="1:19" x14ac:dyDescent="0.25">
      <c r="A995">
        <v>10994</v>
      </c>
      <c r="B995">
        <v>58</v>
      </c>
      <c r="C995" t="s">
        <v>31</v>
      </c>
      <c r="D995" t="s">
        <v>34</v>
      </c>
      <c r="E995" t="s">
        <v>27</v>
      </c>
      <c r="F995" t="s">
        <v>39</v>
      </c>
      <c r="G995" t="s">
        <v>30</v>
      </c>
      <c r="H995">
        <v>61982</v>
      </c>
      <c r="I995">
        <v>41524</v>
      </c>
      <c r="J995">
        <v>11</v>
      </c>
      <c r="K995">
        <v>8</v>
      </c>
      <c r="L995">
        <v>1</v>
      </c>
      <c r="M995" t="s">
        <v>25</v>
      </c>
      <c r="N995">
        <v>4</v>
      </c>
      <c r="O995">
        <v>18</v>
      </c>
      <c r="P995">
        <v>50</v>
      </c>
      <c r="Q995">
        <v>2</v>
      </c>
      <c r="R995">
        <v>2</v>
      </c>
      <c r="S995" t="s">
        <v>25</v>
      </c>
    </row>
    <row r="996" spans="1:19" x14ac:dyDescent="0.25">
      <c r="A996">
        <v>10995</v>
      </c>
      <c r="B996">
        <v>41</v>
      </c>
      <c r="C996" t="s">
        <v>19</v>
      </c>
      <c r="D996" t="s">
        <v>28</v>
      </c>
      <c r="E996" t="s">
        <v>33</v>
      </c>
      <c r="F996" t="s">
        <v>39</v>
      </c>
      <c r="G996" t="s">
        <v>38</v>
      </c>
      <c r="H996">
        <v>28244</v>
      </c>
      <c r="I996">
        <v>7855</v>
      </c>
      <c r="J996">
        <v>19</v>
      </c>
      <c r="K996">
        <v>3</v>
      </c>
      <c r="L996">
        <v>3</v>
      </c>
      <c r="M996" t="s">
        <v>24</v>
      </c>
      <c r="N996">
        <v>3</v>
      </c>
      <c r="O996">
        <v>7</v>
      </c>
      <c r="P996">
        <v>46</v>
      </c>
      <c r="Q996">
        <v>2</v>
      </c>
      <c r="R996">
        <v>3</v>
      </c>
      <c r="S996" t="s">
        <v>25</v>
      </c>
    </row>
    <row r="997" spans="1:19" x14ac:dyDescent="0.25">
      <c r="A997">
        <v>10996</v>
      </c>
      <c r="B997">
        <v>27</v>
      </c>
      <c r="C997" t="s">
        <v>19</v>
      </c>
      <c r="D997" t="s">
        <v>41</v>
      </c>
      <c r="E997" t="s">
        <v>21</v>
      </c>
      <c r="F997" t="s">
        <v>39</v>
      </c>
      <c r="G997" t="s">
        <v>23</v>
      </c>
      <c r="H997">
        <v>120615</v>
      </c>
      <c r="I997">
        <v>5492</v>
      </c>
      <c r="J997">
        <v>23</v>
      </c>
      <c r="K997">
        <v>2</v>
      </c>
      <c r="L997">
        <v>3</v>
      </c>
      <c r="M997" t="s">
        <v>24</v>
      </c>
      <c r="N997">
        <v>4</v>
      </c>
      <c r="O997">
        <v>39</v>
      </c>
      <c r="P997">
        <v>52</v>
      </c>
      <c r="Q997">
        <v>4</v>
      </c>
      <c r="R997">
        <v>3</v>
      </c>
      <c r="S997" t="s">
        <v>25</v>
      </c>
    </row>
    <row r="998" spans="1:19" x14ac:dyDescent="0.25">
      <c r="A998">
        <v>10997</v>
      </c>
      <c r="B998">
        <v>31</v>
      </c>
      <c r="C998" t="s">
        <v>19</v>
      </c>
      <c r="D998" t="s">
        <v>20</v>
      </c>
      <c r="E998" t="s">
        <v>36</v>
      </c>
      <c r="F998" t="s">
        <v>39</v>
      </c>
      <c r="G998" t="s">
        <v>38</v>
      </c>
      <c r="H998">
        <v>49944</v>
      </c>
      <c r="I998">
        <v>27503</v>
      </c>
      <c r="J998">
        <v>15</v>
      </c>
      <c r="K998">
        <v>7</v>
      </c>
      <c r="L998">
        <v>2</v>
      </c>
      <c r="M998" t="s">
        <v>25</v>
      </c>
      <c r="N998">
        <v>1</v>
      </c>
      <c r="O998">
        <v>21</v>
      </c>
      <c r="P998">
        <v>55</v>
      </c>
      <c r="Q998">
        <v>3</v>
      </c>
      <c r="R998">
        <v>1</v>
      </c>
      <c r="S998" t="s">
        <v>25</v>
      </c>
    </row>
    <row r="999" spans="1:19" x14ac:dyDescent="0.25">
      <c r="A999">
        <v>10998</v>
      </c>
      <c r="B999">
        <v>41</v>
      </c>
      <c r="C999" t="s">
        <v>31</v>
      </c>
      <c r="D999" t="s">
        <v>28</v>
      </c>
      <c r="E999" t="s">
        <v>33</v>
      </c>
      <c r="F999" t="s">
        <v>39</v>
      </c>
      <c r="G999" t="s">
        <v>30</v>
      </c>
      <c r="H999">
        <v>38696</v>
      </c>
      <c r="I999">
        <v>42180</v>
      </c>
      <c r="J999">
        <v>19</v>
      </c>
      <c r="K999">
        <v>8</v>
      </c>
      <c r="L999">
        <v>1</v>
      </c>
      <c r="M999" t="s">
        <v>25</v>
      </c>
      <c r="N999">
        <v>3</v>
      </c>
      <c r="O999">
        <v>24</v>
      </c>
      <c r="P999">
        <v>12</v>
      </c>
      <c r="Q999">
        <v>4</v>
      </c>
      <c r="R999">
        <v>1</v>
      </c>
      <c r="S999" t="s">
        <v>25</v>
      </c>
    </row>
    <row r="1000" spans="1:19" x14ac:dyDescent="0.25">
      <c r="A1000">
        <v>10999</v>
      </c>
      <c r="B1000">
        <v>44</v>
      </c>
      <c r="C1000" t="s">
        <v>19</v>
      </c>
      <c r="D1000" t="s">
        <v>41</v>
      </c>
      <c r="E1000" t="s">
        <v>21</v>
      </c>
      <c r="F1000" t="s">
        <v>35</v>
      </c>
      <c r="G1000" t="s">
        <v>30</v>
      </c>
      <c r="H1000">
        <v>101357</v>
      </c>
      <c r="I1000">
        <v>41576</v>
      </c>
      <c r="J1000">
        <v>6</v>
      </c>
      <c r="K1000">
        <v>14</v>
      </c>
      <c r="L1000">
        <v>4</v>
      </c>
      <c r="M1000" t="s">
        <v>25</v>
      </c>
      <c r="N1000">
        <v>1</v>
      </c>
      <c r="O1000">
        <v>36</v>
      </c>
      <c r="P1000">
        <v>30</v>
      </c>
      <c r="Q1000">
        <v>1</v>
      </c>
      <c r="R1000">
        <v>2</v>
      </c>
      <c r="S1000" t="s">
        <v>25</v>
      </c>
    </row>
    <row r="1001" spans="1:19" x14ac:dyDescent="0.25">
      <c r="A1001">
        <v>11000</v>
      </c>
      <c r="B1001">
        <v>50</v>
      </c>
      <c r="C1001" t="s">
        <v>19</v>
      </c>
      <c r="D1001" t="s">
        <v>28</v>
      </c>
      <c r="E1001" t="s">
        <v>36</v>
      </c>
      <c r="F1001" t="s">
        <v>35</v>
      </c>
      <c r="G1001" t="s">
        <v>38</v>
      </c>
      <c r="H1001">
        <v>50988</v>
      </c>
      <c r="I1001">
        <v>35549</v>
      </c>
      <c r="J1001">
        <v>3</v>
      </c>
      <c r="K1001">
        <v>14</v>
      </c>
      <c r="L1001">
        <v>3</v>
      </c>
      <c r="M1001" t="s">
        <v>25</v>
      </c>
      <c r="N1001">
        <v>4</v>
      </c>
      <c r="O1001">
        <v>21</v>
      </c>
      <c r="P1001">
        <v>13</v>
      </c>
      <c r="Q1001">
        <v>2</v>
      </c>
      <c r="R1001">
        <v>1</v>
      </c>
      <c r="S1001" t="s">
        <v>25</v>
      </c>
    </row>
    <row r="1002" spans="1:19" x14ac:dyDescent="0.25">
      <c r="A1002">
        <v>11001</v>
      </c>
      <c r="B1002">
        <v>38</v>
      </c>
      <c r="C1002" t="s">
        <v>19</v>
      </c>
      <c r="D1002" t="s">
        <v>20</v>
      </c>
      <c r="E1002" t="s">
        <v>36</v>
      </c>
      <c r="F1002" t="s">
        <v>35</v>
      </c>
      <c r="G1002" t="s">
        <v>30</v>
      </c>
      <c r="H1002">
        <v>59328</v>
      </c>
      <c r="I1002">
        <v>38872</v>
      </c>
      <c r="J1002">
        <v>3</v>
      </c>
      <c r="K1002">
        <v>10</v>
      </c>
      <c r="L1002">
        <v>2</v>
      </c>
      <c r="M1002" t="s">
        <v>24</v>
      </c>
      <c r="N1002">
        <v>2</v>
      </c>
      <c r="O1002">
        <v>24</v>
      </c>
      <c r="P1002">
        <v>21</v>
      </c>
      <c r="Q1002">
        <v>3</v>
      </c>
      <c r="R1002">
        <v>1</v>
      </c>
      <c r="S1002" t="s">
        <v>25</v>
      </c>
    </row>
    <row r="1003" spans="1:19" x14ac:dyDescent="0.25">
      <c r="A1003">
        <v>11002</v>
      </c>
      <c r="B1003">
        <v>34</v>
      </c>
      <c r="C1003" t="s">
        <v>19</v>
      </c>
      <c r="D1003" t="s">
        <v>20</v>
      </c>
      <c r="E1003" t="s">
        <v>36</v>
      </c>
      <c r="F1003" t="s">
        <v>22</v>
      </c>
      <c r="G1003" t="s">
        <v>30</v>
      </c>
      <c r="H1003">
        <v>68699</v>
      </c>
      <c r="I1003">
        <v>7709</v>
      </c>
      <c r="J1003">
        <v>23</v>
      </c>
      <c r="K1003">
        <v>6</v>
      </c>
      <c r="L1003">
        <v>3</v>
      </c>
      <c r="M1003" t="s">
        <v>25</v>
      </c>
      <c r="N1003">
        <v>3</v>
      </c>
      <c r="O1003">
        <v>22</v>
      </c>
      <c r="P1003">
        <v>18</v>
      </c>
      <c r="Q1003">
        <v>1</v>
      </c>
      <c r="R1003">
        <v>4</v>
      </c>
      <c r="S1003" t="s">
        <v>25</v>
      </c>
    </row>
    <row r="1004" spans="1:19" x14ac:dyDescent="0.25">
      <c r="A1004">
        <v>11003</v>
      </c>
      <c r="B1004">
        <v>26</v>
      </c>
      <c r="C1004" t="s">
        <v>19</v>
      </c>
      <c r="D1004" t="s">
        <v>20</v>
      </c>
      <c r="E1004" t="s">
        <v>33</v>
      </c>
      <c r="F1004" t="s">
        <v>35</v>
      </c>
      <c r="G1004" t="s">
        <v>38</v>
      </c>
      <c r="H1004">
        <v>34567</v>
      </c>
      <c r="I1004">
        <v>15330</v>
      </c>
      <c r="J1004">
        <v>16</v>
      </c>
      <c r="K1004">
        <v>6</v>
      </c>
      <c r="L1004">
        <v>4</v>
      </c>
      <c r="M1004" t="s">
        <v>25</v>
      </c>
      <c r="N1004">
        <v>2</v>
      </c>
      <c r="O1004">
        <v>32</v>
      </c>
      <c r="P1004">
        <v>33</v>
      </c>
      <c r="Q1004">
        <v>3</v>
      </c>
      <c r="R1004">
        <v>2</v>
      </c>
      <c r="S1004" t="s">
        <v>25</v>
      </c>
    </row>
    <row r="1005" spans="1:19" x14ac:dyDescent="0.25">
      <c r="A1005">
        <v>11004</v>
      </c>
      <c r="B1005">
        <v>41</v>
      </c>
      <c r="C1005" t="s">
        <v>19</v>
      </c>
      <c r="D1005" t="s">
        <v>28</v>
      </c>
      <c r="E1005" t="s">
        <v>33</v>
      </c>
      <c r="F1005" t="s">
        <v>22</v>
      </c>
      <c r="G1005" t="s">
        <v>30</v>
      </c>
      <c r="H1005">
        <v>34500</v>
      </c>
      <c r="I1005">
        <v>17085</v>
      </c>
      <c r="J1005">
        <v>22</v>
      </c>
      <c r="K1005">
        <v>11</v>
      </c>
      <c r="L1005">
        <v>5</v>
      </c>
      <c r="M1005" t="s">
        <v>24</v>
      </c>
      <c r="N1005">
        <v>3</v>
      </c>
      <c r="O1005">
        <v>24</v>
      </c>
      <c r="P1005">
        <v>16</v>
      </c>
      <c r="Q1005">
        <v>3</v>
      </c>
      <c r="R1005">
        <v>3</v>
      </c>
      <c r="S1005" t="s">
        <v>25</v>
      </c>
    </row>
    <row r="1006" spans="1:19" x14ac:dyDescent="0.25">
      <c r="A1006">
        <v>11005</v>
      </c>
      <c r="B1006">
        <v>52</v>
      </c>
      <c r="C1006" t="s">
        <v>19</v>
      </c>
      <c r="D1006" t="s">
        <v>20</v>
      </c>
      <c r="E1006" t="s">
        <v>21</v>
      </c>
      <c r="F1006" t="s">
        <v>22</v>
      </c>
      <c r="G1006" t="s">
        <v>38</v>
      </c>
      <c r="H1006">
        <v>128334</v>
      </c>
      <c r="I1006">
        <v>41815</v>
      </c>
      <c r="J1006">
        <v>5</v>
      </c>
      <c r="K1006">
        <v>11</v>
      </c>
      <c r="L1006">
        <v>3</v>
      </c>
      <c r="M1006" t="s">
        <v>24</v>
      </c>
      <c r="N1006">
        <v>2</v>
      </c>
      <c r="O1006">
        <v>24</v>
      </c>
      <c r="P1006">
        <v>40</v>
      </c>
      <c r="Q1006">
        <v>4</v>
      </c>
      <c r="R1006">
        <v>3</v>
      </c>
      <c r="S1006" t="s">
        <v>25</v>
      </c>
    </row>
    <row r="1007" spans="1:19" x14ac:dyDescent="0.25">
      <c r="A1007">
        <v>11006</v>
      </c>
      <c r="B1007">
        <v>42</v>
      </c>
      <c r="C1007" t="s">
        <v>19</v>
      </c>
      <c r="D1007" t="s">
        <v>20</v>
      </c>
      <c r="E1007" t="s">
        <v>21</v>
      </c>
      <c r="F1007" t="s">
        <v>35</v>
      </c>
      <c r="G1007" t="s">
        <v>30</v>
      </c>
      <c r="H1007">
        <v>110698</v>
      </c>
      <c r="I1007">
        <v>6125</v>
      </c>
      <c r="J1007">
        <v>20</v>
      </c>
      <c r="K1007">
        <v>12</v>
      </c>
      <c r="L1007">
        <v>3</v>
      </c>
      <c r="M1007" t="s">
        <v>25</v>
      </c>
      <c r="N1007">
        <v>1</v>
      </c>
      <c r="O1007">
        <v>3</v>
      </c>
      <c r="P1007">
        <v>47</v>
      </c>
      <c r="Q1007">
        <v>3</v>
      </c>
      <c r="R1007">
        <v>3</v>
      </c>
      <c r="S1007" t="s">
        <v>25</v>
      </c>
    </row>
    <row r="1008" spans="1:19" x14ac:dyDescent="0.25">
      <c r="A1008">
        <v>11007</v>
      </c>
      <c r="B1008">
        <v>50</v>
      </c>
      <c r="C1008" t="s">
        <v>19</v>
      </c>
      <c r="D1008" t="s">
        <v>20</v>
      </c>
      <c r="E1008" t="s">
        <v>33</v>
      </c>
      <c r="F1008" t="s">
        <v>39</v>
      </c>
      <c r="G1008" t="s">
        <v>38</v>
      </c>
      <c r="H1008">
        <v>36366</v>
      </c>
      <c r="I1008">
        <v>5320</v>
      </c>
      <c r="J1008">
        <v>23</v>
      </c>
      <c r="K1008">
        <v>12</v>
      </c>
      <c r="L1008">
        <v>1</v>
      </c>
      <c r="M1008" t="s">
        <v>25</v>
      </c>
      <c r="N1008">
        <v>1</v>
      </c>
      <c r="O1008">
        <v>14</v>
      </c>
      <c r="P1008">
        <v>44</v>
      </c>
      <c r="Q1008">
        <v>2</v>
      </c>
      <c r="R1008">
        <v>2</v>
      </c>
      <c r="S1008" t="s">
        <v>25</v>
      </c>
    </row>
    <row r="1009" spans="1:19" x14ac:dyDescent="0.25">
      <c r="A1009">
        <v>11008</v>
      </c>
      <c r="B1009">
        <v>33</v>
      </c>
      <c r="C1009" t="s">
        <v>19</v>
      </c>
      <c r="D1009" t="s">
        <v>41</v>
      </c>
      <c r="E1009" t="s">
        <v>27</v>
      </c>
      <c r="F1009" t="s">
        <v>35</v>
      </c>
      <c r="G1009" t="s">
        <v>30</v>
      </c>
      <c r="H1009">
        <v>65737</v>
      </c>
      <c r="I1009">
        <v>34074</v>
      </c>
      <c r="J1009">
        <v>21</v>
      </c>
      <c r="K1009">
        <v>9</v>
      </c>
      <c r="L1009">
        <v>3</v>
      </c>
      <c r="M1009" t="s">
        <v>25</v>
      </c>
      <c r="N1009">
        <v>3</v>
      </c>
      <c r="O1009">
        <v>8</v>
      </c>
      <c r="P1009">
        <v>45</v>
      </c>
      <c r="Q1009">
        <v>1</v>
      </c>
      <c r="R1009">
        <v>3</v>
      </c>
      <c r="S1009" t="s">
        <v>25</v>
      </c>
    </row>
    <row r="1010" spans="1:19" x14ac:dyDescent="0.25">
      <c r="A1010">
        <v>11009</v>
      </c>
      <c r="B1010">
        <v>36</v>
      </c>
      <c r="C1010" t="s">
        <v>19</v>
      </c>
      <c r="D1010" t="s">
        <v>34</v>
      </c>
      <c r="E1010" t="s">
        <v>33</v>
      </c>
      <c r="F1010" t="s">
        <v>39</v>
      </c>
      <c r="G1010" t="s">
        <v>38</v>
      </c>
      <c r="H1010">
        <v>38939</v>
      </c>
      <c r="I1010">
        <v>36158</v>
      </c>
      <c r="J1010">
        <v>13</v>
      </c>
      <c r="K1010">
        <v>0</v>
      </c>
      <c r="L1010">
        <v>5</v>
      </c>
      <c r="M1010" t="s">
        <v>24</v>
      </c>
      <c r="N1010">
        <v>3</v>
      </c>
      <c r="O1010">
        <v>14</v>
      </c>
      <c r="P1010">
        <v>51</v>
      </c>
      <c r="Q1010">
        <v>4</v>
      </c>
      <c r="R1010">
        <v>3</v>
      </c>
      <c r="S1010" t="s">
        <v>25</v>
      </c>
    </row>
    <row r="1011" spans="1:19" x14ac:dyDescent="0.25">
      <c r="A1011">
        <v>11010</v>
      </c>
      <c r="B1011">
        <v>46</v>
      </c>
      <c r="C1011" t="s">
        <v>19</v>
      </c>
      <c r="D1011" t="s">
        <v>20</v>
      </c>
      <c r="E1011" t="s">
        <v>36</v>
      </c>
      <c r="F1011" t="s">
        <v>39</v>
      </c>
      <c r="G1011" t="s">
        <v>38</v>
      </c>
      <c r="H1011">
        <v>66367</v>
      </c>
      <c r="I1011">
        <v>33443</v>
      </c>
      <c r="J1011">
        <v>7</v>
      </c>
      <c r="K1011">
        <v>1</v>
      </c>
      <c r="L1011">
        <v>3</v>
      </c>
      <c r="M1011" t="s">
        <v>24</v>
      </c>
      <c r="N1011">
        <v>1</v>
      </c>
      <c r="O1011">
        <v>18</v>
      </c>
      <c r="P1011">
        <v>11</v>
      </c>
      <c r="Q1011">
        <v>3</v>
      </c>
      <c r="R1011">
        <v>2</v>
      </c>
      <c r="S1011" t="s">
        <v>25</v>
      </c>
    </row>
    <row r="1012" spans="1:19" x14ac:dyDescent="0.25">
      <c r="A1012">
        <v>11011</v>
      </c>
      <c r="B1012">
        <v>47</v>
      </c>
      <c r="C1012" t="s">
        <v>31</v>
      </c>
      <c r="D1012" t="s">
        <v>20</v>
      </c>
      <c r="E1012" t="s">
        <v>27</v>
      </c>
      <c r="F1012" t="s">
        <v>39</v>
      </c>
      <c r="G1012" t="s">
        <v>38</v>
      </c>
      <c r="H1012">
        <v>88664</v>
      </c>
      <c r="I1012">
        <v>23430</v>
      </c>
      <c r="J1012">
        <v>23</v>
      </c>
      <c r="K1012">
        <v>12</v>
      </c>
      <c r="L1012">
        <v>3</v>
      </c>
      <c r="M1012" t="s">
        <v>25</v>
      </c>
      <c r="N1012">
        <v>1</v>
      </c>
      <c r="O1012">
        <v>36</v>
      </c>
      <c r="P1012">
        <v>28</v>
      </c>
      <c r="Q1012">
        <v>3</v>
      </c>
      <c r="R1012">
        <v>3</v>
      </c>
      <c r="S1012" t="s">
        <v>25</v>
      </c>
    </row>
    <row r="1013" spans="1:19" x14ac:dyDescent="0.25">
      <c r="A1013">
        <v>11012</v>
      </c>
      <c r="B1013">
        <v>51</v>
      </c>
      <c r="C1013" t="s">
        <v>31</v>
      </c>
      <c r="D1013" t="s">
        <v>20</v>
      </c>
      <c r="E1013" t="s">
        <v>33</v>
      </c>
      <c r="F1013" t="s">
        <v>39</v>
      </c>
      <c r="G1013" t="s">
        <v>30</v>
      </c>
      <c r="H1013">
        <v>39902</v>
      </c>
      <c r="I1013">
        <v>13145</v>
      </c>
      <c r="J1013">
        <v>2</v>
      </c>
      <c r="K1013">
        <v>0</v>
      </c>
      <c r="L1013">
        <v>3</v>
      </c>
      <c r="M1013" t="s">
        <v>24</v>
      </c>
      <c r="N1013">
        <v>3</v>
      </c>
      <c r="O1013">
        <v>20</v>
      </c>
      <c r="P1013">
        <v>45</v>
      </c>
      <c r="Q1013">
        <v>4</v>
      </c>
      <c r="R1013">
        <v>3</v>
      </c>
      <c r="S1013" t="s">
        <v>25</v>
      </c>
    </row>
    <row r="1014" spans="1:19" x14ac:dyDescent="0.25">
      <c r="A1014">
        <v>11013</v>
      </c>
      <c r="B1014">
        <v>57</v>
      </c>
      <c r="C1014" t="s">
        <v>31</v>
      </c>
      <c r="D1014" t="s">
        <v>41</v>
      </c>
      <c r="E1014" t="s">
        <v>36</v>
      </c>
      <c r="F1014" t="s">
        <v>22</v>
      </c>
      <c r="G1014" t="s">
        <v>38</v>
      </c>
      <c r="H1014">
        <v>49661</v>
      </c>
      <c r="I1014">
        <v>47797</v>
      </c>
      <c r="J1014">
        <v>12</v>
      </c>
      <c r="K1014">
        <v>13</v>
      </c>
      <c r="L1014">
        <v>2</v>
      </c>
      <c r="M1014" t="s">
        <v>24</v>
      </c>
      <c r="N1014">
        <v>1</v>
      </c>
      <c r="O1014">
        <v>33</v>
      </c>
      <c r="P1014">
        <v>32</v>
      </c>
      <c r="Q1014">
        <v>1</v>
      </c>
      <c r="R1014">
        <v>2</v>
      </c>
      <c r="S1014" t="s">
        <v>24</v>
      </c>
    </row>
    <row r="1015" spans="1:19" x14ac:dyDescent="0.25">
      <c r="A1015">
        <v>11014</v>
      </c>
      <c r="B1015">
        <v>21</v>
      </c>
      <c r="C1015" t="s">
        <v>19</v>
      </c>
      <c r="D1015" t="s">
        <v>34</v>
      </c>
      <c r="E1015" t="s">
        <v>36</v>
      </c>
      <c r="F1015" t="s">
        <v>39</v>
      </c>
      <c r="G1015" t="s">
        <v>38</v>
      </c>
      <c r="H1015">
        <v>63651</v>
      </c>
      <c r="I1015">
        <v>29076</v>
      </c>
      <c r="J1015">
        <v>11</v>
      </c>
      <c r="K1015">
        <v>4</v>
      </c>
      <c r="L1015">
        <v>4</v>
      </c>
      <c r="M1015" t="s">
        <v>25</v>
      </c>
      <c r="N1015">
        <v>3</v>
      </c>
      <c r="O1015">
        <v>22</v>
      </c>
      <c r="P1015">
        <v>38</v>
      </c>
      <c r="Q1015">
        <v>4</v>
      </c>
      <c r="R1015">
        <v>3</v>
      </c>
      <c r="S1015" t="s">
        <v>25</v>
      </c>
    </row>
    <row r="1016" spans="1:19" x14ac:dyDescent="0.25">
      <c r="A1016">
        <v>11015</v>
      </c>
      <c r="B1016">
        <v>41</v>
      </c>
      <c r="C1016" t="s">
        <v>31</v>
      </c>
      <c r="D1016" t="s">
        <v>28</v>
      </c>
      <c r="E1016" t="s">
        <v>36</v>
      </c>
      <c r="F1016" t="s">
        <v>22</v>
      </c>
      <c r="G1016" t="s">
        <v>38</v>
      </c>
      <c r="H1016">
        <v>69903</v>
      </c>
      <c r="I1016">
        <v>2853</v>
      </c>
      <c r="J1016">
        <v>16</v>
      </c>
      <c r="K1016">
        <v>4</v>
      </c>
      <c r="L1016">
        <v>3</v>
      </c>
      <c r="M1016" t="s">
        <v>25</v>
      </c>
      <c r="N1016">
        <v>4</v>
      </c>
      <c r="O1016">
        <v>32</v>
      </c>
      <c r="P1016">
        <v>26</v>
      </c>
      <c r="Q1016">
        <v>3</v>
      </c>
      <c r="R1016">
        <v>4</v>
      </c>
      <c r="S1016" t="s">
        <v>25</v>
      </c>
    </row>
    <row r="1017" spans="1:19" x14ac:dyDescent="0.25">
      <c r="A1017">
        <v>11016</v>
      </c>
      <c r="B1017">
        <v>49</v>
      </c>
      <c r="C1017" t="s">
        <v>31</v>
      </c>
      <c r="D1017" t="s">
        <v>20</v>
      </c>
      <c r="E1017" t="s">
        <v>36</v>
      </c>
      <c r="F1017" t="s">
        <v>39</v>
      </c>
      <c r="G1017" t="s">
        <v>23</v>
      </c>
      <c r="H1017">
        <v>54262</v>
      </c>
      <c r="I1017">
        <v>33503</v>
      </c>
      <c r="J1017">
        <v>22</v>
      </c>
      <c r="K1017">
        <v>2</v>
      </c>
      <c r="L1017">
        <v>3</v>
      </c>
      <c r="M1017" t="s">
        <v>25</v>
      </c>
      <c r="N1017">
        <v>4</v>
      </c>
      <c r="O1017">
        <v>36</v>
      </c>
      <c r="P1017">
        <v>53</v>
      </c>
      <c r="Q1017">
        <v>3</v>
      </c>
      <c r="R1017">
        <v>4</v>
      </c>
      <c r="S1017" t="s">
        <v>25</v>
      </c>
    </row>
    <row r="1018" spans="1:19" x14ac:dyDescent="0.25">
      <c r="A1018">
        <v>11017</v>
      </c>
      <c r="B1018">
        <v>41</v>
      </c>
      <c r="C1018" t="s">
        <v>31</v>
      </c>
      <c r="D1018" t="s">
        <v>20</v>
      </c>
      <c r="E1018" t="s">
        <v>36</v>
      </c>
      <c r="F1018" t="s">
        <v>39</v>
      </c>
      <c r="G1018" t="s">
        <v>30</v>
      </c>
      <c r="H1018">
        <v>48649</v>
      </c>
      <c r="I1018">
        <v>36434</v>
      </c>
      <c r="J1018">
        <v>13</v>
      </c>
      <c r="K1018">
        <v>8</v>
      </c>
      <c r="L1018">
        <v>3</v>
      </c>
      <c r="M1018" t="s">
        <v>25</v>
      </c>
      <c r="N1018">
        <v>2</v>
      </c>
      <c r="O1018">
        <v>32</v>
      </c>
      <c r="P1018">
        <v>29</v>
      </c>
      <c r="Q1018">
        <v>1</v>
      </c>
      <c r="R1018">
        <v>4</v>
      </c>
      <c r="S1018" t="s">
        <v>25</v>
      </c>
    </row>
    <row r="1019" spans="1:19" x14ac:dyDescent="0.25">
      <c r="A1019">
        <v>11018</v>
      </c>
      <c r="B1019">
        <v>59</v>
      </c>
      <c r="C1019" t="s">
        <v>19</v>
      </c>
      <c r="D1019" t="s">
        <v>34</v>
      </c>
      <c r="E1019" t="s">
        <v>29</v>
      </c>
      <c r="F1019" t="s">
        <v>39</v>
      </c>
      <c r="G1019" t="s">
        <v>30</v>
      </c>
      <c r="H1019">
        <v>165087</v>
      </c>
      <c r="I1019">
        <v>42961</v>
      </c>
      <c r="J1019">
        <v>17</v>
      </c>
      <c r="K1019">
        <v>5</v>
      </c>
      <c r="L1019">
        <v>3</v>
      </c>
      <c r="M1019" t="s">
        <v>24</v>
      </c>
      <c r="N1019">
        <v>2</v>
      </c>
      <c r="O1019">
        <v>24</v>
      </c>
      <c r="P1019">
        <v>58</v>
      </c>
      <c r="Q1019">
        <v>3</v>
      </c>
      <c r="R1019">
        <v>4</v>
      </c>
      <c r="S1019" t="s">
        <v>25</v>
      </c>
    </row>
    <row r="1020" spans="1:19" x14ac:dyDescent="0.25">
      <c r="A1020">
        <v>11019</v>
      </c>
      <c r="B1020">
        <v>26</v>
      </c>
      <c r="C1020" t="s">
        <v>19</v>
      </c>
      <c r="D1020" t="s">
        <v>20</v>
      </c>
      <c r="E1020" t="s">
        <v>21</v>
      </c>
      <c r="F1020" t="s">
        <v>39</v>
      </c>
      <c r="G1020" t="s">
        <v>38</v>
      </c>
      <c r="H1020">
        <v>127153</v>
      </c>
      <c r="I1020">
        <v>19686</v>
      </c>
      <c r="J1020">
        <v>1</v>
      </c>
      <c r="K1020">
        <v>2</v>
      </c>
      <c r="L1020">
        <v>4</v>
      </c>
      <c r="M1020" t="s">
        <v>24</v>
      </c>
      <c r="N1020">
        <v>4</v>
      </c>
      <c r="O1020">
        <v>25</v>
      </c>
      <c r="P1020">
        <v>43</v>
      </c>
      <c r="Q1020">
        <v>3</v>
      </c>
      <c r="R1020">
        <v>3</v>
      </c>
      <c r="S1020" t="s">
        <v>25</v>
      </c>
    </row>
    <row r="1021" spans="1:19" x14ac:dyDescent="0.25">
      <c r="A1021">
        <v>11020</v>
      </c>
      <c r="B1021">
        <v>44</v>
      </c>
      <c r="C1021" t="s">
        <v>19</v>
      </c>
      <c r="D1021" t="s">
        <v>26</v>
      </c>
      <c r="E1021" t="s">
        <v>36</v>
      </c>
      <c r="F1021" t="s">
        <v>39</v>
      </c>
      <c r="G1021" t="s">
        <v>30</v>
      </c>
      <c r="H1021">
        <v>45909</v>
      </c>
      <c r="I1021">
        <v>38464</v>
      </c>
      <c r="J1021">
        <v>0</v>
      </c>
      <c r="K1021">
        <v>2</v>
      </c>
      <c r="L1021">
        <v>1</v>
      </c>
      <c r="M1021" t="s">
        <v>24</v>
      </c>
      <c r="N1021">
        <v>4</v>
      </c>
      <c r="O1021">
        <v>12</v>
      </c>
      <c r="P1021">
        <v>32</v>
      </c>
      <c r="Q1021">
        <v>4</v>
      </c>
      <c r="R1021">
        <v>2</v>
      </c>
      <c r="S1021" t="s">
        <v>25</v>
      </c>
    </row>
    <row r="1022" spans="1:19" x14ac:dyDescent="0.25">
      <c r="A1022">
        <v>11021</v>
      </c>
      <c r="B1022">
        <v>25</v>
      </c>
      <c r="C1022" t="s">
        <v>19</v>
      </c>
      <c r="D1022" t="s">
        <v>20</v>
      </c>
      <c r="E1022" t="s">
        <v>33</v>
      </c>
      <c r="F1022" t="s">
        <v>39</v>
      </c>
      <c r="G1022" t="s">
        <v>30</v>
      </c>
      <c r="H1022">
        <v>26153</v>
      </c>
      <c r="I1022">
        <v>24475</v>
      </c>
      <c r="J1022">
        <v>14</v>
      </c>
      <c r="K1022">
        <v>2</v>
      </c>
      <c r="L1022">
        <v>2</v>
      </c>
      <c r="M1022" t="s">
        <v>25</v>
      </c>
      <c r="N1022">
        <v>3</v>
      </c>
      <c r="O1022">
        <v>37</v>
      </c>
      <c r="P1022">
        <v>42</v>
      </c>
      <c r="Q1022">
        <v>1</v>
      </c>
      <c r="R1022">
        <v>3</v>
      </c>
      <c r="S1022" t="s">
        <v>24</v>
      </c>
    </row>
    <row r="1023" spans="1:19" x14ac:dyDescent="0.25">
      <c r="A1023">
        <v>11022</v>
      </c>
      <c r="B1023">
        <v>35</v>
      </c>
      <c r="C1023" t="s">
        <v>19</v>
      </c>
      <c r="D1023" t="s">
        <v>26</v>
      </c>
      <c r="E1023" t="s">
        <v>33</v>
      </c>
      <c r="F1023" t="s">
        <v>39</v>
      </c>
      <c r="G1023" t="s">
        <v>38</v>
      </c>
      <c r="H1023">
        <v>41004</v>
      </c>
      <c r="I1023">
        <v>17297</v>
      </c>
      <c r="J1023">
        <v>5</v>
      </c>
      <c r="K1023">
        <v>4</v>
      </c>
      <c r="L1023">
        <v>3</v>
      </c>
      <c r="M1023" t="s">
        <v>25</v>
      </c>
      <c r="N1023">
        <v>3</v>
      </c>
      <c r="O1023">
        <v>11</v>
      </c>
      <c r="P1023">
        <v>30</v>
      </c>
      <c r="Q1023">
        <v>4</v>
      </c>
      <c r="R1023">
        <v>4</v>
      </c>
      <c r="S1023" t="s">
        <v>24</v>
      </c>
    </row>
    <row r="1024" spans="1:19" x14ac:dyDescent="0.25">
      <c r="A1024">
        <v>11023</v>
      </c>
      <c r="B1024">
        <v>34</v>
      </c>
      <c r="C1024" t="s">
        <v>19</v>
      </c>
      <c r="D1024" t="s">
        <v>26</v>
      </c>
      <c r="E1024" t="s">
        <v>36</v>
      </c>
      <c r="F1024" t="s">
        <v>22</v>
      </c>
      <c r="G1024" t="s">
        <v>30</v>
      </c>
      <c r="H1024">
        <v>45102</v>
      </c>
      <c r="I1024">
        <v>12224</v>
      </c>
      <c r="J1024">
        <v>20</v>
      </c>
      <c r="K1024">
        <v>14</v>
      </c>
      <c r="L1024">
        <v>3</v>
      </c>
      <c r="M1024" t="s">
        <v>25</v>
      </c>
      <c r="N1024">
        <v>4</v>
      </c>
      <c r="O1024">
        <v>8</v>
      </c>
      <c r="P1024">
        <v>55</v>
      </c>
      <c r="Q1024">
        <v>3</v>
      </c>
      <c r="R1024">
        <v>2</v>
      </c>
      <c r="S1024" t="s">
        <v>25</v>
      </c>
    </row>
    <row r="1025" spans="1:19" x14ac:dyDescent="0.25">
      <c r="A1025">
        <v>11024</v>
      </c>
      <c r="B1025">
        <v>36</v>
      </c>
      <c r="C1025" t="s">
        <v>19</v>
      </c>
      <c r="D1025" t="s">
        <v>20</v>
      </c>
      <c r="E1025" t="s">
        <v>29</v>
      </c>
      <c r="F1025" t="s">
        <v>39</v>
      </c>
      <c r="G1025" t="s">
        <v>38</v>
      </c>
      <c r="H1025">
        <v>145532</v>
      </c>
      <c r="I1025">
        <v>35515</v>
      </c>
      <c r="J1025">
        <v>24</v>
      </c>
      <c r="K1025">
        <v>0</v>
      </c>
      <c r="L1025">
        <v>1</v>
      </c>
      <c r="M1025" t="s">
        <v>25</v>
      </c>
      <c r="N1025">
        <v>2</v>
      </c>
      <c r="O1025">
        <v>4</v>
      </c>
      <c r="P1025">
        <v>44</v>
      </c>
      <c r="Q1025">
        <v>3</v>
      </c>
      <c r="R1025">
        <v>4</v>
      </c>
      <c r="S1025" t="s">
        <v>25</v>
      </c>
    </row>
    <row r="1026" spans="1:19" x14ac:dyDescent="0.25">
      <c r="A1026">
        <v>11025</v>
      </c>
      <c r="B1026">
        <v>32</v>
      </c>
      <c r="C1026" t="s">
        <v>19</v>
      </c>
      <c r="D1026" t="s">
        <v>28</v>
      </c>
      <c r="E1026" t="s">
        <v>36</v>
      </c>
      <c r="F1026" t="s">
        <v>22</v>
      </c>
      <c r="G1026" t="s">
        <v>38</v>
      </c>
      <c r="H1026">
        <v>54650</v>
      </c>
      <c r="I1026">
        <v>31070</v>
      </c>
      <c r="J1026">
        <v>10</v>
      </c>
      <c r="K1026">
        <v>9</v>
      </c>
      <c r="L1026">
        <v>3</v>
      </c>
      <c r="M1026" t="s">
        <v>24</v>
      </c>
      <c r="N1026">
        <v>3</v>
      </c>
      <c r="O1026">
        <v>35</v>
      </c>
      <c r="P1026">
        <v>49</v>
      </c>
      <c r="Q1026">
        <v>2</v>
      </c>
      <c r="R1026">
        <v>3</v>
      </c>
      <c r="S1026" t="s">
        <v>25</v>
      </c>
    </row>
    <row r="1027" spans="1:19" x14ac:dyDescent="0.25">
      <c r="A1027">
        <v>11026</v>
      </c>
      <c r="B1027">
        <v>28</v>
      </c>
      <c r="C1027" t="s">
        <v>19</v>
      </c>
      <c r="D1027" t="s">
        <v>20</v>
      </c>
      <c r="E1027" t="s">
        <v>40</v>
      </c>
      <c r="F1027" t="s">
        <v>22</v>
      </c>
      <c r="G1027" t="s">
        <v>30</v>
      </c>
      <c r="H1027">
        <v>11689</v>
      </c>
      <c r="I1027">
        <v>41121</v>
      </c>
      <c r="J1027">
        <v>8</v>
      </c>
      <c r="K1027">
        <v>1</v>
      </c>
      <c r="L1027">
        <v>3</v>
      </c>
      <c r="M1027" t="s">
        <v>25</v>
      </c>
      <c r="N1027">
        <v>2</v>
      </c>
      <c r="O1027">
        <v>4</v>
      </c>
      <c r="P1027">
        <v>51</v>
      </c>
      <c r="Q1027">
        <v>4</v>
      </c>
      <c r="R1027">
        <v>3</v>
      </c>
      <c r="S1027" t="s">
        <v>25</v>
      </c>
    </row>
    <row r="1028" spans="1:19" x14ac:dyDescent="0.25">
      <c r="A1028">
        <v>11027</v>
      </c>
      <c r="B1028">
        <v>51</v>
      </c>
      <c r="C1028" t="s">
        <v>19</v>
      </c>
      <c r="D1028" t="s">
        <v>20</v>
      </c>
      <c r="E1028" t="s">
        <v>33</v>
      </c>
      <c r="F1028" t="s">
        <v>22</v>
      </c>
      <c r="G1028" t="s">
        <v>38</v>
      </c>
      <c r="H1028">
        <v>42261</v>
      </c>
      <c r="I1028">
        <v>34442</v>
      </c>
      <c r="J1028">
        <v>8</v>
      </c>
      <c r="K1028">
        <v>10</v>
      </c>
      <c r="L1028">
        <v>3</v>
      </c>
      <c r="M1028" t="s">
        <v>25</v>
      </c>
      <c r="N1028">
        <v>3</v>
      </c>
      <c r="O1028">
        <v>8</v>
      </c>
      <c r="P1028">
        <v>25</v>
      </c>
      <c r="Q1028">
        <v>3</v>
      </c>
      <c r="R1028">
        <v>3</v>
      </c>
      <c r="S1028" t="s">
        <v>25</v>
      </c>
    </row>
    <row r="1029" spans="1:19" x14ac:dyDescent="0.25">
      <c r="A1029">
        <v>11028</v>
      </c>
      <c r="B1029">
        <v>36</v>
      </c>
      <c r="C1029" t="s">
        <v>19</v>
      </c>
      <c r="D1029" t="s">
        <v>34</v>
      </c>
      <c r="E1029" t="s">
        <v>29</v>
      </c>
      <c r="F1029" t="s">
        <v>22</v>
      </c>
      <c r="G1029" t="s">
        <v>30</v>
      </c>
      <c r="H1029">
        <v>149654</v>
      </c>
      <c r="I1029">
        <v>33459</v>
      </c>
      <c r="J1029">
        <v>11</v>
      </c>
      <c r="K1029">
        <v>5</v>
      </c>
      <c r="L1029">
        <v>3</v>
      </c>
      <c r="M1029" t="s">
        <v>24</v>
      </c>
      <c r="N1029">
        <v>3</v>
      </c>
      <c r="O1029">
        <v>3</v>
      </c>
      <c r="P1029">
        <v>38</v>
      </c>
      <c r="Q1029">
        <v>4</v>
      </c>
      <c r="R1029">
        <v>4</v>
      </c>
      <c r="S1029" t="s">
        <v>25</v>
      </c>
    </row>
    <row r="1030" spans="1:19" x14ac:dyDescent="0.25">
      <c r="A1030">
        <v>11029</v>
      </c>
      <c r="B1030">
        <v>23</v>
      </c>
      <c r="C1030" t="s">
        <v>19</v>
      </c>
      <c r="D1030" t="s">
        <v>41</v>
      </c>
      <c r="E1030" t="s">
        <v>27</v>
      </c>
      <c r="F1030" t="s">
        <v>35</v>
      </c>
      <c r="G1030" t="s">
        <v>30</v>
      </c>
      <c r="H1030">
        <v>64954</v>
      </c>
      <c r="I1030">
        <v>9216</v>
      </c>
      <c r="J1030">
        <v>11</v>
      </c>
      <c r="K1030">
        <v>10</v>
      </c>
      <c r="L1030">
        <v>3</v>
      </c>
      <c r="M1030" t="s">
        <v>25</v>
      </c>
      <c r="N1030">
        <v>3</v>
      </c>
      <c r="O1030">
        <v>7</v>
      </c>
      <c r="P1030">
        <v>6</v>
      </c>
      <c r="Q1030">
        <v>2</v>
      </c>
      <c r="R1030">
        <v>2</v>
      </c>
      <c r="S1030" t="s">
        <v>24</v>
      </c>
    </row>
    <row r="1031" spans="1:19" x14ac:dyDescent="0.25">
      <c r="A1031">
        <v>11030</v>
      </c>
      <c r="B1031">
        <v>40</v>
      </c>
      <c r="C1031" t="s">
        <v>31</v>
      </c>
      <c r="D1031" t="s">
        <v>26</v>
      </c>
      <c r="E1031" t="s">
        <v>40</v>
      </c>
      <c r="F1031" t="s">
        <v>39</v>
      </c>
      <c r="G1031" t="s">
        <v>38</v>
      </c>
      <c r="H1031">
        <v>16066</v>
      </c>
      <c r="I1031">
        <v>14570</v>
      </c>
      <c r="J1031">
        <v>7</v>
      </c>
      <c r="K1031">
        <v>11</v>
      </c>
      <c r="L1031">
        <v>1</v>
      </c>
      <c r="M1031" t="s">
        <v>25</v>
      </c>
      <c r="N1031">
        <v>2</v>
      </c>
      <c r="O1031">
        <v>38</v>
      </c>
      <c r="P1031">
        <v>34</v>
      </c>
      <c r="Q1031">
        <v>2</v>
      </c>
      <c r="R1031">
        <v>4</v>
      </c>
      <c r="S1031" t="s">
        <v>25</v>
      </c>
    </row>
    <row r="1032" spans="1:19" x14ac:dyDescent="0.25">
      <c r="A1032">
        <v>11031</v>
      </c>
      <c r="B1032">
        <v>36</v>
      </c>
      <c r="C1032" t="s">
        <v>19</v>
      </c>
      <c r="D1032" t="s">
        <v>41</v>
      </c>
      <c r="E1032" t="s">
        <v>27</v>
      </c>
      <c r="F1032" t="s">
        <v>37</v>
      </c>
      <c r="G1032" t="s">
        <v>38</v>
      </c>
      <c r="H1032">
        <v>60535</v>
      </c>
      <c r="I1032">
        <v>19481</v>
      </c>
      <c r="J1032">
        <v>2</v>
      </c>
      <c r="K1032">
        <v>1</v>
      </c>
      <c r="L1032">
        <v>4</v>
      </c>
      <c r="M1032" t="s">
        <v>25</v>
      </c>
      <c r="N1032">
        <v>2</v>
      </c>
      <c r="O1032">
        <v>38</v>
      </c>
      <c r="P1032">
        <v>43</v>
      </c>
      <c r="Q1032">
        <v>1</v>
      </c>
      <c r="R1032">
        <v>4</v>
      </c>
      <c r="S1032" t="s">
        <v>24</v>
      </c>
    </row>
    <row r="1033" spans="1:19" x14ac:dyDescent="0.25">
      <c r="A1033">
        <v>11032</v>
      </c>
      <c r="B1033">
        <v>29</v>
      </c>
      <c r="C1033" t="s">
        <v>19</v>
      </c>
      <c r="D1033" t="s">
        <v>20</v>
      </c>
      <c r="E1033" t="s">
        <v>27</v>
      </c>
      <c r="F1033" t="s">
        <v>35</v>
      </c>
      <c r="G1033" t="s">
        <v>38</v>
      </c>
      <c r="H1033">
        <v>79355</v>
      </c>
      <c r="I1033">
        <v>36192</v>
      </c>
      <c r="J1033">
        <v>4</v>
      </c>
      <c r="K1033">
        <v>4</v>
      </c>
      <c r="L1033">
        <v>3</v>
      </c>
      <c r="M1033" t="s">
        <v>25</v>
      </c>
      <c r="N1033">
        <v>3</v>
      </c>
      <c r="O1033">
        <v>17</v>
      </c>
      <c r="P1033">
        <v>55</v>
      </c>
      <c r="Q1033">
        <v>4</v>
      </c>
      <c r="R1033">
        <v>3</v>
      </c>
      <c r="S1033" t="s">
        <v>25</v>
      </c>
    </row>
    <row r="1034" spans="1:19" x14ac:dyDescent="0.25">
      <c r="A1034">
        <v>11033</v>
      </c>
      <c r="B1034">
        <v>26</v>
      </c>
      <c r="C1034" t="s">
        <v>19</v>
      </c>
      <c r="D1034" t="s">
        <v>20</v>
      </c>
      <c r="E1034" t="s">
        <v>36</v>
      </c>
      <c r="F1034" t="s">
        <v>35</v>
      </c>
      <c r="G1034" t="s">
        <v>38</v>
      </c>
      <c r="H1034">
        <v>53785</v>
      </c>
      <c r="I1034">
        <v>4138</v>
      </c>
      <c r="J1034">
        <v>8</v>
      </c>
      <c r="K1034">
        <v>2</v>
      </c>
      <c r="L1034">
        <v>3</v>
      </c>
      <c r="M1034" t="s">
        <v>25</v>
      </c>
      <c r="N1034">
        <v>2</v>
      </c>
      <c r="O1034">
        <v>31</v>
      </c>
      <c r="P1034">
        <v>21</v>
      </c>
      <c r="Q1034">
        <v>1</v>
      </c>
      <c r="R1034">
        <v>3</v>
      </c>
      <c r="S1034" t="s">
        <v>24</v>
      </c>
    </row>
    <row r="1035" spans="1:19" x14ac:dyDescent="0.25">
      <c r="A1035">
        <v>11034</v>
      </c>
      <c r="B1035">
        <v>25</v>
      </c>
      <c r="C1035" t="s">
        <v>19</v>
      </c>
      <c r="D1035" t="s">
        <v>28</v>
      </c>
      <c r="E1035" t="s">
        <v>36</v>
      </c>
      <c r="F1035" t="s">
        <v>39</v>
      </c>
      <c r="G1035" t="s">
        <v>30</v>
      </c>
      <c r="H1035">
        <v>60012</v>
      </c>
      <c r="I1035">
        <v>31090</v>
      </c>
      <c r="J1035">
        <v>12</v>
      </c>
      <c r="K1035">
        <v>14</v>
      </c>
      <c r="L1035">
        <v>4</v>
      </c>
      <c r="M1035" t="s">
        <v>24</v>
      </c>
      <c r="N1035">
        <v>1</v>
      </c>
      <c r="O1035">
        <v>11</v>
      </c>
      <c r="P1035">
        <v>15</v>
      </c>
      <c r="Q1035">
        <v>1</v>
      </c>
      <c r="R1035">
        <v>2</v>
      </c>
      <c r="S1035" t="s">
        <v>24</v>
      </c>
    </row>
    <row r="1036" spans="1:19" x14ac:dyDescent="0.25">
      <c r="A1036">
        <v>11035</v>
      </c>
      <c r="B1036">
        <v>59</v>
      </c>
      <c r="C1036" t="s">
        <v>19</v>
      </c>
      <c r="D1036" t="s">
        <v>41</v>
      </c>
      <c r="E1036" t="s">
        <v>27</v>
      </c>
      <c r="F1036" t="s">
        <v>39</v>
      </c>
      <c r="G1036" t="s">
        <v>23</v>
      </c>
      <c r="H1036">
        <v>77988</v>
      </c>
      <c r="I1036">
        <v>7649</v>
      </c>
      <c r="J1036">
        <v>10</v>
      </c>
      <c r="K1036">
        <v>3</v>
      </c>
      <c r="L1036">
        <v>4</v>
      </c>
      <c r="M1036" t="s">
        <v>24</v>
      </c>
      <c r="N1036">
        <v>4</v>
      </c>
      <c r="O1036">
        <v>37</v>
      </c>
      <c r="P1036">
        <v>36</v>
      </c>
      <c r="Q1036">
        <v>3</v>
      </c>
      <c r="R1036">
        <v>4</v>
      </c>
      <c r="S1036" t="s">
        <v>25</v>
      </c>
    </row>
    <row r="1037" spans="1:19" x14ac:dyDescent="0.25">
      <c r="A1037">
        <v>11036</v>
      </c>
      <c r="B1037">
        <v>58</v>
      </c>
      <c r="C1037" t="s">
        <v>19</v>
      </c>
      <c r="D1037" t="s">
        <v>20</v>
      </c>
      <c r="E1037" t="s">
        <v>33</v>
      </c>
      <c r="F1037" t="s">
        <v>39</v>
      </c>
      <c r="G1037" t="s">
        <v>30</v>
      </c>
      <c r="H1037">
        <v>33298</v>
      </c>
      <c r="I1037">
        <v>27411</v>
      </c>
      <c r="J1037">
        <v>6</v>
      </c>
      <c r="K1037">
        <v>6</v>
      </c>
      <c r="L1037">
        <v>2</v>
      </c>
      <c r="M1037" t="s">
        <v>25</v>
      </c>
      <c r="N1037">
        <v>2</v>
      </c>
      <c r="O1037">
        <v>39</v>
      </c>
      <c r="P1037">
        <v>27</v>
      </c>
      <c r="Q1037">
        <v>3</v>
      </c>
      <c r="R1037">
        <v>3</v>
      </c>
      <c r="S1037" t="s">
        <v>25</v>
      </c>
    </row>
    <row r="1038" spans="1:19" x14ac:dyDescent="0.25">
      <c r="A1038">
        <v>11037</v>
      </c>
      <c r="B1038">
        <v>40</v>
      </c>
      <c r="C1038" t="s">
        <v>19</v>
      </c>
      <c r="D1038" t="s">
        <v>34</v>
      </c>
      <c r="E1038" t="s">
        <v>21</v>
      </c>
      <c r="F1038" t="s">
        <v>39</v>
      </c>
      <c r="G1038" t="s">
        <v>38</v>
      </c>
      <c r="H1038">
        <v>120063</v>
      </c>
      <c r="I1038">
        <v>4094</v>
      </c>
      <c r="J1038">
        <v>18</v>
      </c>
      <c r="K1038">
        <v>11</v>
      </c>
      <c r="L1038">
        <v>4</v>
      </c>
      <c r="M1038" t="s">
        <v>25</v>
      </c>
      <c r="N1038">
        <v>4</v>
      </c>
      <c r="O1038">
        <v>9</v>
      </c>
      <c r="P1038">
        <v>12</v>
      </c>
      <c r="Q1038">
        <v>2</v>
      </c>
      <c r="R1038">
        <v>4</v>
      </c>
      <c r="S1038" t="s">
        <v>25</v>
      </c>
    </row>
    <row r="1039" spans="1:19" x14ac:dyDescent="0.25">
      <c r="A1039">
        <v>11038</v>
      </c>
      <c r="B1039">
        <v>45</v>
      </c>
      <c r="C1039" t="s">
        <v>19</v>
      </c>
      <c r="D1039" t="s">
        <v>20</v>
      </c>
      <c r="E1039" t="s">
        <v>40</v>
      </c>
      <c r="F1039" t="s">
        <v>35</v>
      </c>
      <c r="G1039" t="s">
        <v>23</v>
      </c>
      <c r="H1039">
        <v>16549</v>
      </c>
      <c r="I1039">
        <v>41384</v>
      </c>
      <c r="J1039">
        <v>21</v>
      </c>
      <c r="K1039">
        <v>3</v>
      </c>
      <c r="L1039">
        <v>3</v>
      </c>
      <c r="M1039" t="s">
        <v>24</v>
      </c>
      <c r="N1039">
        <v>3</v>
      </c>
      <c r="O1039">
        <v>22</v>
      </c>
      <c r="P1039">
        <v>47</v>
      </c>
      <c r="Q1039">
        <v>1</v>
      </c>
      <c r="R1039">
        <v>3</v>
      </c>
      <c r="S1039" t="s">
        <v>25</v>
      </c>
    </row>
    <row r="1040" spans="1:19" x14ac:dyDescent="0.25">
      <c r="A1040">
        <v>11039</v>
      </c>
      <c r="B1040">
        <v>29</v>
      </c>
      <c r="C1040" t="s">
        <v>19</v>
      </c>
      <c r="D1040" t="s">
        <v>34</v>
      </c>
      <c r="E1040" t="s">
        <v>33</v>
      </c>
      <c r="F1040" t="s">
        <v>22</v>
      </c>
      <c r="G1040" t="s">
        <v>38</v>
      </c>
      <c r="H1040">
        <v>39705</v>
      </c>
      <c r="I1040">
        <v>25365</v>
      </c>
      <c r="J1040">
        <v>2</v>
      </c>
      <c r="K1040">
        <v>0</v>
      </c>
      <c r="L1040">
        <v>3</v>
      </c>
      <c r="M1040" t="s">
        <v>25</v>
      </c>
      <c r="N1040">
        <v>4</v>
      </c>
      <c r="O1040">
        <v>7</v>
      </c>
      <c r="P1040">
        <v>46</v>
      </c>
      <c r="Q1040">
        <v>4</v>
      </c>
      <c r="R1040">
        <v>2</v>
      </c>
      <c r="S1040" t="s">
        <v>25</v>
      </c>
    </row>
    <row r="1041" spans="1:19" x14ac:dyDescent="0.25">
      <c r="A1041">
        <v>11040</v>
      </c>
      <c r="B1041">
        <v>21</v>
      </c>
      <c r="C1041" t="s">
        <v>31</v>
      </c>
      <c r="D1041" t="s">
        <v>34</v>
      </c>
      <c r="E1041" t="s">
        <v>33</v>
      </c>
      <c r="F1041" t="s">
        <v>39</v>
      </c>
      <c r="G1041" t="s">
        <v>30</v>
      </c>
      <c r="H1041">
        <v>42374</v>
      </c>
      <c r="I1041">
        <v>48437</v>
      </c>
      <c r="J1041">
        <v>2</v>
      </c>
      <c r="K1041">
        <v>3</v>
      </c>
      <c r="L1041">
        <v>1</v>
      </c>
      <c r="M1041" t="s">
        <v>25</v>
      </c>
      <c r="N1041">
        <v>3</v>
      </c>
      <c r="O1041">
        <v>33</v>
      </c>
      <c r="P1041">
        <v>30</v>
      </c>
      <c r="Q1041">
        <v>4</v>
      </c>
      <c r="R1041">
        <v>2</v>
      </c>
      <c r="S1041" t="s">
        <v>25</v>
      </c>
    </row>
    <row r="1042" spans="1:19" x14ac:dyDescent="0.25">
      <c r="A1042">
        <v>11041</v>
      </c>
      <c r="B1042">
        <v>33</v>
      </c>
      <c r="C1042" t="s">
        <v>31</v>
      </c>
      <c r="D1042" t="s">
        <v>20</v>
      </c>
      <c r="E1042" t="s">
        <v>21</v>
      </c>
      <c r="F1042" t="s">
        <v>22</v>
      </c>
      <c r="G1042" t="s">
        <v>30</v>
      </c>
      <c r="H1042">
        <v>109665</v>
      </c>
      <c r="I1042">
        <v>12467</v>
      </c>
      <c r="J1042">
        <v>1</v>
      </c>
      <c r="K1042">
        <v>3</v>
      </c>
      <c r="L1042">
        <v>1</v>
      </c>
      <c r="M1042" t="s">
        <v>25</v>
      </c>
      <c r="N1042">
        <v>3</v>
      </c>
      <c r="O1042">
        <v>27</v>
      </c>
      <c r="P1042">
        <v>10</v>
      </c>
      <c r="Q1042">
        <v>2</v>
      </c>
      <c r="R1042">
        <v>2</v>
      </c>
      <c r="S1042" t="s">
        <v>25</v>
      </c>
    </row>
    <row r="1043" spans="1:19" x14ac:dyDescent="0.25">
      <c r="A1043">
        <v>11042</v>
      </c>
      <c r="B1043">
        <v>49</v>
      </c>
      <c r="C1043" t="s">
        <v>19</v>
      </c>
      <c r="D1043" t="s">
        <v>20</v>
      </c>
      <c r="E1043" t="s">
        <v>33</v>
      </c>
      <c r="F1043" t="s">
        <v>37</v>
      </c>
      <c r="G1043" t="s">
        <v>38</v>
      </c>
      <c r="H1043">
        <v>25693</v>
      </c>
      <c r="I1043">
        <v>42681</v>
      </c>
      <c r="J1043">
        <v>21</v>
      </c>
      <c r="K1043">
        <v>13</v>
      </c>
      <c r="L1043">
        <v>4</v>
      </c>
      <c r="M1043" t="s">
        <v>25</v>
      </c>
      <c r="N1043">
        <v>3</v>
      </c>
      <c r="O1043">
        <v>11</v>
      </c>
      <c r="P1043">
        <v>51</v>
      </c>
      <c r="Q1043">
        <v>4</v>
      </c>
      <c r="R1043">
        <v>4</v>
      </c>
      <c r="S1043" t="s">
        <v>25</v>
      </c>
    </row>
    <row r="1044" spans="1:19" x14ac:dyDescent="0.25">
      <c r="A1044">
        <v>11043</v>
      </c>
      <c r="B1044">
        <v>45</v>
      </c>
      <c r="C1044" t="s">
        <v>19</v>
      </c>
      <c r="D1044" t="s">
        <v>20</v>
      </c>
      <c r="E1044" t="s">
        <v>36</v>
      </c>
      <c r="F1044" t="s">
        <v>39</v>
      </c>
      <c r="G1044" t="s">
        <v>38</v>
      </c>
      <c r="H1044">
        <v>68839</v>
      </c>
      <c r="I1044">
        <v>945</v>
      </c>
      <c r="J1044">
        <v>4</v>
      </c>
      <c r="K1044">
        <v>5</v>
      </c>
      <c r="L1044">
        <v>5</v>
      </c>
      <c r="M1044" t="s">
        <v>25</v>
      </c>
      <c r="N1044">
        <v>4</v>
      </c>
      <c r="O1044">
        <v>15</v>
      </c>
      <c r="P1044">
        <v>35</v>
      </c>
      <c r="Q1044">
        <v>2</v>
      </c>
      <c r="R1044">
        <v>4</v>
      </c>
      <c r="S1044" t="s">
        <v>25</v>
      </c>
    </row>
    <row r="1045" spans="1:19" x14ac:dyDescent="0.25">
      <c r="A1045">
        <v>11044</v>
      </c>
      <c r="B1045">
        <v>20</v>
      </c>
      <c r="C1045" t="s">
        <v>19</v>
      </c>
      <c r="D1045" t="s">
        <v>32</v>
      </c>
      <c r="E1045" t="s">
        <v>33</v>
      </c>
      <c r="F1045" t="s">
        <v>39</v>
      </c>
      <c r="G1045" t="s">
        <v>38</v>
      </c>
      <c r="H1045">
        <v>27912</v>
      </c>
      <c r="I1045">
        <v>3185</v>
      </c>
      <c r="J1045">
        <v>8</v>
      </c>
      <c r="K1045">
        <v>12</v>
      </c>
      <c r="L1045">
        <v>3</v>
      </c>
      <c r="M1045" t="s">
        <v>25</v>
      </c>
      <c r="N1045">
        <v>3</v>
      </c>
      <c r="O1045">
        <v>22</v>
      </c>
      <c r="P1045">
        <v>43</v>
      </c>
      <c r="Q1045">
        <v>3</v>
      </c>
      <c r="R1045">
        <v>4</v>
      </c>
      <c r="S1045" t="s">
        <v>25</v>
      </c>
    </row>
    <row r="1046" spans="1:19" x14ac:dyDescent="0.25">
      <c r="A1046">
        <v>11045</v>
      </c>
      <c r="B1046">
        <v>47</v>
      </c>
      <c r="C1046" t="s">
        <v>19</v>
      </c>
      <c r="D1046" t="s">
        <v>20</v>
      </c>
      <c r="E1046" t="s">
        <v>33</v>
      </c>
      <c r="F1046" t="s">
        <v>35</v>
      </c>
      <c r="G1046" t="s">
        <v>30</v>
      </c>
      <c r="H1046">
        <v>41472</v>
      </c>
      <c r="I1046">
        <v>32517</v>
      </c>
      <c r="J1046">
        <v>19</v>
      </c>
      <c r="K1046">
        <v>11</v>
      </c>
      <c r="L1046">
        <v>3</v>
      </c>
      <c r="M1046" t="s">
        <v>25</v>
      </c>
      <c r="N1046">
        <v>3</v>
      </c>
      <c r="O1046">
        <v>15</v>
      </c>
      <c r="P1046">
        <v>40</v>
      </c>
      <c r="Q1046">
        <v>3</v>
      </c>
      <c r="R1046">
        <v>3</v>
      </c>
      <c r="S1046" t="s">
        <v>25</v>
      </c>
    </row>
    <row r="1047" spans="1:19" x14ac:dyDescent="0.25">
      <c r="A1047">
        <v>11046</v>
      </c>
      <c r="B1047">
        <v>56</v>
      </c>
      <c r="C1047" t="s">
        <v>31</v>
      </c>
      <c r="D1047" t="s">
        <v>20</v>
      </c>
      <c r="E1047" t="s">
        <v>36</v>
      </c>
      <c r="F1047" t="s">
        <v>35</v>
      </c>
      <c r="G1047" t="s">
        <v>38</v>
      </c>
      <c r="H1047">
        <v>48613</v>
      </c>
      <c r="I1047">
        <v>3837</v>
      </c>
      <c r="J1047">
        <v>11</v>
      </c>
      <c r="K1047">
        <v>13</v>
      </c>
      <c r="L1047">
        <v>4</v>
      </c>
      <c r="M1047" t="s">
        <v>25</v>
      </c>
      <c r="N1047">
        <v>3</v>
      </c>
      <c r="O1047">
        <v>15</v>
      </c>
      <c r="P1047">
        <v>23</v>
      </c>
      <c r="Q1047">
        <v>3</v>
      </c>
      <c r="R1047">
        <v>4</v>
      </c>
      <c r="S1047" t="s">
        <v>25</v>
      </c>
    </row>
    <row r="1048" spans="1:19" x14ac:dyDescent="0.25">
      <c r="A1048">
        <v>11047</v>
      </c>
      <c r="B1048">
        <v>22</v>
      </c>
      <c r="C1048" t="s">
        <v>19</v>
      </c>
      <c r="D1048" t="s">
        <v>41</v>
      </c>
      <c r="E1048" t="s">
        <v>40</v>
      </c>
      <c r="F1048" t="s">
        <v>39</v>
      </c>
      <c r="G1048" t="s">
        <v>30</v>
      </c>
      <c r="H1048">
        <v>15817</v>
      </c>
      <c r="I1048">
        <v>47097</v>
      </c>
      <c r="J1048">
        <v>5</v>
      </c>
      <c r="K1048">
        <v>9</v>
      </c>
      <c r="L1048">
        <v>3</v>
      </c>
      <c r="M1048" t="s">
        <v>25</v>
      </c>
      <c r="N1048">
        <v>3</v>
      </c>
      <c r="O1048">
        <v>20</v>
      </c>
      <c r="P1048">
        <v>14</v>
      </c>
      <c r="Q1048">
        <v>1</v>
      </c>
      <c r="R1048">
        <v>2</v>
      </c>
      <c r="S1048" t="s">
        <v>25</v>
      </c>
    </row>
    <row r="1049" spans="1:19" x14ac:dyDescent="0.25">
      <c r="A1049">
        <v>11048</v>
      </c>
      <c r="B1049">
        <v>58</v>
      </c>
      <c r="C1049" t="s">
        <v>19</v>
      </c>
      <c r="D1049" t="s">
        <v>41</v>
      </c>
      <c r="E1049" t="s">
        <v>27</v>
      </c>
      <c r="F1049" t="s">
        <v>37</v>
      </c>
      <c r="G1049" t="s">
        <v>38</v>
      </c>
      <c r="H1049">
        <v>64374</v>
      </c>
      <c r="I1049">
        <v>13336</v>
      </c>
      <c r="J1049">
        <v>16</v>
      </c>
      <c r="K1049">
        <v>9</v>
      </c>
      <c r="L1049">
        <v>3</v>
      </c>
      <c r="M1049" t="s">
        <v>25</v>
      </c>
      <c r="N1049">
        <v>1</v>
      </c>
      <c r="O1049">
        <v>14</v>
      </c>
      <c r="P1049">
        <v>43</v>
      </c>
      <c r="Q1049">
        <v>1</v>
      </c>
      <c r="R1049">
        <v>2</v>
      </c>
      <c r="S1049" t="s">
        <v>24</v>
      </c>
    </row>
    <row r="1050" spans="1:19" x14ac:dyDescent="0.25">
      <c r="A1050">
        <v>11049</v>
      </c>
      <c r="B1050">
        <v>39</v>
      </c>
      <c r="C1050" t="s">
        <v>31</v>
      </c>
      <c r="D1050" t="s">
        <v>32</v>
      </c>
      <c r="E1050" t="s">
        <v>36</v>
      </c>
      <c r="F1050" t="s">
        <v>35</v>
      </c>
      <c r="G1050" t="s">
        <v>30</v>
      </c>
      <c r="H1050">
        <v>50123</v>
      </c>
      <c r="I1050">
        <v>44945</v>
      </c>
      <c r="J1050">
        <v>6</v>
      </c>
      <c r="K1050">
        <v>11</v>
      </c>
      <c r="L1050">
        <v>4</v>
      </c>
      <c r="M1050" t="s">
        <v>25</v>
      </c>
      <c r="N1050">
        <v>2</v>
      </c>
      <c r="O1050">
        <v>31</v>
      </c>
      <c r="P1050">
        <v>39</v>
      </c>
      <c r="Q1050">
        <v>1</v>
      </c>
      <c r="R1050">
        <v>3</v>
      </c>
      <c r="S1050" t="s">
        <v>24</v>
      </c>
    </row>
    <row r="1051" spans="1:19" x14ac:dyDescent="0.25">
      <c r="A1051">
        <v>11050</v>
      </c>
      <c r="B1051">
        <v>40</v>
      </c>
      <c r="C1051" t="s">
        <v>19</v>
      </c>
      <c r="D1051" t="s">
        <v>20</v>
      </c>
      <c r="E1051" t="s">
        <v>33</v>
      </c>
      <c r="F1051" t="s">
        <v>39</v>
      </c>
      <c r="G1051" t="s">
        <v>38</v>
      </c>
      <c r="H1051">
        <v>34228</v>
      </c>
      <c r="I1051">
        <v>32314</v>
      </c>
      <c r="J1051">
        <v>12</v>
      </c>
      <c r="K1051">
        <v>5</v>
      </c>
      <c r="L1051">
        <v>3</v>
      </c>
      <c r="M1051" t="s">
        <v>25</v>
      </c>
      <c r="N1051">
        <v>2</v>
      </c>
      <c r="O1051">
        <v>31</v>
      </c>
      <c r="P1051">
        <v>40</v>
      </c>
      <c r="Q1051">
        <v>2</v>
      </c>
      <c r="R1051">
        <v>3</v>
      </c>
      <c r="S1051" t="s">
        <v>25</v>
      </c>
    </row>
    <row r="1052" spans="1:19" x14ac:dyDescent="0.25">
      <c r="A1052">
        <v>11051</v>
      </c>
      <c r="B1052">
        <v>37</v>
      </c>
      <c r="C1052" t="s">
        <v>19</v>
      </c>
      <c r="D1052" t="s">
        <v>20</v>
      </c>
      <c r="E1052" t="s">
        <v>36</v>
      </c>
      <c r="F1052" t="s">
        <v>39</v>
      </c>
      <c r="G1052" t="s">
        <v>30</v>
      </c>
      <c r="H1052">
        <v>64755</v>
      </c>
      <c r="I1052">
        <v>39253</v>
      </c>
      <c r="J1052">
        <v>6</v>
      </c>
      <c r="K1052">
        <v>9</v>
      </c>
      <c r="L1052">
        <v>4</v>
      </c>
      <c r="M1052" t="s">
        <v>25</v>
      </c>
      <c r="N1052">
        <v>3</v>
      </c>
      <c r="O1052">
        <v>32</v>
      </c>
      <c r="P1052">
        <v>46</v>
      </c>
      <c r="Q1052">
        <v>4</v>
      </c>
      <c r="R1052">
        <v>1</v>
      </c>
      <c r="S1052" t="s">
        <v>25</v>
      </c>
    </row>
    <row r="1053" spans="1:19" x14ac:dyDescent="0.25">
      <c r="A1053">
        <v>11052</v>
      </c>
      <c r="B1053">
        <v>24</v>
      </c>
      <c r="C1053" t="s">
        <v>19</v>
      </c>
      <c r="D1053" t="s">
        <v>32</v>
      </c>
      <c r="E1053" t="s">
        <v>33</v>
      </c>
      <c r="F1053" t="s">
        <v>35</v>
      </c>
      <c r="G1053" t="s">
        <v>38</v>
      </c>
      <c r="H1053">
        <v>27025</v>
      </c>
      <c r="I1053">
        <v>10935</v>
      </c>
      <c r="J1053">
        <v>8</v>
      </c>
      <c r="K1053">
        <v>10</v>
      </c>
      <c r="L1053">
        <v>4</v>
      </c>
      <c r="M1053" t="s">
        <v>25</v>
      </c>
      <c r="N1053">
        <v>1</v>
      </c>
      <c r="O1053">
        <v>11</v>
      </c>
      <c r="P1053">
        <v>36</v>
      </c>
      <c r="Q1053">
        <v>4</v>
      </c>
      <c r="R1053">
        <v>1</v>
      </c>
      <c r="S1053" t="s">
        <v>25</v>
      </c>
    </row>
    <row r="1054" spans="1:19" x14ac:dyDescent="0.25">
      <c r="A1054">
        <v>11053</v>
      </c>
      <c r="B1054">
        <v>21</v>
      </c>
      <c r="C1054" t="s">
        <v>19</v>
      </c>
      <c r="D1054" t="s">
        <v>32</v>
      </c>
      <c r="E1054" t="s">
        <v>27</v>
      </c>
      <c r="F1054" t="s">
        <v>37</v>
      </c>
      <c r="G1054" t="s">
        <v>30</v>
      </c>
      <c r="H1054">
        <v>89461</v>
      </c>
      <c r="I1054">
        <v>6880</v>
      </c>
      <c r="J1054">
        <v>13</v>
      </c>
      <c r="K1054">
        <v>9</v>
      </c>
      <c r="L1054">
        <v>4</v>
      </c>
      <c r="M1054" t="s">
        <v>24</v>
      </c>
      <c r="N1054">
        <v>4</v>
      </c>
      <c r="O1054">
        <v>37</v>
      </c>
      <c r="P1054">
        <v>45</v>
      </c>
      <c r="Q1054">
        <v>4</v>
      </c>
      <c r="R1054">
        <v>2</v>
      </c>
      <c r="S1054" t="s">
        <v>25</v>
      </c>
    </row>
    <row r="1055" spans="1:19" x14ac:dyDescent="0.25">
      <c r="A1055">
        <v>11054</v>
      </c>
      <c r="B1055">
        <v>20</v>
      </c>
      <c r="C1055" t="s">
        <v>19</v>
      </c>
      <c r="D1055" t="s">
        <v>32</v>
      </c>
      <c r="E1055" t="s">
        <v>21</v>
      </c>
      <c r="F1055" t="s">
        <v>22</v>
      </c>
      <c r="G1055" t="s">
        <v>30</v>
      </c>
      <c r="H1055">
        <v>94052</v>
      </c>
      <c r="I1055">
        <v>18458</v>
      </c>
      <c r="J1055">
        <v>8</v>
      </c>
      <c r="K1055">
        <v>6</v>
      </c>
      <c r="L1055">
        <v>1</v>
      </c>
      <c r="M1055" t="s">
        <v>25</v>
      </c>
      <c r="N1055">
        <v>1</v>
      </c>
      <c r="O1055">
        <v>36</v>
      </c>
      <c r="P1055">
        <v>25</v>
      </c>
      <c r="Q1055">
        <v>3</v>
      </c>
      <c r="R1055">
        <v>3</v>
      </c>
      <c r="S1055" t="s">
        <v>24</v>
      </c>
    </row>
    <row r="1056" spans="1:19" x14ac:dyDescent="0.25">
      <c r="A1056">
        <v>11055</v>
      </c>
      <c r="B1056">
        <v>52</v>
      </c>
      <c r="C1056" t="s">
        <v>31</v>
      </c>
      <c r="D1056" t="s">
        <v>32</v>
      </c>
      <c r="E1056" t="s">
        <v>36</v>
      </c>
      <c r="F1056" t="s">
        <v>39</v>
      </c>
      <c r="G1056" t="s">
        <v>30</v>
      </c>
      <c r="H1056">
        <v>62916</v>
      </c>
      <c r="I1056">
        <v>21983</v>
      </c>
      <c r="J1056">
        <v>21</v>
      </c>
      <c r="K1056">
        <v>2</v>
      </c>
      <c r="L1056">
        <v>3</v>
      </c>
      <c r="M1056" t="s">
        <v>25</v>
      </c>
      <c r="N1056">
        <v>3</v>
      </c>
      <c r="O1056">
        <v>39</v>
      </c>
      <c r="P1056">
        <v>17</v>
      </c>
      <c r="Q1056">
        <v>3</v>
      </c>
      <c r="R1056">
        <v>2</v>
      </c>
      <c r="S1056" t="s">
        <v>25</v>
      </c>
    </row>
    <row r="1057" spans="1:19" x14ac:dyDescent="0.25">
      <c r="A1057">
        <v>11056</v>
      </c>
      <c r="B1057">
        <v>25</v>
      </c>
      <c r="C1057" t="s">
        <v>31</v>
      </c>
      <c r="D1057" t="s">
        <v>32</v>
      </c>
      <c r="E1057" t="s">
        <v>36</v>
      </c>
      <c r="F1057" t="s">
        <v>39</v>
      </c>
      <c r="G1057" t="s">
        <v>38</v>
      </c>
      <c r="H1057">
        <v>46835</v>
      </c>
      <c r="I1057">
        <v>9179</v>
      </c>
      <c r="J1057">
        <v>8</v>
      </c>
      <c r="K1057">
        <v>9</v>
      </c>
      <c r="L1057">
        <v>3</v>
      </c>
      <c r="M1057" t="s">
        <v>25</v>
      </c>
      <c r="N1057">
        <v>4</v>
      </c>
      <c r="O1057">
        <v>3</v>
      </c>
      <c r="P1057">
        <v>16</v>
      </c>
      <c r="Q1057">
        <v>1</v>
      </c>
      <c r="R1057">
        <v>2</v>
      </c>
      <c r="S1057" t="s">
        <v>25</v>
      </c>
    </row>
    <row r="1058" spans="1:19" x14ac:dyDescent="0.25">
      <c r="A1058">
        <v>11057</v>
      </c>
      <c r="B1058">
        <v>21</v>
      </c>
      <c r="C1058" t="s">
        <v>19</v>
      </c>
      <c r="D1058" t="s">
        <v>41</v>
      </c>
      <c r="E1058" t="s">
        <v>27</v>
      </c>
      <c r="F1058" t="s">
        <v>39</v>
      </c>
      <c r="G1058" t="s">
        <v>30</v>
      </c>
      <c r="H1058">
        <v>76803</v>
      </c>
      <c r="I1058">
        <v>15164</v>
      </c>
      <c r="J1058">
        <v>19</v>
      </c>
      <c r="K1058">
        <v>3</v>
      </c>
      <c r="L1058">
        <v>4</v>
      </c>
      <c r="M1058" t="s">
        <v>24</v>
      </c>
      <c r="N1058">
        <v>4</v>
      </c>
      <c r="O1058">
        <v>27</v>
      </c>
      <c r="P1058">
        <v>29</v>
      </c>
      <c r="Q1058">
        <v>2</v>
      </c>
      <c r="R1058">
        <v>4</v>
      </c>
      <c r="S1058" t="s">
        <v>25</v>
      </c>
    </row>
    <row r="1059" spans="1:19" x14ac:dyDescent="0.25">
      <c r="A1059">
        <v>11058</v>
      </c>
      <c r="B1059">
        <v>31</v>
      </c>
      <c r="C1059" t="s">
        <v>19</v>
      </c>
      <c r="D1059" t="s">
        <v>20</v>
      </c>
      <c r="E1059" t="s">
        <v>36</v>
      </c>
      <c r="F1059" t="s">
        <v>22</v>
      </c>
      <c r="G1059" t="s">
        <v>38</v>
      </c>
      <c r="H1059">
        <v>56701</v>
      </c>
      <c r="I1059">
        <v>40912</v>
      </c>
      <c r="J1059">
        <v>22</v>
      </c>
      <c r="K1059">
        <v>12</v>
      </c>
      <c r="L1059">
        <v>1</v>
      </c>
      <c r="M1059" t="s">
        <v>25</v>
      </c>
      <c r="N1059">
        <v>4</v>
      </c>
      <c r="O1059">
        <v>2</v>
      </c>
      <c r="P1059">
        <v>12</v>
      </c>
      <c r="Q1059">
        <v>4</v>
      </c>
      <c r="R1059">
        <v>3</v>
      </c>
      <c r="S1059" t="s">
        <v>25</v>
      </c>
    </row>
    <row r="1060" spans="1:19" x14ac:dyDescent="0.25">
      <c r="A1060">
        <v>11059</v>
      </c>
      <c r="B1060">
        <v>37</v>
      </c>
      <c r="C1060" t="s">
        <v>19</v>
      </c>
      <c r="D1060" t="s">
        <v>41</v>
      </c>
      <c r="E1060" t="s">
        <v>33</v>
      </c>
      <c r="F1060" t="s">
        <v>35</v>
      </c>
      <c r="G1060" t="s">
        <v>30</v>
      </c>
      <c r="H1060">
        <v>25170</v>
      </c>
      <c r="I1060">
        <v>11946</v>
      </c>
      <c r="J1060">
        <v>23</v>
      </c>
      <c r="K1060">
        <v>1</v>
      </c>
      <c r="L1060">
        <v>3</v>
      </c>
      <c r="M1060" t="s">
        <v>25</v>
      </c>
      <c r="N1060">
        <v>3</v>
      </c>
      <c r="O1060">
        <v>12</v>
      </c>
      <c r="P1060">
        <v>47</v>
      </c>
      <c r="Q1060">
        <v>3</v>
      </c>
      <c r="R1060">
        <v>2</v>
      </c>
      <c r="S1060" t="s">
        <v>24</v>
      </c>
    </row>
    <row r="1061" spans="1:19" x14ac:dyDescent="0.25">
      <c r="A1061">
        <v>11060</v>
      </c>
      <c r="B1061">
        <v>35</v>
      </c>
      <c r="C1061" t="s">
        <v>31</v>
      </c>
      <c r="D1061" t="s">
        <v>26</v>
      </c>
      <c r="E1061" t="s">
        <v>36</v>
      </c>
      <c r="F1061" t="s">
        <v>22</v>
      </c>
      <c r="G1061" t="s">
        <v>38</v>
      </c>
      <c r="H1061">
        <v>59949</v>
      </c>
      <c r="I1061">
        <v>17578</v>
      </c>
      <c r="J1061">
        <v>19</v>
      </c>
      <c r="K1061">
        <v>6</v>
      </c>
      <c r="L1061">
        <v>4</v>
      </c>
      <c r="M1061" t="s">
        <v>25</v>
      </c>
      <c r="N1061">
        <v>2</v>
      </c>
      <c r="O1061">
        <v>11</v>
      </c>
      <c r="P1061">
        <v>47</v>
      </c>
      <c r="Q1061">
        <v>4</v>
      </c>
      <c r="R1061">
        <v>3</v>
      </c>
      <c r="S1061" t="s">
        <v>25</v>
      </c>
    </row>
    <row r="1062" spans="1:19" x14ac:dyDescent="0.25">
      <c r="A1062">
        <v>11061</v>
      </c>
      <c r="B1062">
        <v>54</v>
      </c>
      <c r="C1062" t="s">
        <v>19</v>
      </c>
      <c r="D1062" t="s">
        <v>32</v>
      </c>
      <c r="E1062" t="s">
        <v>27</v>
      </c>
      <c r="F1062" t="s">
        <v>35</v>
      </c>
      <c r="G1062" t="s">
        <v>30</v>
      </c>
      <c r="H1062">
        <v>84937</v>
      </c>
      <c r="I1062">
        <v>48504</v>
      </c>
      <c r="J1062">
        <v>23</v>
      </c>
      <c r="K1062">
        <v>1</v>
      </c>
      <c r="L1062">
        <v>4</v>
      </c>
      <c r="M1062" t="s">
        <v>25</v>
      </c>
      <c r="N1062">
        <v>2</v>
      </c>
      <c r="O1062">
        <v>25</v>
      </c>
      <c r="P1062">
        <v>40</v>
      </c>
      <c r="Q1062">
        <v>2</v>
      </c>
      <c r="R1062">
        <v>3</v>
      </c>
      <c r="S1062" t="s">
        <v>25</v>
      </c>
    </row>
    <row r="1063" spans="1:19" x14ac:dyDescent="0.25">
      <c r="A1063">
        <v>11062</v>
      </c>
      <c r="B1063">
        <v>35</v>
      </c>
      <c r="C1063" t="s">
        <v>19</v>
      </c>
      <c r="D1063" t="s">
        <v>32</v>
      </c>
      <c r="E1063" t="s">
        <v>27</v>
      </c>
      <c r="F1063" t="s">
        <v>39</v>
      </c>
      <c r="G1063" t="s">
        <v>30</v>
      </c>
      <c r="H1063">
        <v>82987</v>
      </c>
      <c r="I1063">
        <v>14895</v>
      </c>
      <c r="J1063">
        <v>10</v>
      </c>
      <c r="K1063">
        <v>11</v>
      </c>
      <c r="L1063">
        <v>3</v>
      </c>
      <c r="M1063" t="s">
        <v>25</v>
      </c>
      <c r="N1063">
        <v>4</v>
      </c>
      <c r="O1063">
        <v>19</v>
      </c>
      <c r="P1063">
        <v>43</v>
      </c>
      <c r="Q1063">
        <v>3</v>
      </c>
      <c r="R1063">
        <v>2</v>
      </c>
      <c r="S1063" t="s">
        <v>25</v>
      </c>
    </row>
    <row r="1064" spans="1:19" x14ac:dyDescent="0.25">
      <c r="A1064">
        <v>11063</v>
      </c>
      <c r="B1064">
        <v>50</v>
      </c>
      <c r="C1064" t="s">
        <v>19</v>
      </c>
      <c r="D1064" t="s">
        <v>28</v>
      </c>
      <c r="E1064" t="s">
        <v>27</v>
      </c>
      <c r="F1064" t="s">
        <v>22</v>
      </c>
      <c r="G1064" t="s">
        <v>30</v>
      </c>
      <c r="H1064">
        <v>78070</v>
      </c>
      <c r="I1064">
        <v>18456</v>
      </c>
      <c r="J1064">
        <v>1</v>
      </c>
      <c r="K1064">
        <v>11</v>
      </c>
      <c r="L1064">
        <v>3</v>
      </c>
      <c r="M1064" t="s">
        <v>25</v>
      </c>
      <c r="N1064">
        <v>1</v>
      </c>
      <c r="O1064">
        <v>29</v>
      </c>
      <c r="P1064">
        <v>49</v>
      </c>
      <c r="Q1064">
        <v>3</v>
      </c>
      <c r="R1064">
        <v>3</v>
      </c>
      <c r="S1064" t="s">
        <v>25</v>
      </c>
    </row>
    <row r="1065" spans="1:19" x14ac:dyDescent="0.25">
      <c r="A1065">
        <v>11064</v>
      </c>
      <c r="B1065">
        <v>21</v>
      </c>
      <c r="C1065" t="s">
        <v>19</v>
      </c>
      <c r="D1065" t="s">
        <v>34</v>
      </c>
      <c r="E1065" t="s">
        <v>36</v>
      </c>
      <c r="F1065" t="s">
        <v>37</v>
      </c>
      <c r="G1065" t="s">
        <v>38</v>
      </c>
      <c r="H1065">
        <v>60758</v>
      </c>
      <c r="I1065">
        <v>26563</v>
      </c>
      <c r="J1065">
        <v>14</v>
      </c>
      <c r="K1065">
        <v>5</v>
      </c>
      <c r="L1065">
        <v>3</v>
      </c>
      <c r="M1065" t="s">
        <v>25</v>
      </c>
      <c r="N1065">
        <v>4</v>
      </c>
      <c r="O1065">
        <v>12</v>
      </c>
      <c r="P1065">
        <v>17</v>
      </c>
      <c r="Q1065">
        <v>4</v>
      </c>
      <c r="R1065">
        <v>3</v>
      </c>
      <c r="S1065" t="s">
        <v>25</v>
      </c>
    </row>
    <row r="1066" spans="1:19" x14ac:dyDescent="0.25">
      <c r="A1066">
        <v>11065</v>
      </c>
      <c r="B1066">
        <v>42</v>
      </c>
      <c r="C1066" t="s">
        <v>31</v>
      </c>
      <c r="D1066" t="s">
        <v>20</v>
      </c>
      <c r="E1066" t="s">
        <v>36</v>
      </c>
      <c r="F1066" t="s">
        <v>39</v>
      </c>
      <c r="G1066" t="s">
        <v>23</v>
      </c>
      <c r="H1066">
        <v>60689</v>
      </c>
      <c r="I1066">
        <v>29292</v>
      </c>
      <c r="J1066">
        <v>18</v>
      </c>
      <c r="K1066">
        <v>8</v>
      </c>
      <c r="L1066">
        <v>3</v>
      </c>
      <c r="M1066" t="s">
        <v>25</v>
      </c>
      <c r="N1066">
        <v>3</v>
      </c>
      <c r="O1066">
        <v>5</v>
      </c>
      <c r="P1066">
        <v>21</v>
      </c>
      <c r="Q1066">
        <v>3</v>
      </c>
      <c r="R1066">
        <v>2</v>
      </c>
      <c r="S1066" t="s">
        <v>25</v>
      </c>
    </row>
    <row r="1067" spans="1:19" x14ac:dyDescent="0.25">
      <c r="A1067">
        <v>11066</v>
      </c>
      <c r="B1067">
        <v>53</v>
      </c>
      <c r="C1067" t="s">
        <v>31</v>
      </c>
      <c r="D1067" t="s">
        <v>34</v>
      </c>
      <c r="E1067" t="s">
        <v>27</v>
      </c>
      <c r="F1067" t="s">
        <v>39</v>
      </c>
      <c r="G1067" t="s">
        <v>30</v>
      </c>
      <c r="H1067">
        <v>68308</v>
      </c>
      <c r="I1067">
        <v>43432</v>
      </c>
      <c r="J1067">
        <v>9</v>
      </c>
      <c r="K1067">
        <v>11</v>
      </c>
      <c r="L1067">
        <v>3</v>
      </c>
      <c r="M1067" t="s">
        <v>25</v>
      </c>
      <c r="N1067">
        <v>3</v>
      </c>
      <c r="O1067">
        <v>36</v>
      </c>
      <c r="P1067">
        <v>47</v>
      </c>
      <c r="Q1067">
        <v>3</v>
      </c>
      <c r="R1067">
        <v>2</v>
      </c>
      <c r="S1067" t="s">
        <v>25</v>
      </c>
    </row>
    <row r="1068" spans="1:19" x14ac:dyDescent="0.25">
      <c r="A1068">
        <v>11067</v>
      </c>
      <c r="B1068">
        <v>28</v>
      </c>
      <c r="C1068" t="s">
        <v>19</v>
      </c>
      <c r="D1068" t="s">
        <v>41</v>
      </c>
      <c r="E1068" t="s">
        <v>36</v>
      </c>
      <c r="F1068" t="s">
        <v>39</v>
      </c>
      <c r="G1068" t="s">
        <v>30</v>
      </c>
      <c r="H1068">
        <v>56333</v>
      </c>
      <c r="I1068">
        <v>44619</v>
      </c>
      <c r="J1068">
        <v>3</v>
      </c>
      <c r="K1068">
        <v>3</v>
      </c>
      <c r="L1068">
        <v>2</v>
      </c>
      <c r="M1068" t="s">
        <v>25</v>
      </c>
      <c r="N1068">
        <v>1</v>
      </c>
      <c r="O1068">
        <v>30</v>
      </c>
      <c r="P1068">
        <v>33</v>
      </c>
      <c r="Q1068">
        <v>3</v>
      </c>
      <c r="R1068">
        <v>2</v>
      </c>
      <c r="S1068" t="s">
        <v>25</v>
      </c>
    </row>
    <row r="1069" spans="1:19" x14ac:dyDescent="0.25">
      <c r="A1069">
        <v>11068</v>
      </c>
      <c r="B1069">
        <v>36</v>
      </c>
      <c r="C1069" t="s">
        <v>19</v>
      </c>
      <c r="D1069" t="s">
        <v>20</v>
      </c>
      <c r="E1069" t="s">
        <v>33</v>
      </c>
      <c r="F1069" t="s">
        <v>39</v>
      </c>
      <c r="G1069" t="s">
        <v>30</v>
      </c>
      <c r="H1069">
        <v>43640</v>
      </c>
      <c r="I1069">
        <v>10683</v>
      </c>
      <c r="J1069">
        <v>15</v>
      </c>
      <c r="K1069">
        <v>0</v>
      </c>
      <c r="L1069">
        <v>2</v>
      </c>
      <c r="M1069" t="s">
        <v>25</v>
      </c>
      <c r="N1069">
        <v>4</v>
      </c>
      <c r="O1069">
        <v>6</v>
      </c>
      <c r="P1069">
        <v>33</v>
      </c>
      <c r="Q1069">
        <v>3</v>
      </c>
      <c r="R1069">
        <v>2</v>
      </c>
      <c r="S1069" t="s">
        <v>25</v>
      </c>
    </row>
    <row r="1070" spans="1:19" x14ac:dyDescent="0.25">
      <c r="A1070">
        <v>11069</v>
      </c>
      <c r="B1070">
        <v>35</v>
      </c>
      <c r="C1070" t="s">
        <v>19</v>
      </c>
      <c r="D1070" t="s">
        <v>41</v>
      </c>
      <c r="E1070" t="s">
        <v>36</v>
      </c>
      <c r="F1070" t="s">
        <v>39</v>
      </c>
      <c r="G1070" t="s">
        <v>38</v>
      </c>
      <c r="H1070">
        <v>61802</v>
      </c>
      <c r="I1070">
        <v>28797</v>
      </c>
      <c r="J1070">
        <v>1</v>
      </c>
      <c r="K1070">
        <v>7</v>
      </c>
      <c r="L1070">
        <v>3</v>
      </c>
      <c r="M1070" t="s">
        <v>24</v>
      </c>
      <c r="N1070">
        <v>1</v>
      </c>
      <c r="O1070">
        <v>10</v>
      </c>
      <c r="P1070">
        <v>56</v>
      </c>
      <c r="Q1070">
        <v>3</v>
      </c>
      <c r="R1070">
        <v>1</v>
      </c>
      <c r="S1070" t="s">
        <v>24</v>
      </c>
    </row>
    <row r="1071" spans="1:19" x14ac:dyDescent="0.25">
      <c r="A1071">
        <v>11070</v>
      </c>
      <c r="B1071">
        <v>28</v>
      </c>
      <c r="C1071" t="s">
        <v>19</v>
      </c>
      <c r="D1071" t="s">
        <v>26</v>
      </c>
      <c r="E1071" t="s">
        <v>21</v>
      </c>
      <c r="F1071" t="s">
        <v>39</v>
      </c>
      <c r="G1071" t="s">
        <v>38</v>
      </c>
      <c r="H1071">
        <v>92021</v>
      </c>
      <c r="I1071">
        <v>44078</v>
      </c>
      <c r="J1071">
        <v>8</v>
      </c>
      <c r="K1071">
        <v>1</v>
      </c>
      <c r="L1071">
        <v>4</v>
      </c>
      <c r="M1071" t="s">
        <v>24</v>
      </c>
      <c r="N1071">
        <v>4</v>
      </c>
      <c r="O1071">
        <v>10</v>
      </c>
      <c r="P1071">
        <v>32</v>
      </c>
      <c r="Q1071">
        <v>4</v>
      </c>
      <c r="R1071">
        <v>2</v>
      </c>
      <c r="S1071" t="s">
        <v>25</v>
      </c>
    </row>
    <row r="1072" spans="1:19" x14ac:dyDescent="0.25">
      <c r="A1072">
        <v>11071</v>
      </c>
      <c r="B1072">
        <v>54</v>
      </c>
      <c r="C1072" t="s">
        <v>31</v>
      </c>
      <c r="D1072" t="s">
        <v>20</v>
      </c>
      <c r="E1072" t="s">
        <v>33</v>
      </c>
      <c r="F1072" t="s">
        <v>39</v>
      </c>
      <c r="G1072" t="s">
        <v>30</v>
      </c>
      <c r="H1072">
        <v>33400</v>
      </c>
      <c r="I1072">
        <v>11055</v>
      </c>
      <c r="J1072">
        <v>16</v>
      </c>
      <c r="K1072">
        <v>8</v>
      </c>
      <c r="L1072">
        <v>4</v>
      </c>
      <c r="M1072" t="s">
        <v>25</v>
      </c>
      <c r="N1072">
        <v>3</v>
      </c>
      <c r="O1072">
        <v>33</v>
      </c>
      <c r="P1072">
        <v>21</v>
      </c>
      <c r="Q1072">
        <v>3</v>
      </c>
      <c r="R1072">
        <v>4</v>
      </c>
      <c r="S1072" t="s">
        <v>25</v>
      </c>
    </row>
    <row r="1073" spans="1:19" x14ac:dyDescent="0.25">
      <c r="A1073">
        <v>11072</v>
      </c>
      <c r="B1073">
        <v>46</v>
      </c>
      <c r="C1073" t="s">
        <v>19</v>
      </c>
      <c r="D1073" t="s">
        <v>20</v>
      </c>
      <c r="E1073" t="s">
        <v>33</v>
      </c>
      <c r="F1073" t="s">
        <v>35</v>
      </c>
      <c r="G1073" t="s">
        <v>38</v>
      </c>
      <c r="H1073">
        <v>31817</v>
      </c>
      <c r="I1073">
        <v>42514</v>
      </c>
      <c r="J1073">
        <v>6</v>
      </c>
      <c r="K1073">
        <v>6</v>
      </c>
      <c r="L1073">
        <v>3</v>
      </c>
      <c r="M1073" t="s">
        <v>25</v>
      </c>
      <c r="N1073">
        <v>4</v>
      </c>
      <c r="O1073">
        <v>2</v>
      </c>
      <c r="P1073">
        <v>39</v>
      </c>
      <c r="Q1073">
        <v>3</v>
      </c>
      <c r="R1073">
        <v>4</v>
      </c>
      <c r="S1073" t="s">
        <v>25</v>
      </c>
    </row>
    <row r="1074" spans="1:19" x14ac:dyDescent="0.25">
      <c r="A1074">
        <v>11073</v>
      </c>
      <c r="B1074">
        <v>48</v>
      </c>
      <c r="C1074" t="s">
        <v>31</v>
      </c>
      <c r="D1074" t="s">
        <v>34</v>
      </c>
      <c r="E1074" t="s">
        <v>33</v>
      </c>
      <c r="F1074" t="s">
        <v>39</v>
      </c>
      <c r="G1074" t="s">
        <v>30</v>
      </c>
      <c r="H1074">
        <v>32398</v>
      </c>
      <c r="I1074">
        <v>13627</v>
      </c>
      <c r="J1074">
        <v>1</v>
      </c>
      <c r="K1074">
        <v>6</v>
      </c>
      <c r="L1074">
        <v>3</v>
      </c>
      <c r="M1074" t="s">
        <v>25</v>
      </c>
      <c r="N1074">
        <v>2</v>
      </c>
      <c r="O1074">
        <v>5</v>
      </c>
      <c r="P1074">
        <v>51</v>
      </c>
      <c r="Q1074">
        <v>4</v>
      </c>
      <c r="R1074">
        <v>3</v>
      </c>
      <c r="S1074" t="s">
        <v>25</v>
      </c>
    </row>
    <row r="1075" spans="1:19" x14ac:dyDescent="0.25">
      <c r="A1075">
        <v>11074</v>
      </c>
      <c r="B1075">
        <v>42</v>
      </c>
      <c r="C1075" t="s">
        <v>31</v>
      </c>
      <c r="D1075" t="s">
        <v>20</v>
      </c>
      <c r="E1075" t="s">
        <v>27</v>
      </c>
      <c r="F1075" t="s">
        <v>35</v>
      </c>
      <c r="G1075" t="s">
        <v>30</v>
      </c>
      <c r="H1075">
        <v>67150</v>
      </c>
      <c r="I1075">
        <v>22428</v>
      </c>
      <c r="J1075">
        <v>7</v>
      </c>
      <c r="K1075">
        <v>10</v>
      </c>
      <c r="L1075">
        <v>3</v>
      </c>
      <c r="M1075" t="s">
        <v>25</v>
      </c>
      <c r="N1075">
        <v>3</v>
      </c>
      <c r="O1075">
        <v>22</v>
      </c>
      <c r="P1075">
        <v>49</v>
      </c>
      <c r="Q1075">
        <v>3</v>
      </c>
      <c r="R1075">
        <v>2</v>
      </c>
      <c r="S1075" t="s">
        <v>25</v>
      </c>
    </row>
    <row r="1076" spans="1:19" x14ac:dyDescent="0.25">
      <c r="A1076">
        <v>11075</v>
      </c>
      <c r="B1076">
        <v>51</v>
      </c>
      <c r="C1076" t="s">
        <v>31</v>
      </c>
      <c r="D1076" t="s">
        <v>20</v>
      </c>
      <c r="E1076" t="s">
        <v>40</v>
      </c>
      <c r="F1076" t="s">
        <v>22</v>
      </c>
      <c r="G1076" t="s">
        <v>38</v>
      </c>
      <c r="H1076">
        <v>18343</v>
      </c>
      <c r="I1076">
        <v>21578</v>
      </c>
      <c r="J1076">
        <v>13</v>
      </c>
      <c r="K1076">
        <v>1</v>
      </c>
      <c r="L1076">
        <v>4</v>
      </c>
      <c r="M1076" t="s">
        <v>25</v>
      </c>
      <c r="N1076">
        <v>2</v>
      </c>
      <c r="O1076">
        <v>35</v>
      </c>
      <c r="P1076">
        <v>52</v>
      </c>
      <c r="Q1076">
        <v>4</v>
      </c>
      <c r="R1076">
        <v>3</v>
      </c>
      <c r="S1076" t="s">
        <v>25</v>
      </c>
    </row>
    <row r="1077" spans="1:19" x14ac:dyDescent="0.25">
      <c r="A1077">
        <v>11076</v>
      </c>
      <c r="B1077">
        <v>43</v>
      </c>
      <c r="C1077" t="s">
        <v>19</v>
      </c>
      <c r="D1077" t="s">
        <v>34</v>
      </c>
      <c r="E1077" t="s">
        <v>21</v>
      </c>
      <c r="F1077" t="s">
        <v>35</v>
      </c>
      <c r="G1077" t="s">
        <v>30</v>
      </c>
      <c r="H1077">
        <v>94090</v>
      </c>
      <c r="I1077">
        <v>45347</v>
      </c>
      <c r="J1077">
        <v>21</v>
      </c>
      <c r="K1077">
        <v>14</v>
      </c>
      <c r="L1077">
        <v>3</v>
      </c>
      <c r="M1077" t="s">
        <v>25</v>
      </c>
      <c r="N1077">
        <v>3</v>
      </c>
      <c r="O1077">
        <v>2</v>
      </c>
      <c r="P1077">
        <v>25</v>
      </c>
      <c r="Q1077">
        <v>4</v>
      </c>
      <c r="R1077">
        <v>3</v>
      </c>
      <c r="S1077" t="s">
        <v>25</v>
      </c>
    </row>
    <row r="1078" spans="1:19" x14ac:dyDescent="0.25">
      <c r="A1078">
        <v>11077</v>
      </c>
      <c r="B1078">
        <v>34</v>
      </c>
      <c r="C1078" t="s">
        <v>31</v>
      </c>
      <c r="D1078" t="s">
        <v>20</v>
      </c>
      <c r="E1078" t="s">
        <v>36</v>
      </c>
      <c r="F1078" t="s">
        <v>35</v>
      </c>
      <c r="G1078" t="s">
        <v>38</v>
      </c>
      <c r="H1078">
        <v>45489</v>
      </c>
      <c r="I1078">
        <v>19028</v>
      </c>
      <c r="J1078">
        <v>22</v>
      </c>
      <c r="K1078">
        <v>14</v>
      </c>
      <c r="L1078">
        <v>4</v>
      </c>
      <c r="M1078" t="s">
        <v>25</v>
      </c>
      <c r="N1078">
        <v>4</v>
      </c>
      <c r="O1078">
        <v>12</v>
      </c>
      <c r="P1078">
        <v>19</v>
      </c>
      <c r="Q1078">
        <v>2</v>
      </c>
      <c r="R1078">
        <v>2</v>
      </c>
      <c r="S1078" t="s">
        <v>25</v>
      </c>
    </row>
    <row r="1079" spans="1:19" x14ac:dyDescent="0.25">
      <c r="A1079">
        <v>11078</v>
      </c>
      <c r="B1079">
        <v>34</v>
      </c>
      <c r="C1079" t="s">
        <v>19</v>
      </c>
      <c r="D1079" t="s">
        <v>34</v>
      </c>
      <c r="E1079" t="s">
        <v>36</v>
      </c>
      <c r="F1079" t="s">
        <v>35</v>
      </c>
      <c r="G1079" t="s">
        <v>30</v>
      </c>
      <c r="H1079">
        <v>45029</v>
      </c>
      <c r="I1079">
        <v>27702</v>
      </c>
      <c r="J1079">
        <v>1</v>
      </c>
      <c r="K1079">
        <v>11</v>
      </c>
      <c r="L1079">
        <v>4</v>
      </c>
      <c r="M1079" t="s">
        <v>25</v>
      </c>
      <c r="N1079">
        <v>2</v>
      </c>
      <c r="O1079">
        <v>31</v>
      </c>
      <c r="P1079">
        <v>23</v>
      </c>
      <c r="Q1079">
        <v>2</v>
      </c>
      <c r="R1079">
        <v>4</v>
      </c>
      <c r="S1079" t="s">
        <v>24</v>
      </c>
    </row>
    <row r="1080" spans="1:19" x14ac:dyDescent="0.25">
      <c r="A1080">
        <v>11079</v>
      </c>
      <c r="B1080">
        <v>32</v>
      </c>
      <c r="C1080" t="s">
        <v>19</v>
      </c>
      <c r="D1080" t="s">
        <v>20</v>
      </c>
      <c r="E1080" t="s">
        <v>36</v>
      </c>
      <c r="F1080" t="s">
        <v>39</v>
      </c>
      <c r="G1080" t="s">
        <v>38</v>
      </c>
      <c r="H1080">
        <v>58051</v>
      </c>
      <c r="I1080">
        <v>26250</v>
      </c>
      <c r="J1080">
        <v>13</v>
      </c>
      <c r="K1080">
        <v>9</v>
      </c>
      <c r="L1080">
        <v>2</v>
      </c>
      <c r="M1080" t="s">
        <v>24</v>
      </c>
      <c r="N1080">
        <v>2</v>
      </c>
      <c r="O1080">
        <v>16</v>
      </c>
      <c r="P1080">
        <v>18</v>
      </c>
      <c r="Q1080">
        <v>3</v>
      </c>
      <c r="R1080">
        <v>4</v>
      </c>
      <c r="S1080" t="s">
        <v>25</v>
      </c>
    </row>
    <row r="1081" spans="1:19" x14ac:dyDescent="0.25">
      <c r="A1081">
        <v>11080</v>
      </c>
      <c r="B1081">
        <v>54</v>
      </c>
      <c r="C1081" t="s">
        <v>19</v>
      </c>
      <c r="D1081" t="s">
        <v>20</v>
      </c>
      <c r="E1081" t="s">
        <v>33</v>
      </c>
      <c r="F1081" t="s">
        <v>22</v>
      </c>
      <c r="G1081" t="s">
        <v>38</v>
      </c>
      <c r="H1081">
        <v>35796</v>
      </c>
      <c r="I1081">
        <v>45211</v>
      </c>
      <c r="J1081">
        <v>11</v>
      </c>
      <c r="K1081">
        <v>7</v>
      </c>
      <c r="L1081">
        <v>5</v>
      </c>
      <c r="M1081" t="s">
        <v>24</v>
      </c>
      <c r="N1081">
        <v>2</v>
      </c>
      <c r="O1081">
        <v>6</v>
      </c>
      <c r="P1081">
        <v>37</v>
      </c>
      <c r="Q1081">
        <v>1</v>
      </c>
      <c r="R1081">
        <v>3</v>
      </c>
      <c r="S1081" t="s">
        <v>25</v>
      </c>
    </row>
    <row r="1082" spans="1:19" x14ac:dyDescent="0.25">
      <c r="A1082">
        <v>11081</v>
      </c>
      <c r="B1082">
        <v>30</v>
      </c>
      <c r="C1082" t="s">
        <v>19</v>
      </c>
      <c r="D1082" t="s">
        <v>34</v>
      </c>
      <c r="E1082" t="s">
        <v>36</v>
      </c>
      <c r="F1082" t="s">
        <v>35</v>
      </c>
      <c r="G1082" t="s">
        <v>30</v>
      </c>
      <c r="H1082">
        <v>62576</v>
      </c>
      <c r="I1082">
        <v>27014</v>
      </c>
      <c r="J1082">
        <v>3</v>
      </c>
      <c r="K1082">
        <v>6</v>
      </c>
      <c r="L1082">
        <v>3</v>
      </c>
      <c r="M1082" t="s">
        <v>25</v>
      </c>
      <c r="N1082">
        <v>3</v>
      </c>
      <c r="O1082">
        <v>4</v>
      </c>
      <c r="P1082">
        <v>8</v>
      </c>
      <c r="Q1082">
        <v>3</v>
      </c>
      <c r="R1082">
        <v>3</v>
      </c>
      <c r="S1082" t="s">
        <v>25</v>
      </c>
    </row>
    <row r="1083" spans="1:19" x14ac:dyDescent="0.25">
      <c r="A1083">
        <v>11082</v>
      </c>
      <c r="B1083">
        <v>27</v>
      </c>
      <c r="C1083" t="s">
        <v>19</v>
      </c>
      <c r="D1083" t="s">
        <v>41</v>
      </c>
      <c r="E1083" t="s">
        <v>33</v>
      </c>
      <c r="F1083" t="s">
        <v>39</v>
      </c>
      <c r="G1083" t="s">
        <v>30</v>
      </c>
      <c r="H1083">
        <v>26093</v>
      </c>
      <c r="I1083">
        <v>42180</v>
      </c>
      <c r="J1083">
        <v>14</v>
      </c>
      <c r="K1083">
        <v>9</v>
      </c>
      <c r="L1083">
        <v>3</v>
      </c>
      <c r="M1083" t="s">
        <v>25</v>
      </c>
      <c r="N1083">
        <v>3</v>
      </c>
      <c r="O1083">
        <v>28</v>
      </c>
      <c r="P1083">
        <v>47</v>
      </c>
      <c r="Q1083">
        <v>4</v>
      </c>
      <c r="R1083">
        <v>3</v>
      </c>
      <c r="S1083" t="s">
        <v>25</v>
      </c>
    </row>
    <row r="1084" spans="1:19" x14ac:dyDescent="0.25">
      <c r="A1084">
        <v>11083</v>
      </c>
      <c r="B1084">
        <v>26</v>
      </c>
      <c r="C1084" t="s">
        <v>19</v>
      </c>
      <c r="D1084" t="s">
        <v>20</v>
      </c>
      <c r="E1084" t="s">
        <v>36</v>
      </c>
      <c r="F1084" t="s">
        <v>22</v>
      </c>
      <c r="G1084" t="s">
        <v>30</v>
      </c>
      <c r="H1084">
        <v>67888</v>
      </c>
      <c r="I1084">
        <v>41717</v>
      </c>
      <c r="J1084">
        <v>3</v>
      </c>
      <c r="K1084">
        <v>2</v>
      </c>
      <c r="L1084">
        <v>2</v>
      </c>
      <c r="M1084" t="s">
        <v>24</v>
      </c>
      <c r="N1084">
        <v>2</v>
      </c>
      <c r="O1084">
        <v>8</v>
      </c>
      <c r="P1084">
        <v>36</v>
      </c>
      <c r="Q1084">
        <v>3</v>
      </c>
      <c r="R1084">
        <v>4</v>
      </c>
      <c r="S1084" t="s">
        <v>25</v>
      </c>
    </row>
    <row r="1085" spans="1:19" x14ac:dyDescent="0.25">
      <c r="A1085">
        <v>11084</v>
      </c>
      <c r="B1085">
        <v>59</v>
      </c>
      <c r="C1085" t="s">
        <v>19</v>
      </c>
      <c r="D1085" t="s">
        <v>41</v>
      </c>
      <c r="E1085" t="s">
        <v>36</v>
      </c>
      <c r="F1085" t="s">
        <v>39</v>
      </c>
      <c r="G1085" t="s">
        <v>38</v>
      </c>
      <c r="H1085">
        <v>50516</v>
      </c>
      <c r="I1085">
        <v>9200</v>
      </c>
      <c r="J1085">
        <v>24</v>
      </c>
      <c r="K1085">
        <v>11</v>
      </c>
      <c r="L1085">
        <v>1</v>
      </c>
      <c r="M1085" t="s">
        <v>25</v>
      </c>
      <c r="N1085">
        <v>3</v>
      </c>
      <c r="O1085">
        <v>11</v>
      </c>
      <c r="P1085">
        <v>29</v>
      </c>
      <c r="Q1085">
        <v>4</v>
      </c>
      <c r="R1085">
        <v>4</v>
      </c>
      <c r="S1085" t="s">
        <v>25</v>
      </c>
    </row>
    <row r="1086" spans="1:19" x14ac:dyDescent="0.25">
      <c r="A1086">
        <v>11085</v>
      </c>
      <c r="B1086">
        <v>54</v>
      </c>
      <c r="C1086" t="s">
        <v>31</v>
      </c>
      <c r="D1086" t="s">
        <v>41</v>
      </c>
      <c r="E1086" t="s">
        <v>36</v>
      </c>
      <c r="F1086" t="s">
        <v>39</v>
      </c>
      <c r="G1086" t="s">
        <v>38</v>
      </c>
      <c r="H1086">
        <v>59816</v>
      </c>
      <c r="I1086">
        <v>17540</v>
      </c>
      <c r="J1086">
        <v>11</v>
      </c>
      <c r="K1086">
        <v>12</v>
      </c>
      <c r="L1086">
        <v>3</v>
      </c>
      <c r="M1086" t="s">
        <v>25</v>
      </c>
      <c r="N1086">
        <v>3</v>
      </c>
      <c r="O1086">
        <v>30</v>
      </c>
      <c r="P1086">
        <v>13</v>
      </c>
      <c r="Q1086">
        <v>4</v>
      </c>
      <c r="R1086">
        <v>4</v>
      </c>
      <c r="S1086" t="s">
        <v>25</v>
      </c>
    </row>
    <row r="1087" spans="1:19" x14ac:dyDescent="0.25">
      <c r="A1087">
        <v>11086</v>
      </c>
      <c r="B1087">
        <v>47</v>
      </c>
      <c r="C1087" t="s">
        <v>31</v>
      </c>
      <c r="D1087" t="s">
        <v>41</v>
      </c>
      <c r="E1087" t="s">
        <v>27</v>
      </c>
      <c r="F1087" t="s">
        <v>35</v>
      </c>
      <c r="G1087" t="s">
        <v>38</v>
      </c>
      <c r="H1087">
        <v>74147</v>
      </c>
      <c r="I1087">
        <v>17956</v>
      </c>
      <c r="J1087">
        <v>15</v>
      </c>
      <c r="K1087">
        <v>2</v>
      </c>
      <c r="L1087">
        <v>5</v>
      </c>
      <c r="M1087" t="s">
        <v>25</v>
      </c>
      <c r="N1087">
        <v>4</v>
      </c>
      <c r="O1087">
        <v>23</v>
      </c>
      <c r="P1087">
        <v>44</v>
      </c>
      <c r="Q1087">
        <v>2</v>
      </c>
      <c r="R1087">
        <v>3</v>
      </c>
      <c r="S1087" t="s">
        <v>25</v>
      </c>
    </row>
    <row r="1088" spans="1:19" x14ac:dyDescent="0.25">
      <c r="A1088">
        <v>11087</v>
      </c>
      <c r="B1088">
        <v>47</v>
      </c>
      <c r="C1088" t="s">
        <v>19</v>
      </c>
      <c r="D1088" t="s">
        <v>20</v>
      </c>
      <c r="E1088" t="s">
        <v>40</v>
      </c>
      <c r="F1088" t="s">
        <v>39</v>
      </c>
      <c r="G1088" t="s">
        <v>38</v>
      </c>
      <c r="H1088">
        <v>17799</v>
      </c>
      <c r="I1088">
        <v>25147</v>
      </c>
      <c r="J1088">
        <v>2</v>
      </c>
      <c r="K1088">
        <v>2</v>
      </c>
      <c r="L1088">
        <v>1</v>
      </c>
      <c r="M1088" t="s">
        <v>24</v>
      </c>
      <c r="N1088">
        <v>3</v>
      </c>
      <c r="O1088">
        <v>24</v>
      </c>
      <c r="P1088">
        <v>47</v>
      </c>
      <c r="Q1088">
        <v>2</v>
      </c>
      <c r="R1088">
        <v>2</v>
      </c>
      <c r="S1088" t="s">
        <v>25</v>
      </c>
    </row>
    <row r="1089" spans="1:19" x14ac:dyDescent="0.25">
      <c r="A1089">
        <v>11088</v>
      </c>
      <c r="B1089">
        <v>54</v>
      </c>
      <c r="C1089" t="s">
        <v>31</v>
      </c>
      <c r="D1089" t="s">
        <v>41</v>
      </c>
      <c r="E1089" t="s">
        <v>33</v>
      </c>
      <c r="F1089" t="s">
        <v>22</v>
      </c>
      <c r="G1089" t="s">
        <v>30</v>
      </c>
      <c r="H1089">
        <v>26177</v>
      </c>
      <c r="I1089">
        <v>22661</v>
      </c>
      <c r="J1089">
        <v>19</v>
      </c>
      <c r="K1089">
        <v>0</v>
      </c>
      <c r="L1089">
        <v>2</v>
      </c>
      <c r="M1089" t="s">
        <v>25</v>
      </c>
      <c r="N1089">
        <v>3</v>
      </c>
      <c r="O1089">
        <v>7</v>
      </c>
      <c r="P1089">
        <v>15</v>
      </c>
      <c r="Q1089">
        <v>2</v>
      </c>
      <c r="R1089">
        <v>2</v>
      </c>
      <c r="S1089" t="s">
        <v>24</v>
      </c>
    </row>
    <row r="1090" spans="1:19" x14ac:dyDescent="0.25">
      <c r="A1090">
        <v>11089</v>
      </c>
      <c r="B1090">
        <v>56</v>
      </c>
      <c r="C1090" t="s">
        <v>31</v>
      </c>
      <c r="D1090" t="s">
        <v>41</v>
      </c>
      <c r="E1090" t="s">
        <v>36</v>
      </c>
      <c r="F1090" t="s">
        <v>37</v>
      </c>
      <c r="G1090" t="s">
        <v>30</v>
      </c>
      <c r="H1090">
        <v>55232</v>
      </c>
      <c r="I1090">
        <v>18280</v>
      </c>
      <c r="J1090">
        <v>20</v>
      </c>
      <c r="K1090">
        <v>4</v>
      </c>
      <c r="L1090">
        <v>4</v>
      </c>
      <c r="M1090" t="s">
        <v>25</v>
      </c>
      <c r="N1090">
        <v>1</v>
      </c>
      <c r="O1090">
        <v>6</v>
      </c>
      <c r="P1090">
        <v>36</v>
      </c>
      <c r="Q1090">
        <v>1</v>
      </c>
      <c r="R1090">
        <v>4</v>
      </c>
      <c r="S1090" t="s">
        <v>24</v>
      </c>
    </row>
    <row r="1091" spans="1:19" x14ac:dyDescent="0.25">
      <c r="A1091">
        <v>11090</v>
      </c>
      <c r="B1091">
        <v>38</v>
      </c>
      <c r="C1091" t="s">
        <v>31</v>
      </c>
      <c r="D1091" t="s">
        <v>41</v>
      </c>
      <c r="E1091" t="s">
        <v>33</v>
      </c>
      <c r="F1091" t="s">
        <v>39</v>
      </c>
      <c r="G1091" t="s">
        <v>23</v>
      </c>
      <c r="H1091">
        <v>27661</v>
      </c>
      <c r="I1091">
        <v>11137</v>
      </c>
      <c r="J1091">
        <v>7</v>
      </c>
      <c r="K1091">
        <v>6</v>
      </c>
      <c r="L1091">
        <v>3</v>
      </c>
      <c r="M1091" t="s">
        <v>25</v>
      </c>
      <c r="N1091">
        <v>2</v>
      </c>
      <c r="O1091">
        <v>12</v>
      </c>
      <c r="P1091">
        <v>51</v>
      </c>
      <c r="Q1091">
        <v>4</v>
      </c>
      <c r="R1091">
        <v>2</v>
      </c>
      <c r="S1091" t="s">
        <v>25</v>
      </c>
    </row>
    <row r="1092" spans="1:19" x14ac:dyDescent="0.25">
      <c r="A1092">
        <v>11091</v>
      </c>
      <c r="B1092">
        <v>29</v>
      </c>
      <c r="C1092" t="s">
        <v>19</v>
      </c>
      <c r="D1092" t="s">
        <v>20</v>
      </c>
      <c r="E1092" t="s">
        <v>40</v>
      </c>
      <c r="F1092" t="s">
        <v>22</v>
      </c>
      <c r="G1092" t="s">
        <v>30</v>
      </c>
      <c r="H1092">
        <v>11437</v>
      </c>
      <c r="I1092">
        <v>18226</v>
      </c>
      <c r="J1092">
        <v>4</v>
      </c>
      <c r="K1092">
        <v>6</v>
      </c>
      <c r="L1092">
        <v>3</v>
      </c>
      <c r="M1092" t="s">
        <v>25</v>
      </c>
      <c r="N1092">
        <v>4</v>
      </c>
      <c r="O1092">
        <v>7</v>
      </c>
      <c r="P1092">
        <v>10</v>
      </c>
      <c r="Q1092">
        <v>4</v>
      </c>
      <c r="R1092">
        <v>3</v>
      </c>
      <c r="S1092" t="s">
        <v>25</v>
      </c>
    </row>
    <row r="1093" spans="1:19" x14ac:dyDescent="0.25">
      <c r="A1093">
        <v>11092</v>
      </c>
      <c r="B1093">
        <v>21</v>
      </c>
      <c r="C1093" t="s">
        <v>31</v>
      </c>
      <c r="D1093" t="s">
        <v>41</v>
      </c>
      <c r="E1093" t="s">
        <v>27</v>
      </c>
      <c r="F1093" t="s">
        <v>22</v>
      </c>
      <c r="G1093" t="s">
        <v>30</v>
      </c>
      <c r="H1093">
        <v>89048</v>
      </c>
      <c r="I1093">
        <v>4886</v>
      </c>
      <c r="J1093">
        <v>21</v>
      </c>
      <c r="K1093">
        <v>14</v>
      </c>
      <c r="L1093">
        <v>3</v>
      </c>
      <c r="M1093" t="s">
        <v>25</v>
      </c>
      <c r="N1093">
        <v>3</v>
      </c>
      <c r="O1093">
        <v>24</v>
      </c>
      <c r="P1093">
        <v>25</v>
      </c>
      <c r="Q1093">
        <v>4</v>
      </c>
      <c r="R1093">
        <v>1</v>
      </c>
      <c r="S1093" t="s">
        <v>25</v>
      </c>
    </row>
    <row r="1094" spans="1:19" x14ac:dyDescent="0.25">
      <c r="A1094">
        <v>11093</v>
      </c>
      <c r="B1094">
        <v>21</v>
      </c>
      <c r="C1094" t="s">
        <v>19</v>
      </c>
      <c r="D1094" t="s">
        <v>20</v>
      </c>
      <c r="E1094" t="s">
        <v>33</v>
      </c>
      <c r="F1094" t="s">
        <v>35</v>
      </c>
      <c r="G1094" t="s">
        <v>30</v>
      </c>
      <c r="H1094">
        <v>31733</v>
      </c>
      <c r="I1094">
        <v>24812</v>
      </c>
      <c r="J1094">
        <v>11</v>
      </c>
      <c r="K1094">
        <v>2</v>
      </c>
      <c r="L1094">
        <v>5</v>
      </c>
      <c r="M1094" t="s">
        <v>25</v>
      </c>
      <c r="N1094">
        <v>3</v>
      </c>
      <c r="O1094">
        <v>1</v>
      </c>
      <c r="P1094">
        <v>8</v>
      </c>
      <c r="Q1094">
        <v>3</v>
      </c>
      <c r="R1094">
        <v>3</v>
      </c>
      <c r="S1094" t="s">
        <v>25</v>
      </c>
    </row>
    <row r="1095" spans="1:19" x14ac:dyDescent="0.25">
      <c r="A1095">
        <v>11094</v>
      </c>
      <c r="B1095">
        <v>22</v>
      </c>
      <c r="C1095" t="s">
        <v>19</v>
      </c>
      <c r="D1095" t="s">
        <v>20</v>
      </c>
      <c r="E1095" t="s">
        <v>33</v>
      </c>
      <c r="F1095" t="s">
        <v>22</v>
      </c>
      <c r="G1095" t="s">
        <v>30</v>
      </c>
      <c r="H1095">
        <v>43422</v>
      </c>
      <c r="I1095">
        <v>9533</v>
      </c>
      <c r="J1095">
        <v>2</v>
      </c>
      <c r="K1095">
        <v>11</v>
      </c>
      <c r="L1095">
        <v>3</v>
      </c>
      <c r="M1095" t="s">
        <v>24</v>
      </c>
      <c r="N1095">
        <v>1</v>
      </c>
      <c r="O1095">
        <v>30</v>
      </c>
      <c r="P1095">
        <v>6</v>
      </c>
      <c r="Q1095">
        <v>2</v>
      </c>
      <c r="R1095">
        <v>2</v>
      </c>
      <c r="S1095" t="s">
        <v>24</v>
      </c>
    </row>
    <row r="1096" spans="1:19" x14ac:dyDescent="0.25">
      <c r="A1096">
        <v>11095</v>
      </c>
      <c r="B1096">
        <v>51</v>
      </c>
      <c r="C1096" t="s">
        <v>19</v>
      </c>
      <c r="D1096" t="s">
        <v>41</v>
      </c>
      <c r="E1096" t="s">
        <v>21</v>
      </c>
      <c r="F1096" t="s">
        <v>35</v>
      </c>
      <c r="G1096" t="s">
        <v>30</v>
      </c>
      <c r="H1096">
        <v>90193</v>
      </c>
      <c r="I1096">
        <v>31760</v>
      </c>
      <c r="J1096">
        <v>14</v>
      </c>
      <c r="K1096">
        <v>0</v>
      </c>
      <c r="L1096">
        <v>4</v>
      </c>
      <c r="M1096" t="s">
        <v>25</v>
      </c>
      <c r="N1096">
        <v>2</v>
      </c>
      <c r="O1096">
        <v>23</v>
      </c>
      <c r="P1096">
        <v>40</v>
      </c>
      <c r="Q1096">
        <v>1</v>
      </c>
      <c r="R1096">
        <v>3</v>
      </c>
      <c r="S1096" t="s">
        <v>25</v>
      </c>
    </row>
    <row r="1097" spans="1:19" x14ac:dyDescent="0.25">
      <c r="A1097">
        <v>11096</v>
      </c>
      <c r="B1097">
        <v>21</v>
      </c>
      <c r="C1097" t="s">
        <v>19</v>
      </c>
      <c r="D1097" t="s">
        <v>26</v>
      </c>
      <c r="E1097" t="s">
        <v>36</v>
      </c>
      <c r="F1097" t="s">
        <v>39</v>
      </c>
      <c r="G1097" t="s">
        <v>30</v>
      </c>
      <c r="H1097">
        <v>48526</v>
      </c>
      <c r="I1097">
        <v>47099</v>
      </c>
      <c r="J1097">
        <v>2</v>
      </c>
      <c r="K1097">
        <v>8</v>
      </c>
      <c r="L1097">
        <v>5</v>
      </c>
      <c r="M1097" t="s">
        <v>24</v>
      </c>
      <c r="N1097">
        <v>3</v>
      </c>
      <c r="O1097">
        <v>14</v>
      </c>
      <c r="P1097">
        <v>43</v>
      </c>
      <c r="Q1097">
        <v>3</v>
      </c>
      <c r="R1097">
        <v>3</v>
      </c>
      <c r="S1097" t="s">
        <v>25</v>
      </c>
    </row>
    <row r="1098" spans="1:19" x14ac:dyDescent="0.25">
      <c r="A1098">
        <v>11097</v>
      </c>
      <c r="B1098">
        <v>20</v>
      </c>
      <c r="C1098" t="s">
        <v>19</v>
      </c>
      <c r="D1098" t="s">
        <v>41</v>
      </c>
      <c r="E1098" t="s">
        <v>33</v>
      </c>
      <c r="F1098" t="s">
        <v>35</v>
      </c>
      <c r="G1098" t="s">
        <v>30</v>
      </c>
      <c r="H1098">
        <v>41586</v>
      </c>
      <c r="I1098">
        <v>13065</v>
      </c>
      <c r="J1098">
        <v>10</v>
      </c>
      <c r="K1098">
        <v>1</v>
      </c>
      <c r="L1098">
        <v>4</v>
      </c>
      <c r="M1098" t="s">
        <v>24</v>
      </c>
      <c r="N1098">
        <v>2</v>
      </c>
      <c r="O1098">
        <v>17</v>
      </c>
      <c r="P1098">
        <v>26</v>
      </c>
      <c r="Q1098">
        <v>4</v>
      </c>
      <c r="R1098">
        <v>2</v>
      </c>
      <c r="S1098" t="s">
        <v>25</v>
      </c>
    </row>
    <row r="1099" spans="1:19" x14ac:dyDescent="0.25">
      <c r="A1099">
        <v>11098</v>
      </c>
      <c r="B1099">
        <v>46</v>
      </c>
      <c r="C1099" t="s">
        <v>19</v>
      </c>
      <c r="D1099" t="s">
        <v>28</v>
      </c>
      <c r="E1099" t="s">
        <v>21</v>
      </c>
      <c r="F1099" t="s">
        <v>22</v>
      </c>
      <c r="G1099" t="s">
        <v>23</v>
      </c>
      <c r="H1099">
        <v>101049</v>
      </c>
      <c r="I1099">
        <v>21432</v>
      </c>
      <c r="J1099">
        <v>9</v>
      </c>
      <c r="K1099">
        <v>8</v>
      </c>
      <c r="L1099">
        <v>3</v>
      </c>
      <c r="M1099" t="s">
        <v>25</v>
      </c>
      <c r="N1099">
        <v>3</v>
      </c>
      <c r="O1099">
        <v>20</v>
      </c>
      <c r="P1099">
        <v>24</v>
      </c>
      <c r="Q1099">
        <v>3</v>
      </c>
      <c r="R1099">
        <v>3</v>
      </c>
      <c r="S1099" t="s">
        <v>25</v>
      </c>
    </row>
    <row r="1100" spans="1:19" x14ac:dyDescent="0.25">
      <c r="A1100">
        <v>11099</v>
      </c>
      <c r="B1100">
        <v>37</v>
      </c>
      <c r="C1100" t="s">
        <v>19</v>
      </c>
      <c r="D1100" t="s">
        <v>41</v>
      </c>
      <c r="E1100" t="s">
        <v>27</v>
      </c>
      <c r="F1100" t="s">
        <v>39</v>
      </c>
      <c r="G1100" t="s">
        <v>38</v>
      </c>
      <c r="H1100">
        <v>76385</v>
      </c>
      <c r="I1100">
        <v>44979</v>
      </c>
      <c r="J1100">
        <v>4</v>
      </c>
      <c r="K1100">
        <v>3</v>
      </c>
      <c r="L1100">
        <v>1</v>
      </c>
      <c r="M1100" t="s">
        <v>25</v>
      </c>
      <c r="N1100">
        <v>2</v>
      </c>
      <c r="O1100">
        <v>13</v>
      </c>
      <c r="P1100">
        <v>21</v>
      </c>
      <c r="Q1100">
        <v>3</v>
      </c>
      <c r="R1100">
        <v>3</v>
      </c>
      <c r="S1100" t="s">
        <v>25</v>
      </c>
    </row>
    <row r="1101" spans="1:19" x14ac:dyDescent="0.25">
      <c r="A1101">
        <v>11100</v>
      </c>
      <c r="B1101">
        <v>30</v>
      </c>
      <c r="C1101" t="s">
        <v>19</v>
      </c>
      <c r="D1101" t="s">
        <v>41</v>
      </c>
      <c r="E1101" t="s">
        <v>33</v>
      </c>
      <c r="F1101" t="s">
        <v>35</v>
      </c>
      <c r="G1101" t="s">
        <v>38</v>
      </c>
      <c r="H1101">
        <v>32445</v>
      </c>
      <c r="I1101">
        <v>31076</v>
      </c>
      <c r="J1101">
        <v>6</v>
      </c>
      <c r="K1101">
        <v>5</v>
      </c>
      <c r="L1101">
        <v>4</v>
      </c>
      <c r="M1101" t="s">
        <v>25</v>
      </c>
      <c r="N1101">
        <v>2</v>
      </c>
      <c r="O1101">
        <v>23</v>
      </c>
      <c r="P1101">
        <v>29</v>
      </c>
      <c r="Q1101">
        <v>3</v>
      </c>
      <c r="R1101">
        <v>3</v>
      </c>
      <c r="S1101" t="s">
        <v>24</v>
      </c>
    </row>
    <row r="1102" spans="1:19" x14ac:dyDescent="0.25">
      <c r="A1102">
        <v>11101</v>
      </c>
      <c r="B1102">
        <v>53</v>
      </c>
      <c r="C1102" t="s">
        <v>19</v>
      </c>
      <c r="D1102" t="s">
        <v>20</v>
      </c>
      <c r="E1102" t="s">
        <v>33</v>
      </c>
      <c r="F1102" t="s">
        <v>39</v>
      </c>
      <c r="G1102" t="s">
        <v>30</v>
      </c>
      <c r="H1102">
        <v>30818</v>
      </c>
      <c r="I1102">
        <v>41093</v>
      </c>
      <c r="J1102">
        <v>0</v>
      </c>
      <c r="K1102">
        <v>7</v>
      </c>
      <c r="L1102">
        <v>3</v>
      </c>
      <c r="M1102" t="s">
        <v>25</v>
      </c>
      <c r="N1102">
        <v>2</v>
      </c>
      <c r="O1102">
        <v>23</v>
      </c>
      <c r="P1102">
        <v>20</v>
      </c>
      <c r="Q1102">
        <v>2</v>
      </c>
      <c r="R1102">
        <v>3</v>
      </c>
      <c r="S1102" t="s">
        <v>24</v>
      </c>
    </row>
    <row r="1103" spans="1:19" x14ac:dyDescent="0.25">
      <c r="A1103">
        <v>11102</v>
      </c>
      <c r="B1103">
        <v>40</v>
      </c>
      <c r="C1103" t="s">
        <v>19</v>
      </c>
      <c r="D1103" t="s">
        <v>20</v>
      </c>
      <c r="E1103" t="s">
        <v>27</v>
      </c>
      <c r="F1103" t="s">
        <v>39</v>
      </c>
      <c r="G1103" t="s">
        <v>30</v>
      </c>
      <c r="H1103">
        <v>62921</v>
      </c>
      <c r="I1103">
        <v>9028</v>
      </c>
      <c r="J1103">
        <v>8</v>
      </c>
      <c r="K1103">
        <v>11</v>
      </c>
      <c r="L1103">
        <v>3</v>
      </c>
      <c r="M1103" t="s">
        <v>25</v>
      </c>
      <c r="N1103">
        <v>3</v>
      </c>
      <c r="O1103">
        <v>10</v>
      </c>
      <c r="P1103">
        <v>50</v>
      </c>
      <c r="Q1103">
        <v>1</v>
      </c>
      <c r="R1103">
        <v>2</v>
      </c>
      <c r="S1103" t="s">
        <v>25</v>
      </c>
    </row>
    <row r="1104" spans="1:19" x14ac:dyDescent="0.25">
      <c r="A1104">
        <v>11103</v>
      </c>
      <c r="B1104">
        <v>51</v>
      </c>
      <c r="C1104" t="s">
        <v>19</v>
      </c>
      <c r="D1104" t="s">
        <v>32</v>
      </c>
      <c r="E1104" t="s">
        <v>36</v>
      </c>
      <c r="F1104" t="s">
        <v>35</v>
      </c>
      <c r="G1104" t="s">
        <v>38</v>
      </c>
      <c r="H1104">
        <v>54605</v>
      </c>
      <c r="I1104">
        <v>15817</v>
      </c>
      <c r="J1104">
        <v>20</v>
      </c>
      <c r="K1104">
        <v>0</v>
      </c>
      <c r="L1104">
        <v>5</v>
      </c>
      <c r="M1104" t="s">
        <v>24</v>
      </c>
      <c r="N1104">
        <v>4</v>
      </c>
      <c r="O1104">
        <v>29</v>
      </c>
      <c r="P1104">
        <v>6</v>
      </c>
      <c r="Q1104">
        <v>2</v>
      </c>
      <c r="R1104">
        <v>2</v>
      </c>
      <c r="S1104" t="s">
        <v>25</v>
      </c>
    </row>
    <row r="1105" spans="1:19" x14ac:dyDescent="0.25">
      <c r="A1105">
        <v>11104</v>
      </c>
      <c r="B1105">
        <v>58</v>
      </c>
      <c r="C1105" t="s">
        <v>31</v>
      </c>
      <c r="D1105" t="s">
        <v>20</v>
      </c>
      <c r="E1105" t="s">
        <v>33</v>
      </c>
      <c r="F1105" t="s">
        <v>35</v>
      </c>
      <c r="G1105" t="s">
        <v>30</v>
      </c>
      <c r="H1105">
        <v>26978</v>
      </c>
      <c r="I1105">
        <v>16128</v>
      </c>
      <c r="J1105">
        <v>20</v>
      </c>
      <c r="K1105">
        <v>5</v>
      </c>
      <c r="L1105">
        <v>3</v>
      </c>
      <c r="M1105" t="s">
        <v>25</v>
      </c>
      <c r="N1105">
        <v>2</v>
      </c>
      <c r="O1105">
        <v>28</v>
      </c>
      <c r="P1105">
        <v>59</v>
      </c>
      <c r="Q1105">
        <v>1</v>
      </c>
      <c r="R1105">
        <v>3</v>
      </c>
      <c r="S1105" t="s">
        <v>25</v>
      </c>
    </row>
    <row r="1106" spans="1:19" x14ac:dyDescent="0.25">
      <c r="A1106">
        <v>11105</v>
      </c>
      <c r="B1106">
        <v>26</v>
      </c>
      <c r="C1106" t="s">
        <v>19</v>
      </c>
      <c r="D1106" t="s">
        <v>20</v>
      </c>
      <c r="E1106" t="s">
        <v>33</v>
      </c>
      <c r="F1106" t="s">
        <v>35</v>
      </c>
      <c r="G1106" t="s">
        <v>38</v>
      </c>
      <c r="H1106">
        <v>29371</v>
      </c>
      <c r="I1106">
        <v>23816</v>
      </c>
      <c r="J1106">
        <v>13</v>
      </c>
      <c r="K1106">
        <v>1</v>
      </c>
      <c r="L1106">
        <v>4</v>
      </c>
      <c r="M1106" t="s">
        <v>25</v>
      </c>
      <c r="N1106">
        <v>3</v>
      </c>
      <c r="O1106">
        <v>22</v>
      </c>
      <c r="P1106">
        <v>53</v>
      </c>
      <c r="Q1106">
        <v>4</v>
      </c>
      <c r="R1106">
        <v>2</v>
      </c>
      <c r="S1106" t="s">
        <v>25</v>
      </c>
    </row>
    <row r="1107" spans="1:19" x14ac:dyDescent="0.25">
      <c r="A1107">
        <v>11106</v>
      </c>
      <c r="B1107">
        <v>53</v>
      </c>
      <c r="C1107" t="s">
        <v>19</v>
      </c>
      <c r="D1107" t="s">
        <v>41</v>
      </c>
      <c r="E1107" t="s">
        <v>29</v>
      </c>
      <c r="F1107" t="s">
        <v>35</v>
      </c>
      <c r="G1107" t="s">
        <v>30</v>
      </c>
      <c r="H1107">
        <v>142998</v>
      </c>
      <c r="I1107">
        <v>19518</v>
      </c>
      <c r="J1107">
        <v>24</v>
      </c>
      <c r="K1107">
        <v>12</v>
      </c>
      <c r="L1107">
        <v>2</v>
      </c>
      <c r="M1107" t="s">
        <v>25</v>
      </c>
      <c r="N1107">
        <v>3</v>
      </c>
      <c r="O1107">
        <v>8</v>
      </c>
      <c r="P1107">
        <v>9</v>
      </c>
      <c r="Q1107">
        <v>3</v>
      </c>
      <c r="R1107">
        <v>2</v>
      </c>
      <c r="S1107" t="s">
        <v>25</v>
      </c>
    </row>
    <row r="1108" spans="1:19" x14ac:dyDescent="0.25">
      <c r="A1108">
        <v>11107</v>
      </c>
      <c r="B1108">
        <v>47</v>
      </c>
      <c r="C1108" t="s">
        <v>19</v>
      </c>
      <c r="D1108" t="s">
        <v>28</v>
      </c>
      <c r="E1108" t="s">
        <v>33</v>
      </c>
      <c r="F1108" t="s">
        <v>35</v>
      </c>
      <c r="G1108" t="s">
        <v>38</v>
      </c>
      <c r="H1108">
        <v>40223</v>
      </c>
      <c r="I1108">
        <v>21521</v>
      </c>
      <c r="J1108">
        <v>11</v>
      </c>
      <c r="K1108">
        <v>2</v>
      </c>
      <c r="L1108">
        <v>4</v>
      </c>
      <c r="M1108" t="s">
        <v>25</v>
      </c>
      <c r="N1108">
        <v>3</v>
      </c>
      <c r="O1108">
        <v>2</v>
      </c>
      <c r="P1108">
        <v>13</v>
      </c>
      <c r="Q1108">
        <v>3</v>
      </c>
      <c r="R1108">
        <v>3</v>
      </c>
      <c r="S1108" t="s">
        <v>25</v>
      </c>
    </row>
    <row r="1109" spans="1:19" x14ac:dyDescent="0.25">
      <c r="A1109">
        <v>11108</v>
      </c>
      <c r="B1109">
        <v>47</v>
      </c>
      <c r="C1109" t="s">
        <v>31</v>
      </c>
      <c r="D1109" t="s">
        <v>20</v>
      </c>
      <c r="E1109" t="s">
        <v>36</v>
      </c>
      <c r="F1109" t="s">
        <v>39</v>
      </c>
      <c r="G1109" t="s">
        <v>38</v>
      </c>
      <c r="H1109">
        <v>56353</v>
      </c>
      <c r="I1109">
        <v>28562</v>
      </c>
      <c r="J1109">
        <v>18</v>
      </c>
      <c r="K1109">
        <v>7</v>
      </c>
      <c r="L1109">
        <v>3</v>
      </c>
      <c r="M1109" t="s">
        <v>25</v>
      </c>
      <c r="N1109">
        <v>4</v>
      </c>
      <c r="O1109">
        <v>12</v>
      </c>
      <c r="P1109">
        <v>45</v>
      </c>
      <c r="Q1109">
        <v>1</v>
      </c>
      <c r="R1109">
        <v>3</v>
      </c>
      <c r="S1109" t="s">
        <v>25</v>
      </c>
    </row>
    <row r="1110" spans="1:19" x14ac:dyDescent="0.25">
      <c r="A1110">
        <v>11109</v>
      </c>
      <c r="B1110">
        <v>39</v>
      </c>
      <c r="C1110" t="s">
        <v>31</v>
      </c>
      <c r="D1110" t="s">
        <v>20</v>
      </c>
      <c r="E1110" t="s">
        <v>36</v>
      </c>
      <c r="F1110" t="s">
        <v>39</v>
      </c>
      <c r="G1110" t="s">
        <v>38</v>
      </c>
      <c r="H1110">
        <v>54638</v>
      </c>
      <c r="I1110">
        <v>24647</v>
      </c>
      <c r="J1110">
        <v>9</v>
      </c>
      <c r="K1110">
        <v>0</v>
      </c>
      <c r="L1110">
        <v>5</v>
      </c>
      <c r="M1110" t="s">
        <v>25</v>
      </c>
      <c r="N1110">
        <v>1</v>
      </c>
      <c r="O1110">
        <v>10</v>
      </c>
      <c r="P1110">
        <v>55</v>
      </c>
      <c r="Q1110">
        <v>3</v>
      </c>
      <c r="R1110">
        <v>2</v>
      </c>
      <c r="S1110" t="s">
        <v>25</v>
      </c>
    </row>
    <row r="1111" spans="1:19" x14ac:dyDescent="0.25">
      <c r="A1111">
        <v>11110</v>
      </c>
      <c r="B1111">
        <v>38</v>
      </c>
      <c r="C1111" t="s">
        <v>19</v>
      </c>
      <c r="D1111" t="s">
        <v>41</v>
      </c>
      <c r="E1111" t="s">
        <v>27</v>
      </c>
      <c r="F1111" t="s">
        <v>37</v>
      </c>
      <c r="G1111" t="s">
        <v>38</v>
      </c>
      <c r="H1111">
        <v>86954</v>
      </c>
      <c r="I1111">
        <v>2871</v>
      </c>
      <c r="J1111">
        <v>9</v>
      </c>
      <c r="K1111">
        <v>13</v>
      </c>
      <c r="L1111">
        <v>4</v>
      </c>
      <c r="M1111" t="s">
        <v>25</v>
      </c>
      <c r="N1111">
        <v>2</v>
      </c>
      <c r="O1111">
        <v>28</v>
      </c>
      <c r="P1111">
        <v>7</v>
      </c>
      <c r="Q1111">
        <v>4</v>
      </c>
      <c r="R1111">
        <v>2</v>
      </c>
      <c r="S1111" t="s">
        <v>25</v>
      </c>
    </row>
    <row r="1112" spans="1:19" x14ac:dyDescent="0.25">
      <c r="A1112">
        <v>11111</v>
      </c>
      <c r="B1112">
        <v>53</v>
      </c>
      <c r="C1112" t="s">
        <v>19</v>
      </c>
      <c r="D1112" t="s">
        <v>41</v>
      </c>
      <c r="E1112" t="s">
        <v>27</v>
      </c>
      <c r="F1112" t="s">
        <v>39</v>
      </c>
      <c r="G1112" t="s">
        <v>23</v>
      </c>
      <c r="H1112">
        <v>87022</v>
      </c>
      <c r="I1112">
        <v>21891</v>
      </c>
      <c r="J1112">
        <v>15</v>
      </c>
      <c r="K1112">
        <v>5</v>
      </c>
      <c r="L1112">
        <v>4</v>
      </c>
      <c r="M1112" t="s">
        <v>24</v>
      </c>
      <c r="N1112">
        <v>3</v>
      </c>
      <c r="O1112">
        <v>18</v>
      </c>
      <c r="P1112">
        <v>20</v>
      </c>
      <c r="Q1112">
        <v>4</v>
      </c>
      <c r="R1112">
        <v>1</v>
      </c>
      <c r="S1112" t="s">
        <v>25</v>
      </c>
    </row>
    <row r="1113" spans="1:19" x14ac:dyDescent="0.25">
      <c r="A1113">
        <v>11112</v>
      </c>
      <c r="B1113">
        <v>22</v>
      </c>
      <c r="C1113" t="s">
        <v>19</v>
      </c>
      <c r="D1113" t="s">
        <v>20</v>
      </c>
      <c r="E1113" t="s">
        <v>33</v>
      </c>
      <c r="F1113" t="s">
        <v>35</v>
      </c>
      <c r="G1113" t="s">
        <v>38</v>
      </c>
      <c r="H1113">
        <v>42105</v>
      </c>
      <c r="I1113">
        <v>31601</v>
      </c>
      <c r="J1113">
        <v>13</v>
      </c>
      <c r="K1113">
        <v>8</v>
      </c>
      <c r="L1113">
        <v>3</v>
      </c>
      <c r="M1113" t="s">
        <v>25</v>
      </c>
      <c r="N1113">
        <v>3</v>
      </c>
      <c r="O1113">
        <v>12</v>
      </c>
      <c r="P1113">
        <v>12</v>
      </c>
      <c r="Q1113">
        <v>3</v>
      </c>
      <c r="R1113">
        <v>1</v>
      </c>
      <c r="S1113" t="s">
        <v>25</v>
      </c>
    </row>
    <row r="1114" spans="1:19" x14ac:dyDescent="0.25">
      <c r="A1114">
        <v>11113</v>
      </c>
      <c r="B1114">
        <v>24</v>
      </c>
      <c r="C1114" t="s">
        <v>31</v>
      </c>
      <c r="D1114" t="s">
        <v>20</v>
      </c>
      <c r="E1114" t="s">
        <v>36</v>
      </c>
      <c r="F1114" t="s">
        <v>39</v>
      </c>
      <c r="G1114" t="s">
        <v>38</v>
      </c>
      <c r="H1114">
        <v>60091</v>
      </c>
      <c r="I1114">
        <v>26968</v>
      </c>
      <c r="J1114">
        <v>17</v>
      </c>
      <c r="K1114">
        <v>13</v>
      </c>
      <c r="L1114">
        <v>3</v>
      </c>
      <c r="M1114" t="s">
        <v>25</v>
      </c>
      <c r="N1114">
        <v>3</v>
      </c>
      <c r="O1114">
        <v>34</v>
      </c>
      <c r="P1114">
        <v>11</v>
      </c>
      <c r="Q1114">
        <v>3</v>
      </c>
      <c r="R1114">
        <v>2</v>
      </c>
      <c r="S1114" t="s">
        <v>25</v>
      </c>
    </row>
    <row r="1115" spans="1:19" x14ac:dyDescent="0.25">
      <c r="A1115">
        <v>11114</v>
      </c>
      <c r="B1115">
        <v>36</v>
      </c>
      <c r="C1115" t="s">
        <v>31</v>
      </c>
      <c r="D1115" t="s">
        <v>41</v>
      </c>
      <c r="E1115" t="s">
        <v>21</v>
      </c>
      <c r="F1115" t="s">
        <v>35</v>
      </c>
      <c r="G1115" t="s">
        <v>23</v>
      </c>
      <c r="H1115">
        <v>126088</v>
      </c>
      <c r="I1115">
        <v>17127</v>
      </c>
      <c r="J1115">
        <v>22</v>
      </c>
      <c r="K1115">
        <v>14</v>
      </c>
      <c r="L1115">
        <v>4</v>
      </c>
      <c r="M1115" t="s">
        <v>25</v>
      </c>
      <c r="N1115">
        <v>3</v>
      </c>
      <c r="O1115">
        <v>16</v>
      </c>
      <c r="P1115">
        <v>49</v>
      </c>
      <c r="Q1115">
        <v>3</v>
      </c>
      <c r="R1115">
        <v>1</v>
      </c>
      <c r="S1115" t="s">
        <v>25</v>
      </c>
    </row>
    <row r="1116" spans="1:19" x14ac:dyDescent="0.25">
      <c r="A1116">
        <v>11115</v>
      </c>
      <c r="B1116">
        <v>52</v>
      </c>
      <c r="C1116" t="s">
        <v>19</v>
      </c>
      <c r="D1116" t="s">
        <v>41</v>
      </c>
      <c r="E1116" t="s">
        <v>27</v>
      </c>
      <c r="F1116" t="s">
        <v>39</v>
      </c>
      <c r="G1116" t="s">
        <v>38</v>
      </c>
      <c r="H1116">
        <v>73444</v>
      </c>
      <c r="I1116">
        <v>12719</v>
      </c>
      <c r="J1116">
        <v>17</v>
      </c>
      <c r="K1116">
        <v>14</v>
      </c>
      <c r="L1116">
        <v>3</v>
      </c>
      <c r="M1116" t="s">
        <v>25</v>
      </c>
      <c r="N1116">
        <v>4</v>
      </c>
      <c r="O1116">
        <v>11</v>
      </c>
      <c r="P1116">
        <v>30</v>
      </c>
      <c r="Q1116">
        <v>3</v>
      </c>
      <c r="R1116">
        <v>1</v>
      </c>
      <c r="S1116" t="s">
        <v>25</v>
      </c>
    </row>
    <row r="1117" spans="1:19" x14ac:dyDescent="0.25">
      <c r="A1117">
        <v>11116</v>
      </c>
      <c r="B1117">
        <v>43</v>
      </c>
      <c r="C1117" t="s">
        <v>19</v>
      </c>
      <c r="D1117" t="s">
        <v>34</v>
      </c>
      <c r="E1117" t="s">
        <v>36</v>
      </c>
      <c r="F1117" t="s">
        <v>39</v>
      </c>
      <c r="G1117" t="s">
        <v>38</v>
      </c>
      <c r="H1117">
        <v>51121</v>
      </c>
      <c r="I1117">
        <v>35502</v>
      </c>
      <c r="J1117">
        <v>8</v>
      </c>
      <c r="K1117">
        <v>2</v>
      </c>
      <c r="L1117">
        <v>4</v>
      </c>
      <c r="M1117" t="s">
        <v>25</v>
      </c>
      <c r="N1117">
        <v>4</v>
      </c>
      <c r="O1117">
        <v>4</v>
      </c>
      <c r="P1117">
        <v>13</v>
      </c>
      <c r="Q1117">
        <v>3</v>
      </c>
      <c r="R1117">
        <v>3</v>
      </c>
      <c r="S1117" t="s">
        <v>25</v>
      </c>
    </row>
    <row r="1118" spans="1:19" x14ac:dyDescent="0.25">
      <c r="A1118">
        <v>11117</v>
      </c>
      <c r="B1118">
        <v>20</v>
      </c>
      <c r="C1118" t="s">
        <v>19</v>
      </c>
      <c r="D1118" t="s">
        <v>20</v>
      </c>
      <c r="E1118" t="s">
        <v>27</v>
      </c>
      <c r="F1118" t="s">
        <v>35</v>
      </c>
      <c r="G1118" t="s">
        <v>30</v>
      </c>
      <c r="H1118">
        <v>71465</v>
      </c>
      <c r="I1118">
        <v>6242</v>
      </c>
      <c r="J1118">
        <v>17</v>
      </c>
      <c r="K1118">
        <v>8</v>
      </c>
      <c r="L1118">
        <v>4</v>
      </c>
      <c r="M1118" t="s">
        <v>25</v>
      </c>
      <c r="N1118">
        <v>2</v>
      </c>
      <c r="O1118">
        <v>7</v>
      </c>
      <c r="P1118">
        <v>52</v>
      </c>
      <c r="Q1118">
        <v>3</v>
      </c>
      <c r="R1118">
        <v>4</v>
      </c>
      <c r="S1118" t="s">
        <v>24</v>
      </c>
    </row>
    <row r="1119" spans="1:19" x14ac:dyDescent="0.25">
      <c r="A1119">
        <v>11118</v>
      </c>
      <c r="B1119">
        <v>58</v>
      </c>
      <c r="C1119" t="s">
        <v>31</v>
      </c>
      <c r="D1119" t="s">
        <v>26</v>
      </c>
      <c r="E1119" t="s">
        <v>33</v>
      </c>
      <c r="F1119" t="s">
        <v>35</v>
      </c>
      <c r="G1119" t="s">
        <v>38</v>
      </c>
      <c r="H1119">
        <v>39297</v>
      </c>
      <c r="I1119">
        <v>18447</v>
      </c>
      <c r="J1119">
        <v>4</v>
      </c>
      <c r="K1119">
        <v>5</v>
      </c>
      <c r="L1119">
        <v>4</v>
      </c>
      <c r="M1119" t="s">
        <v>25</v>
      </c>
      <c r="N1119">
        <v>2</v>
      </c>
      <c r="O1119">
        <v>8</v>
      </c>
      <c r="P1119">
        <v>21</v>
      </c>
      <c r="Q1119">
        <v>2</v>
      </c>
      <c r="R1119">
        <v>1</v>
      </c>
      <c r="S1119" t="s">
        <v>25</v>
      </c>
    </row>
    <row r="1120" spans="1:19" x14ac:dyDescent="0.25">
      <c r="A1120">
        <v>11119</v>
      </c>
      <c r="B1120">
        <v>32</v>
      </c>
      <c r="C1120" t="s">
        <v>31</v>
      </c>
      <c r="D1120" t="s">
        <v>34</v>
      </c>
      <c r="E1120" t="s">
        <v>27</v>
      </c>
      <c r="F1120" t="s">
        <v>39</v>
      </c>
      <c r="G1120" t="s">
        <v>38</v>
      </c>
      <c r="H1120">
        <v>77214</v>
      </c>
      <c r="I1120">
        <v>33602</v>
      </c>
      <c r="J1120">
        <v>16</v>
      </c>
      <c r="K1120">
        <v>8</v>
      </c>
      <c r="L1120">
        <v>3</v>
      </c>
      <c r="M1120" t="s">
        <v>25</v>
      </c>
      <c r="N1120">
        <v>3</v>
      </c>
      <c r="O1120">
        <v>22</v>
      </c>
      <c r="P1120">
        <v>42</v>
      </c>
      <c r="Q1120">
        <v>3</v>
      </c>
      <c r="R1120">
        <v>3</v>
      </c>
      <c r="S1120" t="s">
        <v>25</v>
      </c>
    </row>
    <row r="1121" spans="1:19" x14ac:dyDescent="0.25">
      <c r="A1121">
        <v>11120</v>
      </c>
      <c r="B1121">
        <v>25</v>
      </c>
      <c r="C1121" t="s">
        <v>19</v>
      </c>
      <c r="D1121" t="s">
        <v>26</v>
      </c>
      <c r="E1121" t="s">
        <v>40</v>
      </c>
      <c r="F1121" t="s">
        <v>39</v>
      </c>
      <c r="G1121" t="s">
        <v>30</v>
      </c>
      <c r="H1121">
        <v>11737</v>
      </c>
      <c r="I1121">
        <v>22635</v>
      </c>
      <c r="J1121">
        <v>11</v>
      </c>
      <c r="K1121">
        <v>13</v>
      </c>
      <c r="L1121">
        <v>4</v>
      </c>
      <c r="M1121" t="s">
        <v>25</v>
      </c>
      <c r="N1121">
        <v>2</v>
      </c>
      <c r="O1121">
        <v>29</v>
      </c>
      <c r="P1121">
        <v>10</v>
      </c>
      <c r="Q1121">
        <v>4</v>
      </c>
      <c r="R1121">
        <v>3</v>
      </c>
      <c r="S1121" t="s">
        <v>25</v>
      </c>
    </row>
    <row r="1122" spans="1:19" x14ac:dyDescent="0.25">
      <c r="A1122">
        <v>11121</v>
      </c>
      <c r="B1122">
        <v>31</v>
      </c>
      <c r="C1122" t="s">
        <v>19</v>
      </c>
      <c r="D1122" t="s">
        <v>20</v>
      </c>
      <c r="E1122" t="s">
        <v>33</v>
      </c>
      <c r="F1122" t="s">
        <v>35</v>
      </c>
      <c r="G1122" t="s">
        <v>38</v>
      </c>
      <c r="H1122">
        <v>30505</v>
      </c>
      <c r="I1122">
        <v>24868</v>
      </c>
      <c r="J1122">
        <v>15</v>
      </c>
      <c r="K1122">
        <v>13</v>
      </c>
      <c r="L1122">
        <v>2</v>
      </c>
      <c r="M1122" t="s">
        <v>25</v>
      </c>
      <c r="N1122">
        <v>4</v>
      </c>
      <c r="O1122">
        <v>19</v>
      </c>
      <c r="P1122">
        <v>31</v>
      </c>
      <c r="Q1122">
        <v>2</v>
      </c>
      <c r="R1122">
        <v>2</v>
      </c>
      <c r="S1122" t="s">
        <v>25</v>
      </c>
    </row>
    <row r="1123" spans="1:19" x14ac:dyDescent="0.25">
      <c r="A1123">
        <v>11122</v>
      </c>
      <c r="B1123">
        <v>57</v>
      </c>
      <c r="C1123" t="s">
        <v>19</v>
      </c>
      <c r="D1123" t="s">
        <v>26</v>
      </c>
      <c r="E1123" t="s">
        <v>33</v>
      </c>
      <c r="F1123" t="s">
        <v>39</v>
      </c>
      <c r="G1123" t="s">
        <v>38</v>
      </c>
      <c r="H1123">
        <v>40640</v>
      </c>
      <c r="I1123">
        <v>33033</v>
      </c>
      <c r="J1123">
        <v>2</v>
      </c>
      <c r="K1123">
        <v>2</v>
      </c>
      <c r="L1123">
        <v>3</v>
      </c>
      <c r="M1123" t="s">
        <v>25</v>
      </c>
      <c r="N1123">
        <v>4</v>
      </c>
      <c r="O1123">
        <v>15</v>
      </c>
      <c r="P1123">
        <v>29</v>
      </c>
      <c r="Q1123">
        <v>1</v>
      </c>
      <c r="R1123">
        <v>1</v>
      </c>
      <c r="S1123" t="s">
        <v>25</v>
      </c>
    </row>
    <row r="1124" spans="1:19" x14ac:dyDescent="0.25">
      <c r="A1124">
        <v>11123</v>
      </c>
      <c r="B1124">
        <v>50</v>
      </c>
      <c r="C1124" t="s">
        <v>19</v>
      </c>
      <c r="D1124" t="s">
        <v>32</v>
      </c>
      <c r="E1124" t="s">
        <v>36</v>
      </c>
      <c r="F1124" t="s">
        <v>39</v>
      </c>
      <c r="G1124" t="s">
        <v>30</v>
      </c>
      <c r="H1124">
        <v>54368</v>
      </c>
      <c r="I1124">
        <v>18927</v>
      </c>
      <c r="J1124">
        <v>20</v>
      </c>
      <c r="K1124">
        <v>13</v>
      </c>
      <c r="L1124">
        <v>4</v>
      </c>
      <c r="M1124" t="s">
        <v>25</v>
      </c>
      <c r="N1124">
        <v>3</v>
      </c>
      <c r="O1124">
        <v>3</v>
      </c>
      <c r="P1124">
        <v>37</v>
      </c>
      <c r="Q1124">
        <v>3</v>
      </c>
      <c r="R1124">
        <v>3</v>
      </c>
      <c r="S1124" t="s">
        <v>25</v>
      </c>
    </row>
    <row r="1125" spans="1:19" x14ac:dyDescent="0.25">
      <c r="A1125">
        <v>11124</v>
      </c>
      <c r="B1125">
        <v>59</v>
      </c>
      <c r="C1125" t="s">
        <v>19</v>
      </c>
      <c r="D1125" t="s">
        <v>41</v>
      </c>
      <c r="E1125" t="s">
        <v>27</v>
      </c>
      <c r="F1125" t="s">
        <v>35</v>
      </c>
      <c r="G1125" t="s">
        <v>38</v>
      </c>
      <c r="H1125">
        <v>62751</v>
      </c>
      <c r="I1125">
        <v>5848</v>
      </c>
      <c r="J1125">
        <v>9</v>
      </c>
      <c r="K1125">
        <v>12</v>
      </c>
      <c r="L1125">
        <v>4</v>
      </c>
      <c r="M1125" t="s">
        <v>25</v>
      </c>
      <c r="N1125">
        <v>3</v>
      </c>
      <c r="O1125">
        <v>32</v>
      </c>
      <c r="P1125">
        <v>43</v>
      </c>
      <c r="Q1125">
        <v>3</v>
      </c>
      <c r="R1125">
        <v>4</v>
      </c>
      <c r="S1125" t="s">
        <v>25</v>
      </c>
    </row>
    <row r="1126" spans="1:19" x14ac:dyDescent="0.25">
      <c r="A1126">
        <v>11125</v>
      </c>
      <c r="B1126">
        <v>46</v>
      </c>
      <c r="C1126" t="s">
        <v>19</v>
      </c>
      <c r="D1126" t="s">
        <v>41</v>
      </c>
      <c r="E1126" t="s">
        <v>33</v>
      </c>
      <c r="F1126" t="s">
        <v>37</v>
      </c>
      <c r="G1126" t="s">
        <v>30</v>
      </c>
      <c r="H1126">
        <v>30254</v>
      </c>
      <c r="I1126">
        <v>35284</v>
      </c>
      <c r="J1126">
        <v>0</v>
      </c>
      <c r="K1126">
        <v>12</v>
      </c>
      <c r="L1126">
        <v>2</v>
      </c>
      <c r="M1126" t="s">
        <v>24</v>
      </c>
      <c r="N1126">
        <v>4</v>
      </c>
      <c r="O1126">
        <v>25</v>
      </c>
      <c r="P1126">
        <v>7</v>
      </c>
      <c r="Q1126">
        <v>4</v>
      </c>
      <c r="R1126">
        <v>3</v>
      </c>
      <c r="S1126" t="s">
        <v>25</v>
      </c>
    </row>
    <row r="1127" spans="1:19" x14ac:dyDescent="0.25">
      <c r="A1127">
        <v>11126</v>
      </c>
      <c r="B1127">
        <v>47</v>
      </c>
      <c r="C1127" t="s">
        <v>19</v>
      </c>
      <c r="D1127" t="s">
        <v>20</v>
      </c>
      <c r="E1127" t="s">
        <v>33</v>
      </c>
      <c r="F1127" t="s">
        <v>22</v>
      </c>
      <c r="G1127" t="s">
        <v>30</v>
      </c>
      <c r="H1127">
        <v>41327</v>
      </c>
      <c r="I1127">
        <v>23089</v>
      </c>
      <c r="J1127">
        <v>6</v>
      </c>
      <c r="K1127">
        <v>4</v>
      </c>
      <c r="L1127">
        <v>4</v>
      </c>
      <c r="M1127" t="s">
        <v>25</v>
      </c>
      <c r="N1127">
        <v>2</v>
      </c>
      <c r="O1127">
        <v>33</v>
      </c>
      <c r="P1127">
        <v>15</v>
      </c>
      <c r="Q1127">
        <v>3</v>
      </c>
      <c r="R1127">
        <v>3</v>
      </c>
      <c r="S1127" t="s">
        <v>25</v>
      </c>
    </row>
    <row r="1128" spans="1:19" x14ac:dyDescent="0.25">
      <c r="A1128">
        <v>11127</v>
      </c>
      <c r="B1128">
        <v>27</v>
      </c>
      <c r="C1128" t="s">
        <v>19</v>
      </c>
      <c r="D1128" t="s">
        <v>32</v>
      </c>
      <c r="E1128" t="s">
        <v>33</v>
      </c>
      <c r="F1128" t="s">
        <v>39</v>
      </c>
      <c r="G1128" t="s">
        <v>30</v>
      </c>
      <c r="H1128">
        <v>41653</v>
      </c>
      <c r="I1128">
        <v>27488</v>
      </c>
      <c r="J1128">
        <v>17</v>
      </c>
      <c r="K1128">
        <v>5</v>
      </c>
      <c r="L1128">
        <v>2</v>
      </c>
      <c r="M1128" t="s">
        <v>24</v>
      </c>
      <c r="N1128">
        <v>4</v>
      </c>
      <c r="O1128">
        <v>7</v>
      </c>
      <c r="P1128">
        <v>50</v>
      </c>
      <c r="Q1128">
        <v>3</v>
      </c>
      <c r="R1128">
        <v>2</v>
      </c>
      <c r="S1128" t="s">
        <v>25</v>
      </c>
    </row>
    <row r="1129" spans="1:19" x14ac:dyDescent="0.25">
      <c r="A1129">
        <v>11128</v>
      </c>
      <c r="B1129">
        <v>26</v>
      </c>
      <c r="C1129" t="s">
        <v>19</v>
      </c>
      <c r="D1129" t="s">
        <v>20</v>
      </c>
      <c r="E1129" t="s">
        <v>27</v>
      </c>
      <c r="F1129" t="s">
        <v>22</v>
      </c>
      <c r="G1129" t="s">
        <v>38</v>
      </c>
      <c r="H1129">
        <v>76324</v>
      </c>
      <c r="I1129">
        <v>7432</v>
      </c>
      <c r="J1129">
        <v>21</v>
      </c>
      <c r="K1129">
        <v>12</v>
      </c>
      <c r="L1129">
        <v>2</v>
      </c>
      <c r="M1129" t="s">
        <v>24</v>
      </c>
      <c r="N1129">
        <v>3</v>
      </c>
      <c r="O1129">
        <v>13</v>
      </c>
      <c r="P1129">
        <v>23</v>
      </c>
      <c r="Q1129">
        <v>3</v>
      </c>
      <c r="R1129">
        <v>2</v>
      </c>
      <c r="S1129" t="s">
        <v>25</v>
      </c>
    </row>
    <row r="1130" spans="1:19" x14ac:dyDescent="0.25">
      <c r="A1130">
        <v>11129</v>
      </c>
      <c r="B1130">
        <v>46</v>
      </c>
      <c r="C1130" t="s">
        <v>19</v>
      </c>
      <c r="D1130" t="s">
        <v>41</v>
      </c>
      <c r="E1130" t="s">
        <v>36</v>
      </c>
      <c r="F1130" t="s">
        <v>39</v>
      </c>
      <c r="G1130" t="s">
        <v>38</v>
      </c>
      <c r="H1130">
        <v>60261</v>
      </c>
      <c r="I1130">
        <v>9788</v>
      </c>
      <c r="J1130">
        <v>2</v>
      </c>
      <c r="K1130">
        <v>9</v>
      </c>
      <c r="L1130">
        <v>2</v>
      </c>
      <c r="M1130" t="s">
        <v>25</v>
      </c>
      <c r="N1130">
        <v>3</v>
      </c>
      <c r="O1130">
        <v>31</v>
      </c>
      <c r="P1130">
        <v>10</v>
      </c>
      <c r="Q1130">
        <v>1</v>
      </c>
      <c r="R1130">
        <v>1</v>
      </c>
      <c r="S1130" t="s">
        <v>24</v>
      </c>
    </row>
    <row r="1131" spans="1:19" x14ac:dyDescent="0.25">
      <c r="A1131">
        <v>11130</v>
      </c>
      <c r="B1131">
        <v>31</v>
      </c>
      <c r="C1131" t="s">
        <v>19</v>
      </c>
      <c r="D1131" t="s">
        <v>28</v>
      </c>
      <c r="E1131" t="s">
        <v>40</v>
      </c>
      <c r="F1131" t="s">
        <v>22</v>
      </c>
      <c r="G1131" t="s">
        <v>30</v>
      </c>
      <c r="H1131">
        <v>11017</v>
      </c>
      <c r="I1131">
        <v>18336</v>
      </c>
      <c r="J1131">
        <v>15</v>
      </c>
      <c r="K1131">
        <v>13</v>
      </c>
      <c r="L1131">
        <v>4</v>
      </c>
      <c r="M1131" t="s">
        <v>24</v>
      </c>
      <c r="N1131">
        <v>4</v>
      </c>
      <c r="O1131">
        <v>19</v>
      </c>
      <c r="P1131">
        <v>29</v>
      </c>
      <c r="Q1131">
        <v>3</v>
      </c>
      <c r="R1131">
        <v>2</v>
      </c>
      <c r="S1131" t="s">
        <v>25</v>
      </c>
    </row>
    <row r="1132" spans="1:19" x14ac:dyDescent="0.25">
      <c r="A1132">
        <v>11131</v>
      </c>
      <c r="B1132">
        <v>21</v>
      </c>
      <c r="C1132" t="s">
        <v>31</v>
      </c>
      <c r="D1132" t="s">
        <v>41</v>
      </c>
      <c r="E1132" t="s">
        <v>33</v>
      </c>
      <c r="F1132" t="s">
        <v>37</v>
      </c>
      <c r="G1132" t="s">
        <v>30</v>
      </c>
      <c r="H1132">
        <v>37289</v>
      </c>
      <c r="I1132">
        <v>4685</v>
      </c>
      <c r="J1132">
        <v>9</v>
      </c>
      <c r="K1132">
        <v>12</v>
      </c>
      <c r="L1132">
        <v>3</v>
      </c>
      <c r="M1132" t="s">
        <v>25</v>
      </c>
      <c r="N1132">
        <v>4</v>
      </c>
      <c r="O1132">
        <v>32</v>
      </c>
      <c r="P1132">
        <v>53</v>
      </c>
      <c r="Q1132">
        <v>2</v>
      </c>
      <c r="R1132">
        <v>1</v>
      </c>
      <c r="S1132" t="s">
        <v>25</v>
      </c>
    </row>
    <row r="1133" spans="1:19" x14ac:dyDescent="0.25">
      <c r="A1133">
        <v>11132</v>
      </c>
      <c r="B1133">
        <v>49</v>
      </c>
      <c r="C1133" t="s">
        <v>19</v>
      </c>
      <c r="D1133" t="s">
        <v>20</v>
      </c>
      <c r="E1133" t="s">
        <v>33</v>
      </c>
      <c r="F1133" t="s">
        <v>39</v>
      </c>
      <c r="G1133" t="s">
        <v>30</v>
      </c>
      <c r="H1133">
        <v>35811</v>
      </c>
      <c r="I1133">
        <v>30059</v>
      </c>
      <c r="J1133">
        <v>15</v>
      </c>
      <c r="K1133">
        <v>3</v>
      </c>
      <c r="L1133">
        <v>3</v>
      </c>
      <c r="M1133" t="s">
        <v>24</v>
      </c>
      <c r="N1133">
        <v>4</v>
      </c>
      <c r="O1133">
        <v>36</v>
      </c>
      <c r="P1133">
        <v>21</v>
      </c>
      <c r="Q1133">
        <v>3</v>
      </c>
      <c r="R1133">
        <v>4</v>
      </c>
      <c r="S1133" t="s">
        <v>25</v>
      </c>
    </row>
    <row r="1134" spans="1:19" x14ac:dyDescent="0.25">
      <c r="A1134">
        <v>11133</v>
      </c>
      <c r="B1134">
        <v>30</v>
      </c>
      <c r="C1134" t="s">
        <v>19</v>
      </c>
      <c r="D1134" t="s">
        <v>28</v>
      </c>
      <c r="E1134" t="s">
        <v>27</v>
      </c>
      <c r="F1134" t="s">
        <v>39</v>
      </c>
      <c r="G1134" t="s">
        <v>38</v>
      </c>
      <c r="H1134">
        <v>66681</v>
      </c>
      <c r="I1134">
        <v>46741</v>
      </c>
      <c r="J1134">
        <v>24</v>
      </c>
      <c r="K1134">
        <v>14</v>
      </c>
      <c r="L1134">
        <v>3</v>
      </c>
      <c r="M1134" t="s">
        <v>25</v>
      </c>
      <c r="N1134">
        <v>3</v>
      </c>
      <c r="O1134">
        <v>2</v>
      </c>
      <c r="P1134">
        <v>58</v>
      </c>
      <c r="Q1134">
        <v>4</v>
      </c>
      <c r="R1134">
        <v>2</v>
      </c>
      <c r="S1134" t="s">
        <v>25</v>
      </c>
    </row>
    <row r="1135" spans="1:19" x14ac:dyDescent="0.25">
      <c r="A1135">
        <v>11134</v>
      </c>
      <c r="B1135">
        <v>35</v>
      </c>
      <c r="C1135" t="s">
        <v>19</v>
      </c>
      <c r="D1135" t="s">
        <v>26</v>
      </c>
      <c r="E1135" t="s">
        <v>36</v>
      </c>
      <c r="F1135" t="s">
        <v>35</v>
      </c>
      <c r="G1135" t="s">
        <v>23</v>
      </c>
      <c r="H1135">
        <v>53791</v>
      </c>
      <c r="I1135">
        <v>19541</v>
      </c>
      <c r="J1135">
        <v>6</v>
      </c>
      <c r="K1135">
        <v>9</v>
      </c>
      <c r="L1135">
        <v>5</v>
      </c>
      <c r="M1135" t="s">
        <v>25</v>
      </c>
      <c r="N1135">
        <v>3</v>
      </c>
      <c r="O1135">
        <v>14</v>
      </c>
      <c r="P1135">
        <v>18</v>
      </c>
      <c r="Q1135">
        <v>4</v>
      </c>
      <c r="R1135">
        <v>3</v>
      </c>
      <c r="S1135" t="s">
        <v>25</v>
      </c>
    </row>
    <row r="1136" spans="1:19" x14ac:dyDescent="0.25">
      <c r="A1136">
        <v>11135</v>
      </c>
      <c r="B1136">
        <v>38</v>
      </c>
      <c r="C1136" t="s">
        <v>31</v>
      </c>
      <c r="D1136" t="s">
        <v>20</v>
      </c>
      <c r="E1136" t="s">
        <v>36</v>
      </c>
      <c r="F1136" t="s">
        <v>39</v>
      </c>
      <c r="G1136" t="s">
        <v>30</v>
      </c>
      <c r="H1136">
        <v>62882</v>
      </c>
      <c r="I1136">
        <v>44828</v>
      </c>
      <c r="J1136">
        <v>20</v>
      </c>
      <c r="K1136">
        <v>2</v>
      </c>
      <c r="L1136">
        <v>3</v>
      </c>
      <c r="M1136" t="s">
        <v>25</v>
      </c>
      <c r="N1136">
        <v>3</v>
      </c>
      <c r="O1136">
        <v>2</v>
      </c>
      <c r="P1136">
        <v>29</v>
      </c>
      <c r="Q1136">
        <v>2</v>
      </c>
      <c r="R1136">
        <v>1</v>
      </c>
      <c r="S1136" t="s">
        <v>25</v>
      </c>
    </row>
    <row r="1137" spans="1:19" x14ac:dyDescent="0.25">
      <c r="A1137">
        <v>11136</v>
      </c>
      <c r="B1137">
        <v>59</v>
      </c>
      <c r="C1137" t="s">
        <v>19</v>
      </c>
      <c r="D1137" t="s">
        <v>20</v>
      </c>
      <c r="E1137" t="s">
        <v>33</v>
      </c>
      <c r="F1137" t="s">
        <v>39</v>
      </c>
      <c r="G1137" t="s">
        <v>30</v>
      </c>
      <c r="H1137">
        <v>39052</v>
      </c>
      <c r="I1137">
        <v>10078</v>
      </c>
      <c r="J1137">
        <v>16</v>
      </c>
      <c r="K1137">
        <v>10</v>
      </c>
      <c r="L1137">
        <v>2</v>
      </c>
      <c r="M1137" t="s">
        <v>24</v>
      </c>
      <c r="N1137">
        <v>4</v>
      </c>
      <c r="O1137">
        <v>11</v>
      </c>
      <c r="P1137">
        <v>46</v>
      </c>
      <c r="Q1137">
        <v>2</v>
      </c>
      <c r="R1137">
        <v>2</v>
      </c>
      <c r="S1137" t="s">
        <v>25</v>
      </c>
    </row>
    <row r="1138" spans="1:19" x14ac:dyDescent="0.25">
      <c r="A1138">
        <v>11137</v>
      </c>
      <c r="B1138">
        <v>53</v>
      </c>
      <c r="C1138" t="s">
        <v>19</v>
      </c>
      <c r="D1138" t="s">
        <v>20</v>
      </c>
      <c r="E1138" t="s">
        <v>33</v>
      </c>
      <c r="F1138" t="s">
        <v>35</v>
      </c>
      <c r="G1138" t="s">
        <v>38</v>
      </c>
      <c r="H1138">
        <v>26649</v>
      </c>
      <c r="I1138">
        <v>20521</v>
      </c>
      <c r="J1138">
        <v>19</v>
      </c>
      <c r="K1138">
        <v>14</v>
      </c>
      <c r="L1138">
        <v>3</v>
      </c>
      <c r="M1138" t="s">
        <v>24</v>
      </c>
      <c r="N1138">
        <v>3</v>
      </c>
      <c r="O1138">
        <v>30</v>
      </c>
      <c r="P1138">
        <v>15</v>
      </c>
      <c r="Q1138">
        <v>2</v>
      </c>
      <c r="R1138">
        <v>1</v>
      </c>
      <c r="S1138" t="s">
        <v>25</v>
      </c>
    </row>
    <row r="1139" spans="1:19" x14ac:dyDescent="0.25">
      <c r="A1139">
        <v>11138</v>
      </c>
      <c r="B1139">
        <v>41</v>
      </c>
      <c r="C1139" t="s">
        <v>19</v>
      </c>
      <c r="D1139" t="s">
        <v>20</v>
      </c>
      <c r="E1139" t="s">
        <v>21</v>
      </c>
      <c r="F1139" t="s">
        <v>22</v>
      </c>
      <c r="G1139" t="s">
        <v>30</v>
      </c>
      <c r="H1139">
        <v>106640</v>
      </c>
      <c r="I1139">
        <v>38036</v>
      </c>
      <c r="J1139">
        <v>5</v>
      </c>
      <c r="K1139">
        <v>3</v>
      </c>
      <c r="L1139">
        <v>3</v>
      </c>
      <c r="M1139" t="s">
        <v>25</v>
      </c>
      <c r="N1139">
        <v>4</v>
      </c>
      <c r="O1139">
        <v>32</v>
      </c>
      <c r="P1139">
        <v>15</v>
      </c>
      <c r="Q1139">
        <v>3</v>
      </c>
      <c r="R1139">
        <v>1</v>
      </c>
      <c r="S1139" t="s">
        <v>25</v>
      </c>
    </row>
    <row r="1140" spans="1:19" x14ac:dyDescent="0.25">
      <c r="A1140">
        <v>11139</v>
      </c>
      <c r="B1140">
        <v>42</v>
      </c>
      <c r="C1140" t="s">
        <v>31</v>
      </c>
      <c r="D1140" t="s">
        <v>20</v>
      </c>
      <c r="E1140" t="s">
        <v>27</v>
      </c>
      <c r="F1140" t="s">
        <v>22</v>
      </c>
      <c r="G1140" t="s">
        <v>30</v>
      </c>
      <c r="H1140">
        <v>60488</v>
      </c>
      <c r="I1140">
        <v>32697</v>
      </c>
      <c r="J1140">
        <v>9</v>
      </c>
      <c r="K1140">
        <v>7</v>
      </c>
      <c r="L1140">
        <v>3</v>
      </c>
      <c r="M1140" t="s">
        <v>25</v>
      </c>
      <c r="N1140">
        <v>2</v>
      </c>
      <c r="O1140">
        <v>8</v>
      </c>
      <c r="P1140">
        <v>55</v>
      </c>
      <c r="Q1140">
        <v>4</v>
      </c>
      <c r="R1140">
        <v>3</v>
      </c>
      <c r="S1140" t="s">
        <v>25</v>
      </c>
    </row>
    <row r="1141" spans="1:19" x14ac:dyDescent="0.25">
      <c r="A1141">
        <v>11140</v>
      </c>
      <c r="B1141">
        <v>24</v>
      </c>
      <c r="C1141" t="s">
        <v>19</v>
      </c>
      <c r="D1141" t="s">
        <v>41</v>
      </c>
      <c r="E1141" t="s">
        <v>29</v>
      </c>
      <c r="F1141" t="s">
        <v>22</v>
      </c>
      <c r="G1141" t="s">
        <v>30</v>
      </c>
      <c r="H1141">
        <v>146015</v>
      </c>
      <c r="I1141">
        <v>7826</v>
      </c>
      <c r="J1141">
        <v>6</v>
      </c>
      <c r="K1141">
        <v>13</v>
      </c>
      <c r="L1141">
        <v>3</v>
      </c>
      <c r="M1141" t="s">
        <v>25</v>
      </c>
      <c r="N1141">
        <v>3</v>
      </c>
      <c r="O1141">
        <v>2</v>
      </c>
      <c r="P1141">
        <v>22</v>
      </c>
      <c r="Q1141">
        <v>3</v>
      </c>
      <c r="R1141">
        <v>3</v>
      </c>
      <c r="S1141" t="s">
        <v>25</v>
      </c>
    </row>
    <row r="1142" spans="1:19" x14ac:dyDescent="0.25">
      <c r="A1142">
        <v>11141</v>
      </c>
      <c r="B1142">
        <v>21</v>
      </c>
      <c r="C1142" t="s">
        <v>19</v>
      </c>
      <c r="D1142" t="s">
        <v>32</v>
      </c>
      <c r="E1142" t="s">
        <v>36</v>
      </c>
      <c r="F1142" t="s">
        <v>39</v>
      </c>
      <c r="G1142" t="s">
        <v>38</v>
      </c>
      <c r="H1142">
        <v>56888</v>
      </c>
      <c r="I1142">
        <v>28014</v>
      </c>
      <c r="J1142">
        <v>6</v>
      </c>
      <c r="K1142">
        <v>3</v>
      </c>
      <c r="L1142">
        <v>3</v>
      </c>
      <c r="M1142" t="s">
        <v>25</v>
      </c>
      <c r="N1142">
        <v>3</v>
      </c>
      <c r="O1142">
        <v>23</v>
      </c>
      <c r="P1142">
        <v>29</v>
      </c>
      <c r="Q1142">
        <v>3</v>
      </c>
      <c r="R1142">
        <v>2</v>
      </c>
      <c r="S1142" t="s">
        <v>25</v>
      </c>
    </row>
    <row r="1143" spans="1:19" x14ac:dyDescent="0.25">
      <c r="A1143">
        <v>11142</v>
      </c>
      <c r="B1143">
        <v>24</v>
      </c>
      <c r="C1143" t="s">
        <v>19</v>
      </c>
      <c r="D1143" t="s">
        <v>26</v>
      </c>
      <c r="E1143" t="s">
        <v>33</v>
      </c>
      <c r="F1143" t="s">
        <v>39</v>
      </c>
      <c r="G1143" t="s">
        <v>38</v>
      </c>
      <c r="H1143">
        <v>37368</v>
      </c>
      <c r="I1143">
        <v>48392</v>
      </c>
      <c r="J1143">
        <v>0</v>
      </c>
      <c r="K1143">
        <v>2</v>
      </c>
      <c r="L1143">
        <v>3</v>
      </c>
      <c r="M1143" t="s">
        <v>25</v>
      </c>
      <c r="N1143">
        <v>2</v>
      </c>
      <c r="O1143">
        <v>24</v>
      </c>
      <c r="P1143">
        <v>23</v>
      </c>
      <c r="Q1143">
        <v>3</v>
      </c>
      <c r="R1143">
        <v>3</v>
      </c>
      <c r="S1143" t="s">
        <v>24</v>
      </c>
    </row>
    <row r="1144" spans="1:19" x14ac:dyDescent="0.25">
      <c r="A1144">
        <v>11143</v>
      </c>
      <c r="B1144">
        <v>52</v>
      </c>
      <c r="C1144" t="s">
        <v>31</v>
      </c>
      <c r="D1144" t="s">
        <v>20</v>
      </c>
      <c r="E1144" t="s">
        <v>36</v>
      </c>
      <c r="F1144" t="s">
        <v>22</v>
      </c>
      <c r="G1144" t="s">
        <v>38</v>
      </c>
      <c r="H1144">
        <v>54610</v>
      </c>
      <c r="I1144">
        <v>43023</v>
      </c>
      <c r="J1144">
        <v>2</v>
      </c>
      <c r="K1144">
        <v>10</v>
      </c>
      <c r="L1144">
        <v>4</v>
      </c>
      <c r="M1144" t="s">
        <v>25</v>
      </c>
      <c r="N1144">
        <v>3</v>
      </c>
      <c r="O1144">
        <v>25</v>
      </c>
      <c r="P1144">
        <v>33</v>
      </c>
      <c r="Q1144">
        <v>3</v>
      </c>
      <c r="R1144">
        <v>3</v>
      </c>
      <c r="S1144" t="s">
        <v>25</v>
      </c>
    </row>
    <row r="1145" spans="1:19" x14ac:dyDescent="0.25">
      <c r="A1145">
        <v>11144</v>
      </c>
      <c r="B1145">
        <v>42</v>
      </c>
      <c r="C1145" t="s">
        <v>31</v>
      </c>
      <c r="D1145" t="s">
        <v>41</v>
      </c>
      <c r="E1145" t="s">
        <v>27</v>
      </c>
      <c r="F1145" t="s">
        <v>39</v>
      </c>
      <c r="G1145" t="s">
        <v>23</v>
      </c>
      <c r="H1145">
        <v>62332</v>
      </c>
      <c r="I1145">
        <v>26564</v>
      </c>
      <c r="J1145">
        <v>21</v>
      </c>
      <c r="K1145">
        <v>8</v>
      </c>
      <c r="L1145">
        <v>3</v>
      </c>
      <c r="M1145" t="s">
        <v>24</v>
      </c>
      <c r="N1145">
        <v>3</v>
      </c>
      <c r="O1145">
        <v>3</v>
      </c>
      <c r="P1145">
        <v>33</v>
      </c>
      <c r="Q1145">
        <v>3</v>
      </c>
      <c r="R1145">
        <v>3</v>
      </c>
      <c r="S1145" t="s">
        <v>25</v>
      </c>
    </row>
    <row r="1146" spans="1:19" x14ac:dyDescent="0.25">
      <c r="A1146">
        <v>11145</v>
      </c>
      <c r="B1146">
        <v>44</v>
      </c>
      <c r="C1146" t="s">
        <v>31</v>
      </c>
      <c r="D1146" t="s">
        <v>20</v>
      </c>
      <c r="E1146" t="s">
        <v>36</v>
      </c>
      <c r="F1146" t="s">
        <v>39</v>
      </c>
      <c r="G1146" t="s">
        <v>38</v>
      </c>
      <c r="H1146">
        <v>51325</v>
      </c>
      <c r="I1146">
        <v>17490</v>
      </c>
      <c r="J1146">
        <v>4</v>
      </c>
      <c r="K1146">
        <v>10</v>
      </c>
      <c r="L1146">
        <v>3</v>
      </c>
      <c r="M1146" t="s">
        <v>25</v>
      </c>
      <c r="N1146">
        <v>4</v>
      </c>
      <c r="O1146">
        <v>22</v>
      </c>
      <c r="P1146">
        <v>10</v>
      </c>
      <c r="Q1146">
        <v>4</v>
      </c>
      <c r="R1146">
        <v>3</v>
      </c>
      <c r="S1146" t="s">
        <v>25</v>
      </c>
    </row>
    <row r="1147" spans="1:19" x14ac:dyDescent="0.25">
      <c r="A1147">
        <v>11146</v>
      </c>
      <c r="B1147">
        <v>41</v>
      </c>
      <c r="C1147" t="s">
        <v>31</v>
      </c>
      <c r="D1147" t="s">
        <v>41</v>
      </c>
      <c r="E1147" t="s">
        <v>33</v>
      </c>
      <c r="F1147" t="s">
        <v>39</v>
      </c>
      <c r="G1147" t="s">
        <v>30</v>
      </c>
      <c r="H1147">
        <v>36114</v>
      </c>
      <c r="I1147">
        <v>47836</v>
      </c>
      <c r="J1147">
        <v>13</v>
      </c>
      <c r="K1147">
        <v>9</v>
      </c>
      <c r="L1147">
        <v>3</v>
      </c>
      <c r="M1147" t="s">
        <v>25</v>
      </c>
      <c r="N1147">
        <v>3</v>
      </c>
      <c r="O1147">
        <v>19</v>
      </c>
      <c r="P1147">
        <v>41</v>
      </c>
      <c r="Q1147">
        <v>4</v>
      </c>
      <c r="R1147">
        <v>4</v>
      </c>
      <c r="S1147" t="s">
        <v>25</v>
      </c>
    </row>
    <row r="1148" spans="1:19" x14ac:dyDescent="0.25">
      <c r="A1148">
        <v>11147</v>
      </c>
      <c r="B1148">
        <v>40</v>
      </c>
      <c r="C1148" t="s">
        <v>31</v>
      </c>
      <c r="D1148" t="s">
        <v>41</v>
      </c>
      <c r="E1148" t="s">
        <v>33</v>
      </c>
      <c r="F1148" t="s">
        <v>35</v>
      </c>
      <c r="G1148" t="s">
        <v>30</v>
      </c>
      <c r="H1148">
        <v>36125</v>
      </c>
      <c r="I1148">
        <v>46134</v>
      </c>
      <c r="J1148">
        <v>7</v>
      </c>
      <c r="K1148">
        <v>14</v>
      </c>
      <c r="L1148">
        <v>4</v>
      </c>
      <c r="M1148" t="s">
        <v>24</v>
      </c>
      <c r="N1148">
        <v>1</v>
      </c>
      <c r="O1148">
        <v>8</v>
      </c>
      <c r="P1148">
        <v>33</v>
      </c>
      <c r="Q1148">
        <v>4</v>
      </c>
      <c r="R1148">
        <v>3</v>
      </c>
      <c r="S1148" t="s">
        <v>24</v>
      </c>
    </row>
    <row r="1149" spans="1:19" x14ac:dyDescent="0.25">
      <c r="A1149">
        <v>11148</v>
      </c>
      <c r="B1149">
        <v>35</v>
      </c>
      <c r="C1149" t="s">
        <v>19</v>
      </c>
      <c r="D1149" t="s">
        <v>20</v>
      </c>
      <c r="E1149" t="s">
        <v>33</v>
      </c>
      <c r="F1149" t="s">
        <v>39</v>
      </c>
      <c r="G1149" t="s">
        <v>30</v>
      </c>
      <c r="H1149">
        <v>29087</v>
      </c>
      <c r="I1149">
        <v>13795</v>
      </c>
      <c r="J1149">
        <v>0</v>
      </c>
      <c r="K1149">
        <v>0</v>
      </c>
      <c r="L1149">
        <v>4</v>
      </c>
      <c r="M1149" t="s">
        <v>25</v>
      </c>
      <c r="N1149">
        <v>4</v>
      </c>
      <c r="O1149">
        <v>14</v>
      </c>
      <c r="P1149">
        <v>13</v>
      </c>
      <c r="Q1149">
        <v>4</v>
      </c>
      <c r="R1149">
        <v>1</v>
      </c>
      <c r="S1149" t="s">
        <v>25</v>
      </c>
    </row>
    <row r="1150" spans="1:19" x14ac:dyDescent="0.25">
      <c r="A1150">
        <v>11149</v>
      </c>
      <c r="B1150">
        <v>50</v>
      </c>
      <c r="C1150" t="s">
        <v>19</v>
      </c>
      <c r="D1150" t="s">
        <v>34</v>
      </c>
      <c r="E1150" t="s">
        <v>33</v>
      </c>
      <c r="F1150" t="s">
        <v>39</v>
      </c>
      <c r="G1150" t="s">
        <v>23</v>
      </c>
      <c r="H1150">
        <v>26872</v>
      </c>
      <c r="I1150">
        <v>1374</v>
      </c>
      <c r="J1150">
        <v>2</v>
      </c>
      <c r="K1150">
        <v>7</v>
      </c>
      <c r="L1150">
        <v>3</v>
      </c>
      <c r="M1150" t="s">
        <v>25</v>
      </c>
      <c r="N1150">
        <v>1</v>
      </c>
      <c r="O1150">
        <v>37</v>
      </c>
      <c r="P1150">
        <v>20</v>
      </c>
      <c r="Q1150">
        <v>1</v>
      </c>
      <c r="R1150">
        <v>4</v>
      </c>
      <c r="S1150" t="s">
        <v>24</v>
      </c>
    </row>
    <row r="1151" spans="1:19" x14ac:dyDescent="0.25">
      <c r="A1151">
        <v>11150</v>
      </c>
      <c r="B1151">
        <v>56</v>
      </c>
      <c r="C1151" t="s">
        <v>19</v>
      </c>
      <c r="D1151" t="s">
        <v>28</v>
      </c>
      <c r="E1151" t="s">
        <v>29</v>
      </c>
      <c r="F1151" t="s">
        <v>39</v>
      </c>
      <c r="G1151" t="s">
        <v>38</v>
      </c>
      <c r="H1151">
        <v>160736</v>
      </c>
      <c r="I1151">
        <v>36380</v>
      </c>
      <c r="J1151">
        <v>7</v>
      </c>
      <c r="K1151">
        <v>2</v>
      </c>
      <c r="L1151">
        <v>4</v>
      </c>
      <c r="M1151" t="s">
        <v>25</v>
      </c>
      <c r="N1151">
        <v>4</v>
      </c>
      <c r="O1151">
        <v>18</v>
      </c>
      <c r="P1151">
        <v>24</v>
      </c>
      <c r="Q1151">
        <v>1</v>
      </c>
      <c r="R1151">
        <v>2</v>
      </c>
      <c r="S1151" t="s">
        <v>25</v>
      </c>
    </row>
    <row r="1152" spans="1:19" x14ac:dyDescent="0.25">
      <c r="A1152">
        <v>11151</v>
      </c>
      <c r="B1152">
        <v>38</v>
      </c>
      <c r="C1152" t="s">
        <v>31</v>
      </c>
      <c r="D1152" t="s">
        <v>32</v>
      </c>
      <c r="E1152" t="s">
        <v>33</v>
      </c>
      <c r="F1152" t="s">
        <v>35</v>
      </c>
      <c r="G1152" t="s">
        <v>23</v>
      </c>
      <c r="H1152">
        <v>33506</v>
      </c>
      <c r="I1152">
        <v>30401</v>
      </c>
      <c r="J1152">
        <v>5</v>
      </c>
      <c r="K1152">
        <v>6</v>
      </c>
      <c r="L1152">
        <v>5</v>
      </c>
      <c r="M1152" t="s">
        <v>25</v>
      </c>
      <c r="N1152">
        <v>3</v>
      </c>
      <c r="O1152">
        <v>30</v>
      </c>
      <c r="P1152">
        <v>58</v>
      </c>
      <c r="Q1152">
        <v>1</v>
      </c>
      <c r="R1152">
        <v>3</v>
      </c>
      <c r="S1152" t="s">
        <v>24</v>
      </c>
    </row>
    <row r="1153" spans="1:19" x14ac:dyDescent="0.25">
      <c r="A1153">
        <v>11152</v>
      </c>
      <c r="B1153">
        <v>39</v>
      </c>
      <c r="C1153" t="s">
        <v>31</v>
      </c>
      <c r="D1153" t="s">
        <v>20</v>
      </c>
      <c r="E1153" t="s">
        <v>36</v>
      </c>
      <c r="F1153" t="s">
        <v>35</v>
      </c>
      <c r="G1153" t="s">
        <v>30</v>
      </c>
      <c r="H1153">
        <v>56782</v>
      </c>
      <c r="I1153">
        <v>43552</v>
      </c>
      <c r="J1153">
        <v>14</v>
      </c>
      <c r="K1153">
        <v>2</v>
      </c>
      <c r="L1153">
        <v>3</v>
      </c>
      <c r="M1153" t="s">
        <v>25</v>
      </c>
      <c r="N1153">
        <v>3</v>
      </c>
      <c r="O1153">
        <v>7</v>
      </c>
      <c r="P1153">
        <v>45</v>
      </c>
      <c r="Q1153">
        <v>4</v>
      </c>
      <c r="R1153">
        <v>4</v>
      </c>
      <c r="S1153" t="s">
        <v>25</v>
      </c>
    </row>
    <row r="1154" spans="1:19" x14ac:dyDescent="0.25">
      <c r="A1154">
        <v>11153</v>
      </c>
      <c r="B1154">
        <v>28</v>
      </c>
      <c r="C1154" t="s">
        <v>31</v>
      </c>
      <c r="D1154" t="s">
        <v>34</v>
      </c>
      <c r="E1154" t="s">
        <v>21</v>
      </c>
      <c r="F1154" t="s">
        <v>39</v>
      </c>
      <c r="G1154" t="s">
        <v>30</v>
      </c>
      <c r="H1154">
        <v>91316</v>
      </c>
      <c r="I1154">
        <v>11735</v>
      </c>
      <c r="J1154">
        <v>15</v>
      </c>
      <c r="K1154">
        <v>11</v>
      </c>
      <c r="L1154">
        <v>3</v>
      </c>
      <c r="M1154" t="s">
        <v>25</v>
      </c>
      <c r="N1154">
        <v>4</v>
      </c>
      <c r="O1154">
        <v>13</v>
      </c>
      <c r="P1154">
        <v>9</v>
      </c>
      <c r="Q1154">
        <v>3</v>
      </c>
      <c r="R1154">
        <v>3</v>
      </c>
      <c r="S1154" t="s">
        <v>25</v>
      </c>
    </row>
    <row r="1155" spans="1:19" x14ac:dyDescent="0.25">
      <c r="A1155">
        <v>11154</v>
      </c>
      <c r="B1155">
        <v>57</v>
      </c>
      <c r="C1155" t="s">
        <v>19</v>
      </c>
      <c r="D1155" t="s">
        <v>20</v>
      </c>
      <c r="E1155" t="s">
        <v>36</v>
      </c>
      <c r="F1155" t="s">
        <v>39</v>
      </c>
      <c r="G1155" t="s">
        <v>30</v>
      </c>
      <c r="H1155">
        <v>59530</v>
      </c>
      <c r="I1155">
        <v>26790</v>
      </c>
      <c r="J1155">
        <v>4</v>
      </c>
      <c r="K1155">
        <v>13</v>
      </c>
      <c r="L1155">
        <v>3</v>
      </c>
      <c r="M1155" t="s">
        <v>25</v>
      </c>
      <c r="N1155">
        <v>4</v>
      </c>
      <c r="O1155">
        <v>36</v>
      </c>
      <c r="P1155">
        <v>49</v>
      </c>
      <c r="Q1155">
        <v>3</v>
      </c>
      <c r="R1155">
        <v>2</v>
      </c>
      <c r="S1155" t="s">
        <v>25</v>
      </c>
    </row>
    <row r="1156" spans="1:19" x14ac:dyDescent="0.25">
      <c r="A1156">
        <v>11155</v>
      </c>
      <c r="B1156">
        <v>55</v>
      </c>
      <c r="C1156" t="s">
        <v>19</v>
      </c>
      <c r="D1156" t="s">
        <v>20</v>
      </c>
      <c r="E1156" t="s">
        <v>21</v>
      </c>
      <c r="F1156" t="s">
        <v>35</v>
      </c>
      <c r="G1156" t="s">
        <v>30</v>
      </c>
      <c r="H1156">
        <v>91237</v>
      </c>
      <c r="I1156">
        <v>25274</v>
      </c>
      <c r="J1156">
        <v>5</v>
      </c>
      <c r="K1156">
        <v>0</v>
      </c>
      <c r="L1156">
        <v>4</v>
      </c>
      <c r="M1156" t="s">
        <v>24</v>
      </c>
      <c r="N1156">
        <v>1</v>
      </c>
      <c r="O1156">
        <v>1</v>
      </c>
      <c r="P1156">
        <v>19</v>
      </c>
      <c r="Q1156">
        <v>3</v>
      </c>
      <c r="R1156">
        <v>2</v>
      </c>
      <c r="S1156" t="s">
        <v>25</v>
      </c>
    </row>
    <row r="1157" spans="1:19" x14ac:dyDescent="0.25">
      <c r="A1157">
        <v>11156</v>
      </c>
      <c r="B1157">
        <v>50</v>
      </c>
      <c r="C1157" t="s">
        <v>19</v>
      </c>
      <c r="D1157" t="s">
        <v>20</v>
      </c>
      <c r="E1157" t="s">
        <v>27</v>
      </c>
      <c r="F1157" t="s">
        <v>22</v>
      </c>
      <c r="G1157" t="s">
        <v>30</v>
      </c>
      <c r="H1157">
        <v>80006</v>
      </c>
      <c r="I1157">
        <v>1262</v>
      </c>
      <c r="J1157">
        <v>7</v>
      </c>
      <c r="K1157">
        <v>10</v>
      </c>
      <c r="L1157">
        <v>3</v>
      </c>
      <c r="M1157" t="s">
        <v>25</v>
      </c>
      <c r="N1157">
        <v>4</v>
      </c>
      <c r="O1157">
        <v>19</v>
      </c>
      <c r="P1157">
        <v>40</v>
      </c>
      <c r="Q1157">
        <v>2</v>
      </c>
      <c r="R1157">
        <v>1</v>
      </c>
      <c r="S1157" t="s">
        <v>25</v>
      </c>
    </row>
    <row r="1158" spans="1:19" x14ac:dyDescent="0.25">
      <c r="A1158">
        <v>11157</v>
      </c>
      <c r="B1158">
        <v>31</v>
      </c>
      <c r="C1158" t="s">
        <v>31</v>
      </c>
      <c r="D1158" t="s">
        <v>32</v>
      </c>
      <c r="E1158" t="s">
        <v>36</v>
      </c>
      <c r="F1158" t="s">
        <v>22</v>
      </c>
      <c r="G1158" t="s">
        <v>38</v>
      </c>
      <c r="H1158">
        <v>50468</v>
      </c>
      <c r="I1158">
        <v>1611</v>
      </c>
      <c r="J1158">
        <v>24</v>
      </c>
      <c r="K1158">
        <v>14</v>
      </c>
      <c r="L1158">
        <v>2</v>
      </c>
      <c r="M1158" t="s">
        <v>24</v>
      </c>
      <c r="N1158">
        <v>3</v>
      </c>
      <c r="O1158">
        <v>13</v>
      </c>
      <c r="P1158">
        <v>35</v>
      </c>
      <c r="Q1158">
        <v>3</v>
      </c>
      <c r="R1158">
        <v>3</v>
      </c>
      <c r="S1158" t="s">
        <v>25</v>
      </c>
    </row>
    <row r="1159" spans="1:19" x14ac:dyDescent="0.25">
      <c r="A1159">
        <v>11158</v>
      </c>
      <c r="B1159">
        <v>40</v>
      </c>
      <c r="C1159" t="s">
        <v>19</v>
      </c>
      <c r="D1159" t="s">
        <v>20</v>
      </c>
      <c r="E1159" t="s">
        <v>27</v>
      </c>
      <c r="F1159" t="s">
        <v>39</v>
      </c>
      <c r="G1159" t="s">
        <v>38</v>
      </c>
      <c r="H1159">
        <v>63099</v>
      </c>
      <c r="I1159">
        <v>6732</v>
      </c>
      <c r="J1159">
        <v>17</v>
      </c>
      <c r="K1159">
        <v>12</v>
      </c>
      <c r="L1159">
        <v>4</v>
      </c>
      <c r="M1159" t="s">
        <v>25</v>
      </c>
      <c r="N1159">
        <v>2</v>
      </c>
      <c r="O1159">
        <v>22</v>
      </c>
      <c r="P1159">
        <v>40</v>
      </c>
      <c r="Q1159">
        <v>3</v>
      </c>
      <c r="R1159">
        <v>3</v>
      </c>
      <c r="S1159" t="s">
        <v>25</v>
      </c>
    </row>
    <row r="1160" spans="1:19" x14ac:dyDescent="0.25">
      <c r="A1160">
        <v>11159</v>
      </c>
      <c r="B1160">
        <v>53</v>
      </c>
      <c r="C1160" t="s">
        <v>19</v>
      </c>
      <c r="D1160" t="s">
        <v>20</v>
      </c>
      <c r="E1160" t="s">
        <v>27</v>
      </c>
      <c r="F1160" t="s">
        <v>39</v>
      </c>
      <c r="G1160" t="s">
        <v>30</v>
      </c>
      <c r="H1160">
        <v>76192</v>
      </c>
      <c r="I1160">
        <v>16328</v>
      </c>
      <c r="J1160">
        <v>6</v>
      </c>
      <c r="K1160">
        <v>12</v>
      </c>
      <c r="L1160">
        <v>2</v>
      </c>
      <c r="M1160" t="s">
        <v>24</v>
      </c>
      <c r="N1160">
        <v>3</v>
      </c>
      <c r="O1160">
        <v>8</v>
      </c>
      <c r="P1160">
        <v>59</v>
      </c>
      <c r="Q1160">
        <v>4</v>
      </c>
      <c r="R1160">
        <v>1</v>
      </c>
      <c r="S1160" t="s">
        <v>25</v>
      </c>
    </row>
    <row r="1161" spans="1:19" x14ac:dyDescent="0.25">
      <c r="A1161">
        <v>11160</v>
      </c>
      <c r="B1161">
        <v>42</v>
      </c>
      <c r="C1161" t="s">
        <v>19</v>
      </c>
      <c r="D1161" t="s">
        <v>20</v>
      </c>
      <c r="E1161" t="s">
        <v>29</v>
      </c>
      <c r="F1161" t="s">
        <v>39</v>
      </c>
      <c r="G1161" t="s">
        <v>30</v>
      </c>
      <c r="H1161">
        <v>143434</v>
      </c>
      <c r="I1161">
        <v>46745</v>
      </c>
      <c r="J1161">
        <v>11</v>
      </c>
      <c r="K1161">
        <v>8</v>
      </c>
      <c r="L1161">
        <v>4</v>
      </c>
      <c r="M1161" t="s">
        <v>25</v>
      </c>
      <c r="N1161">
        <v>4</v>
      </c>
      <c r="O1161">
        <v>24</v>
      </c>
      <c r="P1161">
        <v>29</v>
      </c>
      <c r="Q1161">
        <v>3</v>
      </c>
      <c r="R1161">
        <v>2</v>
      </c>
      <c r="S1161" t="s">
        <v>25</v>
      </c>
    </row>
    <row r="1162" spans="1:19" x14ac:dyDescent="0.25">
      <c r="A1162">
        <v>11161</v>
      </c>
      <c r="B1162">
        <v>27</v>
      </c>
      <c r="C1162" t="s">
        <v>19</v>
      </c>
      <c r="D1162" t="s">
        <v>32</v>
      </c>
      <c r="E1162" t="s">
        <v>36</v>
      </c>
      <c r="F1162" t="s">
        <v>22</v>
      </c>
      <c r="G1162" t="s">
        <v>38</v>
      </c>
      <c r="H1162">
        <v>54505</v>
      </c>
      <c r="I1162">
        <v>11845</v>
      </c>
      <c r="J1162">
        <v>4</v>
      </c>
      <c r="K1162">
        <v>5</v>
      </c>
      <c r="L1162">
        <v>4</v>
      </c>
      <c r="M1162" t="s">
        <v>25</v>
      </c>
      <c r="N1162">
        <v>3</v>
      </c>
      <c r="O1162">
        <v>9</v>
      </c>
      <c r="P1162">
        <v>39</v>
      </c>
      <c r="Q1162">
        <v>1</v>
      </c>
      <c r="R1162">
        <v>2</v>
      </c>
      <c r="S1162" t="s">
        <v>25</v>
      </c>
    </row>
    <row r="1163" spans="1:19" x14ac:dyDescent="0.25">
      <c r="A1163">
        <v>11162</v>
      </c>
      <c r="B1163">
        <v>21</v>
      </c>
      <c r="C1163" t="s">
        <v>31</v>
      </c>
      <c r="D1163" t="s">
        <v>20</v>
      </c>
      <c r="E1163" t="s">
        <v>29</v>
      </c>
      <c r="F1163" t="s">
        <v>35</v>
      </c>
      <c r="G1163" t="s">
        <v>30</v>
      </c>
      <c r="H1163">
        <v>139124</v>
      </c>
      <c r="I1163">
        <v>38476</v>
      </c>
      <c r="J1163">
        <v>2</v>
      </c>
      <c r="K1163">
        <v>14</v>
      </c>
      <c r="L1163">
        <v>3</v>
      </c>
      <c r="M1163" t="s">
        <v>24</v>
      </c>
      <c r="N1163">
        <v>1</v>
      </c>
      <c r="O1163">
        <v>5</v>
      </c>
      <c r="P1163">
        <v>25</v>
      </c>
      <c r="Q1163">
        <v>1</v>
      </c>
      <c r="R1163">
        <v>1</v>
      </c>
      <c r="S1163" t="s">
        <v>25</v>
      </c>
    </row>
    <row r="1164" spans="1:19" x14ac:dyDescent="0.25">
      <c r="A1164">
        <v>11163</v>
      </c>
      <c r="B1164">
        <v>43</v>
      </c>
      <c r="C1164" t="s">
        <v>19</v>
      </c>
      <c r="D1164" t="s">
        <v>20</v>
      </c>
      <c r="E1164" t="s">
        <v>21</v>
      </c>
      <c r="F1164" t="s">
        <v>35</v>
      </c>
      <c r="G1164" t="s">
        <v>30</v>
      </c>
      <c r="H1164">
        <v>126731</v>
      </c>
      <c r="I1164">
        <v>2099</v>
      </c>
      <c r="J1164">
        <v>18</v>
      </c>
      <c r="K1164">
        <v>10</v>
      </c>
      <c r="L1164">
        <v>4</v>
      </c>
      <c r="M1164" t="s">
        <v>25</v>
      </c>
      <c r="N1164">
        <v>2</v>
      </c>
      <c r="O1164">
        <v>10</v>
      </c>
      <c r="P1164">
        <v>14</v>
      </c>
      <c r="Q1164">
        <v>1</v>
      </c>
      <c r="R1164">
        <v>3</v>
      </c>
      <c r="S1164" t="s">
        <v>24</v>
      </c>
    </row>
    <row r="1165" spans="1:19" x14ac:dyDescent="0.25">
      <c r="A1165">
        <v>11164</v>
      </c>
      <c r="B1165">
        <v>47</v>
      </c>
      <c r="C1165" t="s">
        <v>19</v>
      </c>
      <c r="D1165" t="s">
        <v>32</v>
      </c>
      <c r="E1165" t="s">
        <v>36</v>
      </c>
      <c r="F1165" t="s">
        <v>35</v>
      </c>
      <c r="G1165" t="s">
        <v>30</v>
      </c>
      <c r="H1165">
        <v>52988</v>
      </c>
      <c r="I1165">
        <v>8947</v>
      </c>
      <c r="J1165">
        <v>24</v>
      </c>
      <c r="K1165">
        <v>4</v>
      </c>
      <c r="L1165">
        <v>3</v>
      </c>
      <c r="M1165" t="s">
        <v>24</v>
      </c>
      <c r="N1165">
        <v>2</v>
      </c>
      <c r="O1165">
        <v>37</v>
      </c>
      <c r="P1165">
        <v>50</v>
      </c>
      <c r="Q1165">
        <v>2</v>
      </c>
      <c r="R1165">
        <v>3</v>
      </c>
      <c r="S1165" t="s">
        <v>25</v>
      </c>
    </row>
    <row r="1166" spans="1:19" x14ac:dyDescent="0.25">
      <c r="A1166">
        <v>11165</v>
      </c>
      <c r="B1166">
        <v>39</v>
      </c>
      <c r="C1166" t="s">
        <v>19</v>
      </c>
      <c r="D1166" t="s">
        <v>20</v>
      </c>
      <c r="E1166" t="s">
        <v>33</v>
      </c>
      <c r="F1166" t="s">
        <v>39</v>
      </c>
      <c r="G1166" t="s">
        <v>30</v>
      </c>
      <c r="H1166">
        <v>34515</v>
      </c>
      <c r="I1166">
        <v>9200</v>
      </c>
      <c r="J1166">
        <v>5</v>
      </c>
      <c r="K1166">
        <v>7</v>
      </c>
      <c r="L1166">
        <v>3</v>
      </c>
      <c r="M1166" t="s">
        <v>25</v>
      </c>
      <c r="N1166">
        <v>2</v>
      </c>
      <c r="O1166">
        <v>39</v>
      </c>
      <c r="P1166">
        <v>6</v>
      </c>
      <c r="Q1166">
        <v>1</v>
      </c>
      <c r="R1166">
        <v>2</v>
      </c>
      <c r="S1166" t="s">
        <v>25</v>
      </c>
    </row>
    <row r="1167" spans="1:19" x14ac:dyDescent="0.25">
      <c r="A1167">
        <v>11166</v>
      </c>
      <c r="B1167">
        <v>33</v>
      </c>
      <c r="C1167" t="s">
        <v>31</v>
      </c>
      <c r="D1167" t="s">
        <v>32</v>
      </c>
      <c r="E1167" t="s">
        <v>36</v>
      </c>
      <c r="F1167" t="s">
        <v>39</v>
      </c>
      <c r="G1167" t="s">
        <v>30</v>
      </c>
      <c r="H1167">
        <v>66482</v>
      </c>
      <c r="I1167">
        <v>37269</v>
      </c>
      <c r="J1167">
        <v>2</v>
      </c>
      <c r="K1167">
        <v>0</v>
      </c>
      <c r="L1167">
        <v>3</v>
      </c>
      <c r="M1167" t="s">
        <v>25</v>
      </c>
      <c r="N1167">
        <v>4</v>
      </c>
      <c r="O1167">
        <v>26</v>
      </c>
      <c r="P1167">
        <v>10</v>
      </c>
      <c r="Q1167">
        <v>4</v>
      </c>
      <c r="R1167">
        <v>3</v>
      </c>
      <c r="S1167" t="s">
        <v>25</v>
      </c>
    </row>
    <row r="1168" spans="1:19" x14ac:dyDescent="0.25">
      <c r="A1168">
        <v>11167</v>
      </c>
      <c r="B1168">
        <v>56</v>
      </c>
      <c r="C1168" t="s">
        <v>31</v>
      </c>
      <c r="D1168" t="s">
        <v>41</v>
      </c>
      <c r="E1168" t="s">
        <v>33</v>
      </c>
      <c r="F1168" t="s">
        <v>39</v>
      </c>
      <c r="G1168" t="s">
        <v>23</v>
      </c>
      <c r="H1168">
        <v>38184</v>
      </c>
      <c r="I1168">
        <v>32575</v>
      </c>
      <c r="J1168">
        <v>24</v>
      </c>
      <c r="K1168">
        <v>12</v>
      </c>
      <c r="L1168">
        <v>2</v>
      </c>
      <c r="M1168" t="s">
        <v>25</v>
      </c>
      <c r="N1168">
        <v>4</v>
      </c>
      <c r="O1168">
        <v>14</v>
      </c>
      <c r="P1168">
        <v>11</v>
      </c>
      <c r="Q1168">
        <v>1</v>
      </c>
      <c r="R1168">
        <v>3</v>
      </c>
      <c r="S1168" t="s">
        <v>25</v>
      </c>
    </row>
    <row r="1169" spans="1:19" x14ac:dyDescent="0.25">
      <c r="A1169">
        <v>11168</v>
      </c>
      <c r="B1169">
        <v>45</v>
      </c>
      <c r="C1169" t="s">
        <v>19</v>
      </c>
      <c r="D1169" t="s">
        <v>41</v>
      </c>
      <c r="E1169" t="s">
        <v>21</v>
      </c>
      <c r="F1169" t="s">
        <v>35</v>
      </c>
      <c r="G1169" t="s">
        <v>30</v>
      </c>
      <c r="H1169">
        <v>93051</v>
      </c>
      <c r="I1169">
        <v>2694</v>
      </c>
      <c r="J1169">
        <v>11</v>
      </c>
      <c r="K1169">
        <v>3</v>
      </c>
      <c r="L1169">
        <v>3</v>
      </c>
      <c r="M1169" t="s">
        <v>25</v>
      </c>
      <c r="N1169">
        <v>2</v>
      </c>
      <c r="O1169">
        <v>26</v>
      </c>
      <c r="P1169">
        <v>58</v>
      </c>
      <c r="Q1169">
        <v>3</v>
      </c>
      <c r="R1169">
        <v>2</v>
      </c>
      <c r="S1169" t="s">
        <v>24</v>
      </c>
    </row>
    <row r="1170" spans="1:19" x14ac:dyDescent="0.25">
      <c r="A1170">
        <v>11169</v>
      </c>
      <c r="B1170">
        <v>47</v>
      </c>
      <c r="C1170" t="s">
        <v>31</v>
      </c>
      <c r="D1170" t="s">
        <v>34</v>
      </c>
      <c r="E1170" t="s">
        <v>36</v>
      </c>
      <c r="F1170" t="s">
        <v>39</v>
      </c>
      <c r="G1170" t="s">
        <v>38</v>
      </c>
      <c r="H1170">
        <v>57032</v>
      </c>
      <c r="I1170">
        <v>30101</v>
      </c>
      <c r="J1170">
        <v>18</v>
      </c>
      <c r="K1170">
        <v>0</v>
      </c>
      <c r="L1170">
        <v>3</v>
      </c>
      <c r="M1170" t="s">
        <v>25</v>
      </c>
      <c r="N1170">
        <v>3</v>
      </c>
      <c r="O1170">
        <v>6</v>
      </c>
      <c r="P1170">
        <v>32</v>
      </c>
      <c r="Q1170">
        <v>4</v>
      </c>
      <c r="R1170">
        <v>3</v>
      </c>
      <c r="S1170" t="s">
        <v>25</v>
      </c>
    </row>
    <row r="1171" spans="1:19" x14ac:dyDescent="0.25">
      <c r="A1171">
        <v>11170</v>
      </c>
      <c r="B1171">
        <v>39</v>
      </c>
      <c r="C1171" t="s">
        <v>31</v>
      </c>
      <c r="D1171" t="s">
        <v>26</v>
      </c>
      <c r="E1171" t="s">
        <v>40</v>
      </c>
      <c r="F1171" t="s">
        <v>22</v>
      </c>
      <c r="G1171" t="s">
        <v>30</v>
      </c>
      <c r="H1171">
        <v>14194</v>
      </c>
      <c r="I1171">
        <v>7297</v>
      </c>
      <c r="J1171">
        <v>3</v>
      </c>
      <c r="K1171">
        <v>10</v>
      </c>
      <c r="L1171">
        <v>5</v>
      </c>
      <c r="M1171" t="s">
        <v>25</v>
      </c>
      <c r="N1171">
        <v>3</v>
      </c>
      <c r="O1171">
        <v>1</v>
      </c>
      <c r="P1171">
        <v>37</v>
      </c>
      <c r="Q1171">
        <v>1</v>
      </c>
      <c r="R1171">
        <v>2</v>
      </c>
      <c r="S1171" t="s">
        <v>24</v>
      </c>
    </row>
    <row r="1172" spans="1:19" x14ac:dyDescent="0.25">
      <c r="A1172">
        <v>11171</v>
      </c>
      <c r="B1172">
        <v>51</v>
      </c>
      <c r="C1172" t="s">
        <v>19</v>
      </c>
      <c r="D1172" t="s">
        <v>34</v>
      </c>
      <c r="E1172" t="s">
        <v>29</v>
      </c>
      <c r="F1172" t="s">
        <v>39</v>
      </c>
      <c r="G1172" t="s">
        <v>38</v>
      </c>
      <c r="H1172">
        <v>153781</v>
      </c>
      <c r="I1172">
        <v>40286</v>
      </c>
      <c r="J1172">
        <v>18</v>
      </c>
      <c r="K1172">
        <v>12</v>
      </c>
      <c r="L1172">
        <v>3</v>
      </c>
      <c r="M1172" t="s">
        <v>24</v>
      </c>
      <c r="N1172">
        <v>4</v>
      </c>
      <c r="O1172">
        <v>21</v>
      </c>
      <c r="P1172">
        <v>54</v>
      </c>
      <c r="Q1172">
        <v>3</v>
      </c>
      <c r="R1172">
        <v>3</v>
      </c>
      <c r="S1172" t="s">
        <v>25</v>
      </c>
    </row>
    <row r="1173" spans="1:19" x14ac:dyDescent="0.25">
      <c r="A1173">
        <v>11172</v>
      </c>
      <c r="B1173">
        <v>48</v>
      </c>
      <c r="C1173" t="s">
        <v>19</v>
      </c>
      <c r="D1173" t="s">
        <v>20</v>
      </c>
      <c r="E1173" t="s">
        <v>36</v>
      </c>
      <c r="F1173" t="s">
        <v>39</v>
      </c>
      <c r="G1173" t="s">
        <v>30</v>
      </c>
      <c r="H1173">
        <v>69911</v>
      </c>
      <c r="I1173">
        <v>9151</v>
      </c>
      <c r="J1173">
        <v>21</v>
      </c>
      <c r="K1173">
        <v>7</v>
      </c>
      <c r="L1173">
        <v>2</v>
      </c>
      <c r="M1173" t="s">
        <v>25</v>
      </c>
      <c r="N1173">
        <v>1</v>
      </c>
      <c r="O1173">
        <v>11</v>
      </c>
      <c r="P1173">
        <v>19</v>
      </c>
      <c r="Q1173">
        <v>1</v>
      </c>
      <c r="R1173">
        <v>2</v>
      </c>
      <c r="S1173" t="s">
        <v>24</v>
      </c>
    </row>
    <row r="1174" spans="1:19" x14ac:dyDescent="0.25">
      <c r="A1174">
        <v>11173</v>
      </c>
      <c r="B1174">
        <v>59</v>
      </c>
      <c r="C1174" t="s">
        <v>31</v>
      </c>
      <c r="D1174" t="s">
        <v>28</v>
      </c>
      <c r="E1174" t="s">
        <v>36</v>
      </c>
      <c r="F1174" t="s">
        <v>35</v>
      </c>
      <c r="G1174" t="s">
        <v>38</v>
      </c>
      <c r="H1174">
        <v>48435</v>
      </c>
      <c r="I1174">
        <v>23062</v>
      </c>
      <c r="J1174">
        <v>7</v>
      </c>
      <c r="K1174">
        <v>2</v>
      </c>
      <c r="L1174">
        <v>5</v>
      </c>
      <c r="M1174" t="s">
        <v>25</v>
      </c>
      <c r="N1174">
        <v>3</v>
      </c>
      <c r="O1174">
        <v>20</v>
      </c>
      <c r="P1174">
        <v>48</v>
      </c>
      <c r="Q1174">
        <v>3</v>
      </c>
      <c r="R1174">
        <v>2</v>
      </c>
      <c r="S1174" t="s">
        <v>25</v>
      </c>
    </row>
    <row r="1175" spans="1:19" x14ac:dyDescent="0.25">
      <c r="A1175">
        <v>11174</v>
      </c>
      <c r="B1175">
        <v>44</v>
      </c>
      <c r="C1175" t="s">
        <v>19</v>
      </c>
      <c r="D1175" t="s">
        <v>26</v>
      </c>
      <c r="E1175" t="s">
        <v>33</v>
      </c>
      <c r="F1175" t="s">
        <v>22</v>
      </c>
      <c r="G1175" t="s">
        <v>30</v>
      </c>
      <c r="H1175">
        <v>32944</v>
      </c>
      <c r="I1175">
        <v>35583</v>
      </c>
      <c r="J1175">
        <v>10</v>
      </c>
      <c r="K1175">
        <v>12</v>
      </c>
      <c r="L1175">
        <v>3</v>
      </c>
      <c r="M1175" t="s">
        <v>25</v>
      </c>
      <c r="N1175">
        <v>4</v>
      </c>
      <c r="O1175">
        <v>15</v>
      </c>
      <c r="P1175">
        <v>42</v>
      </c>
      <c r="Q1175">
        <v>2</v>
      </c>
      <c r="R1175">
        <v>2</v>
      </c>
      <c r="S1175" t="s">
        <v>25</v>
      </c>
    </row>
    <row r="1176" spans="1:19" x14ac:dyDescent="0.25">
      <c r="A1176">
        <v>11175</v>
      </c>
      <c r="B1176">
        <v>40</v>
      </c>
      <c r="C1176" t="s">
        <v>19</v>
      </c>
      <c r="D1176" t="s">
        <v>41</v>
      </c>
      <c r="E1176" t="s">
        <v>27</v>
      </c>
      <c r="F1176" t="s">
        <v>35</v>
      </c>
      <c r="G1176" t="s">
        <v>38</v>
      </c>
      <c r="H1176">
        <v>72332</v>
      </c>
      <c r="I1176">
        <v>11036</v>
      </c>
      <c r="J1176">
        <v>17</v>
      </c>
      <c r="K1176">
        <v>4</v>
      </c>
      <c r="L1176">
        <v>3</v>
      </c>
      <c r="M1176" t="s">
        <v>25</v>
      </c>
      <c r="N1176">
        <v>3</v>
      </c>
      <c r="O1176">
        <v>32</v>
      </c>
      <c r="P1176">
        <v>22</v>
      </c>
      <c r="Q1176">
        <v>4</v>
      </c>
      <c r="R1176">
        <v>3</v>
      </c>
      <c r="S1176" t="s">
        <v>25</v>
      </c>
    </row>
    <row r="1177" spans="1:19" x14ac:dyDescent="0.25">
      <c r="A1177">
        <v>11176</v>
      </c>
      <c r="B1177">
        <v>47</v>
      </c>
      <c r="C1177" t="s">
        <v>19</v>
      </c>
      <c r="D1177" t="s">
        <v>41</v>
      </c>
      <c r="E1177" t="s">
        <v>21</v>
      </c>
      <c r="F1177" t="s">
        <v>22</v>
      </c>
      <c r="G1177" t="s">
        <v>30</v>
      </c>
      <c r="H1177">
        <v>112285</v>
      </c>
      <c r="I1177">
        <v>45890</v>
      </c>
      <c r="J1177">
        <v>3</v>
      </c>
      <c r="K1177">
        <v>12</v>
      </c>
      <c r="L1177">
        <v>3</v>
      </c>
      <c r="M1177" t="s">
        <v>25</v>
      </c>
      <c r="N1177">
        <v>4</v>
      </c>
      <c r="O1177">
        <v>20</v>
      </c>
      <c r="P1177">
        <v>18</v>
      </c>
      <c r="Q1177">
        <v>3</v>
      </c>
      <c r="R1177">
        <v>2</v>
      </c>
      <c r="S1177" t="s">
        <v>25</v>
      </c>
    </row>
    <row r="1178" spans="1:19" x14ac:dyDescent="0.25">
      <c r="A1178">
        <v>11177</v>
      </c>
      <c r="B1178">
        <v>39</v>
      </c>
      <c r="C1178" t="s">
        <v>19</v>
      </c>
      <c r="D1178" t="s">
        <v>41</v>
      </c>
      <c r="E1178" t="s">
        <v>27</v>
      </c>
      <c r="F1178" t="s">
        <v>39</v>
      </c>
      <c r="G1178" t="s">
        <v>30</v>
      </c>
      <c r="H1178">
        <v>85642</v>
      </c>
      <c r="I1178">
        <v>40949</v>
      </c>
      <c r="J1178">
        <v>7</v>
      </c>
      <c r="K1178">
        <v>11</v>
      </c>
      <c r="L1178">
        <v>3</v>
      </c>
      <c r="M1178" t="s">
        <v>25</v>
      </c>
      <c r="N1178">
        <v>4</v>
      </c>
      <c r="O1178">
        <v>36</v>
      </c>
      <c r="P1178">
        <v>31</v>
      </c>
      <c r="Q1178">
        <v>4</v>
      </c>
      <c r="R1178">
        <v>4</v>
      </c>
      <c r="S1178" t="s">
        <v>25</v>
      </c>
    </row>
    <row r="1179" spans="1:19" x14ac:dyDescent="0.25">
      <c r="A1179">
        <v>11178</v>
      </c>
      <c r="B1179">
        <v>52</v>
      </c>
      <c r="C1179" t="s">
        <v>31</v>
      </c>
      <c r="D1179" t="s">
        <v>20</v>
      </c>
      <c r="E1179" t="s">
        <v>33</v>
      </c>
      <c r="F1179" t="s">
        <v>37</v>
      </c>
      <c r="G1179" t="s">
        <v>38</v>
      </c>
      <c r="H1179">
        <v>33002</v>
      </c>
      <c r="I1179">
        <v>25390</v>
      </c>
      <c r="J1179">
        <v>2</v>
      </c>
      <c r="K1179">
        <v>4</v>
      </c>
      <c r="L1179">
        <v>4</v>
      </c>
      <c r="M1179" t="s">
        <v>25</v>
      </c>
      <c r="N1179">
        <v>2</v>
      </c>
      <c r="O1179">
        <v>16</v>
      </c>
      <c r="P1179">
        <v>12</v>
      </c>
      <c r="Q1179">
        <v>3</v>
      </c>
      <c r="R1179">
        <v>2</v>
      </c>
      <c r="S1179" t="s">
        <v>25</v>
      </c>
    </row>
    <row r="1180" spans="1:19" x14ac:dyDescent="0.25">
      <c r="A1180">
        <v>11179</v>
      </c>
      <c r="B1180">
        <v>26</v>
      </c>
      <c r="C1180" t="s">
        <v>31</v>
      </c>
      <c r="D1180" t="s">
        <v>20</v>
      </c>
      <c r="E1180" t="s">
        <v>33</v>
      </c>
      <c r="F1180" t="s">
        <v>39</v>
      </c>
      <c r="G1180" t="s">
        <v>38</v>
      </c>
      <c r="H1180">
        <v>28888</v>
      </c>
      <c r="I1180">
        <v>45540</v>
      </c>
      <c r="J1180">
        <v>14</v>
      </c>
      <c r="K1180">
        <v>9</v>
      </c>
      <c r="L1180">
        <v>4</v>
      </c>
      <c r="M1180" t="s">
        <v>25</v>
      </c>
      <c r="N1180">
        <v>3</v>
      </c>
      <c r="O1180">
        <v>22</v>
      </c>
      <c r="P1180">
        <v>7</v>
      </c>
      <c r="Q1180">
        <v>3</v>
      </c>
      <c r="R1180">
        <v>4</v>
      </c>
      <c r="S1180" t="s">
        <v>25</v>
      </c>
    </row>
    <row r="1181" spans="1:19" x14ac:dyDescent="0.25">
      <c r="A1181">
        <v>11180</v>
      </c>
      <c r="B1181">
        <v>35</v>
      </c>
      <c r="C1181" t="s">
        <v>19</v>
      </c>
      <c r="D1181" t="s">
        <v>41</v>
      </c>
      <c r="E1181" t="s">
        <v>29</v>
      </c>
      <c r="F1181" t="s">
        <v>35</v>
      </c>
      <c r="G1181" t="s">
        <v>30</v>
      </c>
      <c r="H1181">
        <v>159883</v>
      </c>
      <c r="I1181">
        <v>34515</v>
      </c>
      <c r="J1181">
        <v>8</v>
      </c>
      <c r="K1181">
        <v>10</v>
      </c>
      <c r="L1181">
        <v>4</v>
      </c>
      <c r="M1181" t="s">
        <v>25</v>
      </c>
      <c r="N1181">
        <v>3</v>
      </c>
      <c r="O1181">
        <v>34</v>
      </c>
      <c r="P1181">
        <v>43</v>
      </c>
      <c r="Q1181">
        <v>4</v>
      </c>
      <c r="R1181">
        <v>3</v>
      </c>
      <c r="S1181" t="s">
        <v>25</v>
      </c>
    </row>
    <row r="1182" spans="1:19" x14ac:dyDescent="0.25">
      <c r="A1182">
        <v>11181</v>
      </c>
      <c r="B1182">
        <v>22</v>
      </c>
      <c r="C1182" t="s">
        <v>19</v>
      </c>
      <c r="D1182" t="s">
        <v>34</v>
      </c>
      <c r="E1182" t="s">
        <v>36</v>
      </c>
      <c r="F1182" t="s">
        <v>39</v>
      </c>
      <c r="G1182" t="s">
        <v>38</v>
      </c>
      <c r="H1182">
        <v>50723</v>
      </c>
      <c r="I1182">
        <v>40740</v>
      </c>
      <c r="J1182">
        <v>10</v>
      </c>
      <c r="K1182">
        <v>1</v>
      </c>
      <c r="L1182">
        <v>3</v>
      </c>
      <c r="M1182" t="s">
        <v>25</v>
      </c>
      <c r="N1182">
        <v>1</v>
      </c>
      <c r="O1182">
        <v>19</v>
      </c>
      <c r="P1182">
        <v>16</v>
      </c>
      <c r="Q1182">
        <v>3</v>
      </c>
      <c r="R1182">
        <v>3</v>
      </c>
      <c r="S1182" t="s">
        <v>24</v>
      </c>
    </row>
    <row r="1183" spans="1:19" x14ac:dyDescent="0.25">
      <c r="A1183">
        <v>11182</v>
      </c>
      <c r="B1183">
        <v>50</v>
      </c>
      <c r="C1183" t="s">
        <v>19</v>
      </c>
      <c r="D1183" t="s">
        <v>20</v>
      </c>
      <c r="E1183" t="s">
        <v>33</v>
      </c>
      <c r="F1183" t="s">
        <v>35</v>
      </c>
      <c r="G1183" t="s">
        <v>38</v>
      </c>
      <c r="H1183">
        <v>33390</v>
      </c>
      <c r="I1183">
        <v>23083</v>
      </c>
      <c r="J1183">
        <v>17</v>
      </c>
      <c r="K1183">
        <v>2</v>
      </c>
      <c r="L1183">
        <v>3</v>
      </c>
      <c r="M1183" t="s">
        <v>24</v>
      </c>
      <c r="N1183">
        <v>3</v>
      </c>
      <c r="O1183">
        <v>2</v>
      </c>
      <c r="P1183">
        <v>18</v>
      </c>
      <c r="Q1183">
        <v>3</v>
      </c>
      <c r="R1183">
        <v>3</v>
      </c>
      <c r="S1183" t="s">
        <v>25</v>
      </c>
    </row>
    <row r="1184" spans="1:19" x14ac:dyDescent="0.25">
      <c r="A1184">
        <v>11183</v>
      </c>
      <c r="B1184">
        <v>31</v>
      </c>
      <c r="C1184" t="s">
        <v>19</v>
      </c>
      <c r="D1184" t="s">
        <v>28</v>
      </c>
      <c r="E1184" t="s">
        <v>36</v>
      </c>
      <c r="F1184" t="s">
        <v>39</v>
      </c>
      <c r="G1184" t="s">
        <v>30</v>
      </c>
      <c r="H1184">
        <v>49758</v>
      </c>
      <c r="I1184">
        <v>49534</v>
      </c>
      <c r="J1184">
        <v>14</v>
      </c>
      <c r="K1184">
        <v>4</v>
      </c>
      <c r="L1184">
        <v>3</v>
      </c>
      <c r="M1184" t="s">
        <v>25</v>
      </c>
      <c r="N1184">
        <v>2</v>
      </c>
      <c r="O1184">
        <v>36</v>
      </c>
      <c r="P1184">
        <v>31</v>
      </c>
      <c r="Q1184">
        <v>4</v>
      </c>
      <c r="R1184">
        <v>4</v>
      </c>
      <c r="S1184" t="s">
        <v>24</v>
      </c>
    </row>
    <row r="1185" spans="1:19" x14ac:dyDescent="0.25">
      <c r="A1185">
        <v>11184</v>
      </c>
      <c r="B1185">
        <v>31</v>
      </c>
      <c r="C1185" t="s">
        <v>19</v>
      </c>
      <c r="D1185" t="s">
        <v>32</v>
      </c>
      <c r="E1185" t="s">
        <v>27</v>
      </c>
      <c r="F1185" t="s">
        <v>35</v>
      </c>
      <c r="G1185" t="s">
        <v>38</v>
      </c>
      <c r="H1185">
        <v>88602</v>
      </c>
      <c r="I1185">
        <v>10247</v>
      </c>
      <c r="J1185">
        <v>22</v>
      </c>
      <c r="K1185">
        <v>5</v>
      </c>
      <c r="L1185">
        <v>3</v>
      </c>
      <c r="M1185" t="s">
        <v>24</v>
      </c>
      <c r="N1185">
        <v>3</v>
      </c>
      <c r="O1185">
        <v>38</v>
      </c>
      <c r="P1185">
        <v>19</v>
      </c>
      <c r="Q1185">
        <v>2</v>
      </c>
      <c r="R1185">
        <v>3</v>
      </c>
      <c r="S1185" t="s">
        <v>24</v>
      </c>
    </row>
    <row r="1186" spans="1:19" x14ac:dyDescent="0.25">
      <c r="A1186">
        <v>11185</v>
      </c>
      <c r="B1186">
        <v>33</v>
      </c>
      <c r="C1186" t="s">
        <v>19</v>
      </c>
      <c r="D1186" t="s">
        <v>20</v>
      </c>
      <c r="E1186" t="s">
        <v>27</v>
      </c>
      <c r="F1186" t="s">
        <v>39</v>
      </c>
      <c r="G1186" t="s">
        <v>38</v>
      </c>
      <c r="H1186">
        <v>77404</v>
      </c>
      <c r="I1186">
        <v>2535</v>
      </c>
      <c r="J1186">
        <v>10</v>
      </c>
      <c r="K1186">
        <v>9</v>
      </c>
      <c r="L1186">
        <v>4</v>
      </c>
      <c r="M1186" t="s">
        <v>25</v>
      </c>
      <c r="N1186">
        <v>1</v>
      </c>
      <c r="O1186">
        <v>3</v>
      </c>
      <c r="P1186">
        <v>22</v>
      </c>
      <c r="Q1186">
        <v>4</v>
      </c>
      <c r="R1186">
        <v>1</v>
      </c>
      <c r="S1186" t="s">
        <v>25</v>
      </c>
    </row>
    <row r="1187" spans="1:19" x14ac:dyDescent="0.25">
      <c r="A1187">
        <v>11186</v>
      </c>
      <c r="B1187">
        <v>40</v>
      </c>
      <c r="C1187" t="s">
        <v>19</v>
      </c>
      <c r="D1187" t="s">
        <v>41</v>
      </c>
      <c r="E1187" t="s">
        <v>33</v>
      </c>
      <c r="F1187" t="s">
        <v>39</v>
      </c>
      <c r="G1187" t="s">
        <v>30</v>
      </c>
      <c r="H1187">
        <v>36356</v>
      </c>
      <c r="I1187">
        <v>30956</v>
      </c>
      <c r="J1187">
        <v>12</v>
      </c>
      <c r="K1187">
        <v>14</v>
      </c>
      <c r="L1187">
        <v>2</v>
      </c>
      <c r="M1187" t="s">
        <v>25</v>
      </c>
      <c r="N1187">
        <v>4</v>
      </c>
      <c r="O1187">
        <v>20</v>
      </c>
      <c r="P1187">
        <v>6</v>
      </c>
      <c r="Q1187">
        <v>2</v>
      </c>
      <c r="R1187">
        <v>3</v>
      </c>
      <c r="S1187" t="s">
        <v>25</v>
      </c>
    </row>
    <row r="1188" spans="1:19" x14ac:dyDescent="0.25">
      <c r="A1188">
        <v>11187</v>
      </c>
      <c r="B1188">
        <v>53</v>
      </c>
      <c r="C1188" t="s">
        <v>19</v>
      </c>
      <c r="D1188" t="s">
        <v>20</v>
      </c>
      <c r="E1188" t="s">
        <v>36</v>
      </c>
      <c r="F1188" t="s">
        <v>39</v>
      </c>
      <c r="G1188" t="s">
        <v>30</v>
      </c>
      <c r="H1188">
        <v>58730</v>
      </c>
      <c r="I1188">
        <v>21117</v>
      </c>
      <c r="J1188">
        <v>16</v>
      </c>
      <c r="K1188">
        <v>10</v>
      </c>
      <c r="L1188">
        <v>3</v>
      </c>
      <c r="M1188" t="s">
        <v>25</v>
      </c>
      <c r="N1188">
        <v>4</v>
      </c>
      <c r="O1188">
        <v>7</v>
      </c>
      <c r="P1188">
        <v>49</v>
      </c>
      <c r="Q1188">
        <v>4</v>
      </c>
      <c r="R1188">
        <v>3</v>
      </c>
      <c r="S1188" t="s">
        <v>25</v>
      </c>
    </row>
    <row r="1189" spans="1:19" x14ac:dyDescent="0.25">
      <c r="A1189">
        <v>11188</v>
      </c>
      <c r="B1189">
        <v>20</v>
      </c>
      <c r="C1189" t="s">
        <v>19</v>
      </c>
      <c r="D1189" t="s">
        <v>28</v>
      </c>
      <c r="E1189" t="s">
        <v>33</v>
      </c>
      <c r="F1189" t="s">
        <v>35</v>
      </c>
      <c r="G1189" t="s">
        <v>23</v>
      </c>
      <c r="H1189">
        <v>37643</v>
      </c>
      <c r="I1189">
        <v>34354</v>
      </c>
      <c r="J1189">
        <v>2</v>
      </c>
      <c r="K1189">
        <v>3</v>
      </c>
      <c r="L1189">
        <v>3</v>
      </c>
      <c r="M1189" t="s">
        <v>25</v>
      </c>
      <c r="N1189">
        <v>4</v>
      </c>
      <c r="O1189">
        <v>36</v>
      </c>
      <c r="P1189">
        <v>48</v>
      </c>
      <c r="Q1189">
        <v>2</v>
      </c>
      <c r="R1189">
        <v>3</v>
      </c>
      <c r="S1189" t="s">
        <v>25</v>
      </c>
    </row>
    <row r="1190" spans="1:19" x14ac:dyDescent="0.25">
      <c r="A1190">
        <v>11189</v>
      </c>
      <c r="B1190">
        <v>54</v>
      </c>
      <c r="C1190" t="s">
        <v>31</v>
      </c>
      <c r="D1190" t="s">
        <v>20</v>
      </c>
      <c r="E1190" t="s">
        <v>36</v>
      </c>
      <c r="F1190" t="s">
        <v>39</v>
      </c>
      <c r="G1190" t="s">
        <v>38</v>
      </c>
      <c r="H1190">
        <v>55228</v>
      </c>
      <c r="I1190">
        <v>37820</v>
      </c>
      <c r="J1190">
        <v>8</v>
      </c>
      <c r="K1190">
        <v>14</v>
      </c>
      <c r="L1190">
        <v>3</v>
      </c>
      <c r="M1190" t="s">
        <v>25</v>
      </c>
      <c r="N1190">
        <v>3</v>
      </c>
      <c r="O1190">
        <v>21</v>
      </c>
      <c r="P1190">
        <v>41</v>
      </c>
      <c r="Q1190">
        <v>3</v>
      </c>
      <c r="R1190">
        <v>1</v>
      </c>
      <c r="S1190" t="s">
        <v>25</v>
      </c>
    </row>
    <row r="1191" spans="1:19" x14ac:dyDescent="0.25">
      <c r="A1191">
        <v>11190</v>
      </c>
      <c r="B1191">
        <v>59</v>
      </c>
      <c r="C1191" t="s">
        <v>19</v>
      </c>
      <c r="D1191" t="s">
        <v>41</v>
      </c>
      <c r="E1191" t="s">
        <v>40</v>
      </c>
      <c r="F1191" t="s">
        <v>35</v>
      </c>
      <c r="G1191" t="s">
        <v>23</v>
      </c>
      <c r="H1191">
        <v>19926</v>
      </c>
      <c r="I1191">
        <v>49005</v>
      </c>
      <c r="J1191">
        <v>18</v>
      </c>
      <c r="K1191">
        <v>10</v>
      </c>
      <c r="L1191">
        <v>4</v>
      </c>
      <c r="M1191" t="s">
        <v>24</v>
      </c>
      <c r="N1191">
        <v>2</v>
      </c>
      <c r="O1191">
        <v>5</v>
      </c>
      <c r="P1191">
        <v>45</v>
      </c>
      <c r="Q1191">
        <v>4</v>
      </c>
      <c r="R1191">
        <v>2</v>
      </c>
      <c r="S1191" t="s">
        <v>25</v>
      </c>
    </row>
    <row r="1192" spans="1:19" x14ac:dyDescent="0.25">
      <c r="A1192">
        <v>11191</v>
      </c>
      <c r="B1192">
        <v>35</v>
      </c>
      <c r="C1192" t="s">
        <v>31</v>
      </c>
      <c r="D1192" t="s">
        <v>20</v>
      </c>
      <c r="E1192" t="s">
        <v>36</v>
      </c>
      <c r="F1192" t="s">
        <v>39</v>
      </c>
      <c r="G1192" t="s">
        <v>30</v>
      </c>
      <c r="H1192">
        <v>69112</v>
      </c>
      <c r="I1192">
        <v>41633</v>
      </c>
      <c r="J1192">
        <v>1</v>
      </c>
      <c r="K1192">
        <v>3</v>
      </c>
      <c r="L1192">
        <v>3</v>
      </c>
      <c r="M1192" t="s">
        <v>25</v>
      </c>
      <c r="N1192">
        <v>4</v>
      </c>
      <c r="O1192">
        <v>21</v>
      </c>
      <c r="P1192">
        <v>23</v>
      </c>
      <c r="Q1192">
        <v>3</v>
      </c>
      <c r="R1192">
        <v>4</v>
      </c>
      <c r="S1192" t="s">
        <v>25</v>
      </c>
    </row>
    <row r="1193" spans="1:19" x14ac:dyDescent="0.25">
      <c r="A1193">
        <v>11192</v>
      </c>
      <c r="B1193">
        <v>55</v>
      </c>
      <c r="C1193" t="s">
        <v>19</v>
      </c>
      <c r="D1193" t="s">
        <v>28</v>
      </c>
      <c r="E1193" t="s">
        <v>36</v>
      </c>
      <c r="F1193" t="s">
        <v>35</v>
      </c>
      <c r="G1193" t="s">
        <v>38</v>
      </c>
      <c r="H1193">
        <v>61683</v>
      </c>
      <c r="I1193">
        <v>22486</v>
      </c>
      <c r="J1193">
        <v>14</v>
      </c>
      <c r="K1193">
        <v>12</v>
      </c>
      <c r="L1193">
        <v>3</v>
      </c>
      <c r="M1193" t="s">
        <v>25</v>
      </c>
      <c r="N1193">
        <v>1</v>
      </c>
      <c r="O1193">
        <v>13</v>
      </c>
      <c r="P1193">
        <v>37</v>
      </c>
      <c r="Q1193">
        <v>3</v>
      </c>
      <c r="R1193">
        <v>2</v>
      </c>
      <c r="S1193" t="s">
        <v>25</v>
      </c>
    </row>
    <row r="1194" spans="1:19" x14ac:dyDescent="0.25">
      <c r="A1194">
        <v>11193</v>
      </c>
      <c r="B1194">
        <v>52</v>
      </c>
      <c r="C1194" t="s">
        <v>31</v>
      </c>
      <c r="D1194" t="s">
        <v>20</v>
      </c>
      <c r="E1194" t="s">
        <v>33</v>
      </c>
      <c r="F1194" t="s">
        <v>39</v>
      </c>
      <c r="G1194" t="s">
        <v>30</v>
      </c>
      <c r="H1194">
        <v>42246</v>
      </c>
      <c r="I1194">
        <v>22436</v>
      </c>
      <c r="J1194">
        <v>15</v>
      </c>
      <c r="K1194">
        <v>3</v>
      </c>
      <c r="L1194">
        <v>5</v>
      </c>
      <c r="M1194" t="s">
        <v>24</v>
      </c>
      <c r="N1194">
        <v>4</v>
      </c>
      <c r="O1194">
        <v>27</v>
      </c>
      <c r="P1194">
        <v>12</v>
      </c>
      <c r="Q1194">
        <v>2</v>
      </c>
      <c r="R1194">
        <v>4</v>
      </c>
      <c r="S1194" t="s">
        <v>25</v>
      </c>
    </row>
    <row r="1195" spans="1:19" x14ac:dyDescent="0.25">
      <c r="A1195">
        <v>11194</v>
      </c>
      <c r="B1195">
        <v>46</v>
      </c>
      <c r="C1195" t="s">
        <v>31</v>
      </c>
      <c r="D1195" t="s">
        <v>20</v>
      </c>
      <c r="E1195" t="s">
        <v>33</v>
      </c>
      <c r="F1195" t="s">
        <v>22</v>
      </c>
      <c r="G1195" t="s">
        <v>23</v>
      </c>
      <c r="H1195">
        <v>32114</v>
      </c>
      <c r="I1195">
        <v>12129</v>
      </c>
      <c r="J1195">
        <v>15</v>
      </c>
      <c r="K1195">
        <v>3</v>
      </c>
      <c r="L1195">
        <v>3</v>
      </c>
      <c r="M1195" t="s">
        <v>25</v>
      </c>
      <c r="N1195">
        <v>4</v>
      </c>
      <c r="O1195">
        <v>21</v>
      </c>
      <c r="P1195">
        <v>34</v>
      </c>
      <c r="Q1195">
        <v>4</v>
      </c>
      <c r="R1195">
        <v>1</v>
      </c>
      <c r="S1195" t="s">
        <v>25</v>
      </c>
    </row>
    <row r="1196" spans="1:19" x14ac:dyDescent="0.25">
      <c r="A1196">
        <v>11195</v>
      </c>
      <c r="B1196">
        <v>29</v>
      </c>
      <c r="C1196" t="s">
        <v>31</v>
      </c>
      <c r="D1196" t="s">
        <v>41</v>
      </c>
      <c r="E1196" t="s">
        <v>21</v>
      </c>
      <c r="F1196" t="s">
        <v>22</v>
      </c>
      <c r="G1196" t="s">
        <v>38</v>
      </c>
      <c r="H1196">
        <v>102767</v>
      </c>
      <c r="I1196">
        <v>3101</v>
      </c>
      <c r="J1196">
        <v>23</v>
      </c>
      <c r="K1196">
        <v>6</v>
      </c>
      <c r="L1196">
        <v>4</v>
      </c>
      <c r="M1196" t="s">
        <v>25</v>
      </c>
      <c r="N1196">
        <v>2</v>
      </c>
      <c r="O1196">
        <v>22</v>
      </c>
      <c r="P1196">
        <v>7</v>
      </c>
      <c r="Q1196">
        <v>2</v>
      </c>
      <c r="R1196">
        <v>4</v>
      </c>
      <c r="S1196" t="s">
        <v>25</v>
      </c>
    </row>
    <row r="1197" spans="1:19" x14ac:dyDescent="0.25">
      <c r="A1197">
        <v>11196</v>
      </c>
      <c r="B1197">
        <v>55</v>
      </c>
      <c r="C1197" t="s">
        <v>31</v>
      </c>
      <c r="D1197" t="s">
        <v>41</v>
      </c>
      <c r="E1197" t="s">
        <v>33</v>
      </c>
      <c r="F1197" t="s">
        <v>39</v>
      </c>
      <c r="G1197" t="s">
        <v>38</v>
      </c>
      <c r="H1197">
        <v>37842</v>
      </c>
      <c r="I1197">
        <v>47611</v>
      </c>
      <c r="J1197">
        <v>8</v>
      </c>
      <c r="K1197">
        <v>9</v>
      </c>
      <c r="L1197">
        <v>2</v>
      </c>
      <c r="M1197" t="s">
        <v>25</v>
      </c>
      <c r="N1197">
        <v>2</v>
      </c>
      <c r="O1197">
        <v>4</v>
      </c>
      <c r="P1197">
        <v>18</v>
      </c>
      <c r="Q1197">
        <v>2</v>
      </c>
      <c r="R1197">
        <v>3</v>
      </c>
      <c r="S1197" t="s">
        <v>24</v>
      </c>
    </row>
    <row r="1198" spans="1:19" x14ac:dyDescent="0.25">
      <c r="A1198">
        <v>11197</v>
      </c>
      <c r="B1198">
        <v>22</v>
      </c>
      <c r="C1198" t="s">
        <v>19</v>
      </c>
      <c r="D1198" t="s">
        <v>32</v>
      </c>
      <c r="E1198" t="s">
        <v>33</v>
      </c>
      <c r="F1198" t="s">
        <v>35</v>
      </c>
      <c r="G1198" t="s">
        <v>38</v>
      </c>
      <c r="H1198">
        <v>37264</v>
      </c>
      <c r="I1198">
        <v>32309</v>
      </c>
      <c r="J1198">
        <v>0</v>
      </c>
      <c r="K1198">
        <v>0</v>
      </c>
      <c r="L1198">
        <v>4</v>
      </c>
      <c r="M1198" t="s">
        <v>24</v>
      </c>
      <c r="N1198">
        <v>1</v>
      </c>
      <c r="O1198">
        <v>11</v>
      </c>
      <c r="P1198">
        <v>50</v>
      </c>
      <c r="Q1198">
        <v>3</v>
      </c>
      <c r="R1198">
        <v>4</v>
      </c>
      <c r="S1198" t="s">
        <v>24</v>
      </c>
    </row>
    <row r="1199" spans="1:19" x14ac:dyDescent="0.25">
      <c r="A1199">
        <v>11198</v>
      </c>
      <c r="B1199">
        <v>50</v>
      </c>
      <c r="C1199" t="s">
        <v>19</v>
      </c>
      <c r="D1199" t="s">
        <v>41</v>
      </c>
      <c r="E1199" t="s">
        <v>21</v>
      </c>
      <c r="F1199" t="s">
        <v>37</v>
      </c>
      <c r="G1199" t="s">
        <v>38</v>
      </c>
      <c r="H1199">
        <v>113124</v>
      </c>
      <c r="I1199">
        <v>809</v>
      </c>
      <c r="J1199">
        <v>14</v>
      </c>
      <c r="K1199">
        <v>3</v>
      </c>
      <c r="L1199">
        <v>3</v>
      </c>
      <c r="M1199" t="s">
        <v>25</v>
      </c>
      <c r="N1199">
        <v>2</v>
      </c>
      <c r="O1199">
        <v>36</v>
      </c>
      <c r="P1199">
        <v>38</v>
      </c>
      <c r="Q1199">
        <v>1</v>
      </c>
      <c r="R1199">
        <v>4</v>
      </c>
      <c r="S1199" t="s">
        <v>25</v>
      </c>
    </row>
    <row r="1200" spans="1:19" x14ac:dyDescent="0.25">
      <c r="A1200">
        <v>11199</v>
      </c>
      <c r="B1200">
        <v>43</v>
      </c>
      <c r="C1200" t="s">
        <v>19</v>
      </c>
      <c r="D1200" t="s">
        <v>32</v>
      </c>
      <c r="E1200" t="s">
        <v>36</v>
      </c>
      <c r="F1200" t="s">
        <v>39</v>
      </c>
      <c r="G1200" t="s">
        <v>30</v>
      </c>
      <c r="H1200">
        <v>59696</v>
      </c>
      <c r="I1200">
        <v>9514</v>
      </c>
      <c r="J1200">
        <v>16</v>
      </c>
      <c r="K1200">
        <v>7</v>
      </c>
      <c r="L1200">
        <v>3</v>
      </c>
      <c r="M1200" t="s">
        <v>24</v>
      </c>
      <c r="N1200">
        <v>3</v>
      </c>
      <c r="O1200">
        <v>33</v>
      </c>
      <c r="P1200">
        <v>10</v>
      </c>
      <c r="Q1200">
        <v>4</v>
      </c>
      <c r="R1200">
        <v>1</v>
      </c>
      <c r="S1200" t="s">
        <v>25</v>
      </c>
    </row>
    <row r="1201" spans="1:19" x14ac:dyDescent="0.25">
      <c r="A1201">
        <v>11200</v>
      </c>
      <c r="B1201">
        <v>51</v>
      </c>
      <c r="C1201" t="s">
        <v>19</v>
      </c>
      <c r="D1201" t="s">
        <v>34</v>
      </c>
      <c r="E1201" t="s">
        <v>40</v>
      </c>
      <c r="F1201" t="s">
        <v>39</v>
      </c>
      <c r="G1201" t="s">
        <v>23</v>
      </c>
      <c r="H1201">
        <v>19617</v>
      </c>
      <c r="I1201">
        <v>32956</v>
      </c>
      <c r="J1201">
        <v>17</v>
      </c>
      <c r="K1201">
        <v>6</v>
      </c>
      <c r="L1201">
        <v>4</v>
      </c>
      <c r="M1201" t="s">
        <v>25</v>
      </c>
      <c r="N1201">
        <v>3</v>
      </c>
      <c r="O1201">
        <v>22</v>
      </c>
      <c r="P1201">
        <v>26</v>
      </c>
      <c r="Q1201">
        <v>3</v>
      </c>
      <c r="R1201">
        <v>2</v>
      </c>
      <c r="S1201" t="s">
        <v>25</v>
      </c>
    </row>
    <row r="1202" spans="1:19" x14ac:dyDescent="0.25">
      <c r="A1202">
        <v>11201</v>
      </c>
      <c r="B1202">
        <v>53</v>
      </c>
      <c r="C1202" t="s">
        <v>19</v>
      </c>
      <c r="D1202" t="s">
        <v>32</v>
      </c>
      <c r="E1202" t="s">
        <v>36</v>
      </c>
      <c r="F1202" t="s">
        <v>39</v>
      </c>
      <c r="G1202" t="s">
        <v>38</v>
      </c>
      <c r="H1202">
        <v>46827</v>
      </c>
      <c r="I1202">
        <v>37206</v>
      </c>
      <c r="J1202">
        <v>13</v>
      </c>
      <c r="K1202">
        <v>11</v>
      </c>
      <c r="L1202">
        <v>3</v>
      </c>
      <c r="M1202" t="s">
        <v>25</v>
      </c>
      <c r="N1202">
        <v>3</v>
      </c>
      <c r="O1202">
        <v>1</v>
      </c>
      <c r="P1202">
        <v>29</v>
      </c>
      <c r="Q1202">
        <v>3</v>
      </c>
      <c r="R1202">
        <v>1</v>
      </c>
      <c r="S1202" t="s">
        <v>25</v>
      </c>
    </row>
    <row r="1203" spans="1:19" x14ac:dyDescent="0.25">
      <c r="A1203">
        <v>11202</v>
      </c>
      <c r="B1203">
        <v>20</v>
      </c>
      <c r="C1203" t="s">
        <v>19</v>
      </c>
      <c r="D1203" t="s">
        <v>26</v>
      </c>
      <c r="E1203" t="s">
        <v>27</v>
      </c>
      <c r="F1203" t="s">
        <v>37</v>
      </c>
      <c r="G1203" t="s">
        <v>30</v>
      </c>
      <c r="H1203">
        <v>66822</v>
      </c>
      <c r="I1203">
        <v>22692</v>
      </c>
      <c r="J1203">
        <v>18</v>
      </c>
      <c r="K1203">
        <v>9</v>
      </c>
      <c r="L1203">
        <v>3</v>
      </c>
      <c r="M1203" t="s">
        <v>24</v>
      </c>
      <c r="N1203">
        <v>3</v>
      </c>
      <c r="O1203">
        <v>23</v>
      </c>
      <c r="P1203">
        <v>30</v>
      </c>
      <c r="Q1203">
        <v>3</v>
      </c>
      <c r="R1203">
        <v>1</v>
      </c>
      <c r="S1203" t="s">
        <v>25</v>
      </c>
    </row>
    <row r="1204" spans="1:19" x14ac:dyDescent="0.25">
      <c r="A1204">
        <v>11203</v>
      </c>
      <c r="B1204">
        <v>22</v>
      </c>
      <c r="C1204" t="s">
        <v>19</v>
      </c>
      <c r="D1204" t="s">
        <v>41</v>
      </c>
      <c r="E1204" t="s">
        <v>33</v>
      </c>
      <c r="F1204" t="s">
        <v>39</v>
      </c>
      <c r="G1204" t="s">
        <v>38</v>
      </c>
      <c r="H1204">
        <v>44401</v>
      </c>
      <c r="I1204">
        <v>22711</v>
      </c>
      <c r="J1204">
        <v>12</v>
      </c>
      <c r="K1204">
        <v>11</v>
      </c>
      <c r="L1204">
        <v>3</v>
      </c>
      <c r="M1204" t="s">
        <v>25</v>
      </c>
      <c r="N1204">
        <v>4</v>
      </c>
      <c r="O1204">
        <v>6</v>
      </c>
      <c r="P1204">
        <v>22</v>
      </c>
      <c r="Q1204">
        <v>4</v>
      </c>
      <c r="R1204">
        <v>4</v>
      </c>
      <c r="S1204" t="s">
        <v>25</v>
      </c>
    </row>
    <row r="1205" spans="1:19" x14ac:dyDescent="0.25">
      <c r="A1205">
        <v>11204</v>
      </c>
      <c r="B1205">
        <v>47</v>
      </c>
      <c r="C1205" t="s">
        <v>31</v>
      </c>
      <c r="D1205" t="s">
        <v>26</v>
      </c>
      <c r="E1205" t="s">
        <v>33</v>
      </c>
      <c r="F1205" t="s">
        <v>35</v>
      </c>
      <c r="G1205" t="s">
        <v>38</v>
      </c>
      <c r="H1205">
        <v>42968</v>
      </c>
      <c r="I1205">
        <v>3686</v>
      </c>
      <c r="J1205">
        <v>3</v>
      </c>
      <c r="K1205">
        <v>10</v>
      </c>
      <c r="L1205">
        <v>3</v>
      </c>
      <c r="M1205" t="s">
        <v>25</v>
      </c>
      <c r="N1205">
        <v>4</v>
      </c>
      <c r="O1205">
        <v>8</v>
      </c>
      <c r="P1205">
        <v>19</v>
      </c>
      <c r="Q1205">
        <v>4</v>
      </c>
      <c r="R1205">
        <v>4</v>
      </c>
      <c r="S1205" t="s">
        <v>25</v>
      </c>
    </row>
    <row r="1206" spans="1:19" x14ac:dyDescent="0.25">
      <c r="A1206">
        <v>11205</v>
      </c>
      <c r="B1206">
        <v>29</v>
      </c>
      <c r="C1206" t="s">
        <v>19</v>
      </c>
      <c r="D1206" t="s">
        <v>41</v>
      </c>
      <c r="E1206" t="s">
        <v>21</v>
      </c>
      <c r="F1206" t="s">
        <v>35</v>
      </c>
      <c r="G1206" t="s">
        <v>30</v>
      </c>
      <c r="H1206">
        <v>103271</v>
      </c>
      <c r="I1206">
        <v>41418</v>
      </c>
      <c r="J1206">
        <v>7</v>
      </c>
      <c r="K1206">
        <v>14</v>
      </c>
      <c r="L1206">
        <v>4</v>
      </c>
      <c r="M1206" t="s">
        <v>25</v>
      </c>
      <c r="N1206">
        <v>2</v>
      </c>
      <c r="O1206">
        <v>37</v>
      </c>
      <c r="P1206">
        <v>49</v>
      </c>
      <c r="Q1206">
        <v>1</v>
      </c>
      <c r="R1206">
        <v>1</v>
      </c>
      <c r="S1206" t="s">
        <v>25</v>
      </c>
    </row>
    <row r="1207" spans="1:19" x14ac:dyDescent="0.25">
      <c r="A1207">
        <v>11206</v>
      </c>
      <c r="B1207">
        <v>46</v>
      </c>
      <c r="C1207" t="s">
        <v>19</v>
      </c>
      <c r="D1207" t="s">
        <v>26</v>
      </c>
      <c r="E1207" t="s">
        <v>29</v>
      </c>
      <c r="F1207" t="s">
        <v>39</v>
      </c>
      <c r="G1207" t="s">
        <v>38</v>
      </c>
      <c r="H1207">
        <v>161387</v>
      </c>
      <c r="I1207">
        <v>5973</v>
      </c>
      <c r="J1207">
        <v>7</v>
      </c>
      <c r="K1207">
        <v>7</v>
      </c>
      <c r="L1207">
        <v>4</v>
      </c>
      <c r="M1207" t="s">
        <v>25</v>
      </c>
      <c r="N1207">
        <v>1</v>
      </c>
      <c r="O1207">
        <v>28</v>
      </c>
      <c r="P1207">
        <v>15</v>
      </c>
      <c r="Q1207">
        <v>3</v>
      </c>
      <c r="R1207">
        <v>4</v>
      </c>
      <c r="S1207" t="s">
        <v>25</v>
      </c>
    </row>
    <row r="1208" spans="1:19" x14ac:dyDescent="0.25">
      <c r="A1208">
        <v>11207</v>
      </c>
      <c r="B1208">
        <v>32</v>
      </c>
      <c r="C1208" t="s">
        <v>19</v>
      </c>
      <c r="D1208" t="s">
        <v>20</v>
      </c>
      <c r="E1208" t="s">
        <v>36</v>
      </c>
      <c r="F1208" t="s">
        <v>22</v>
      </c>
      <c r="G1208" t="s">
        <v>30</v>
      </c>
      <c r="H1208">
        <v>68662</v>
      </c>
      <c r="I1208">
        <v>26823</v>
      </c>
      <c r="J1208">
        <v>17</v>
      </c>
      <c r="K1208">
        <v>14</v>
      </c>
      <c r="L1208">
        <v>4</v>
      </c>
      <c r="M1208" t="s">
        <v>25</v>
      </c>
      <c r="N1208">
        <v>4</v>
      </c>
      <c r="O1208">
        <v>23</v>
      </c>
      <c r="P1208">
        <v>42</v>
      </c>
      <c r="Q1208">
        <v>2</v>
      </c>
      <c r="R1208">
        <v>2</v>
      </c>
      <c r="S1208" t="s">
        <v>25</v>
      </c>
    </row>
    <row r="1209" spans="1:19" x14ac:dyDescent="0.25">
      <c r="A1209">
        <v>11208</v>
      </c>
      <c r="B1209">
        <v>54</v>
      </c>
      <c r="C1209" t="s">
        <v>19</v>
      </c>
      <c r="D1209" t="s">
        <v>20</v>
      </c>
      <c r="E1209" t="s">
        <v>27</v>
      </c>
      <c r="F1209" t="s">
        <v>22</v>
      </c>
      <c r="G1209" t="s">
        <v>30</v>
      </c>
      <c r="H1209">
        <v>71369</v>
      </c>
      <c r="I1209">
        <v>33475</v>
      </c>
      <c r="J1209">
        <v>12</v>
      </c>
      <c r="K1209">
        <v>12</v>
      </c>
      <c r="L1209">
        <v>2</v>
      </c>
      <c r="M1209" t="s">
        <v>24</v>
      </c>
      <c r="N1209">
        <v>4</v>
      </c>
      <c r="O1209">
        <v>17</v>
      </c>
      <c r="P1209">
        <v>14</v>
      </c>
      <c r="Q1209">
        <v>4</v>
      </c>
      <c r="R1209">
        <v>3</v>
      </c>
      <c r="S1209" t="s">
        <v>25</v>
      </c>
    </row>
    <row r="1210" spans="1:19" x14ac:dyDescent="0.25">
      <c r="A1210">
        <v>11209</v>
      </c>
      <c r="B1210">
        <v>23</v>
      </c>
      <c r="C1210" t="s">
        <v>31</v>
      </c>
      <c r="D1210" t="s">
        <v>20</v>
      </c>
      <c r="E1210" t="s">
        <v>33</v>
      </c>
      <c r="F1210" t="s">
        <v>39</v>
      </c>
      <c r="G1210" t="s">
        <v>23</v>
      </c>
      <c r="H1210">
        <v>28055</v>
      </c>
      <c r="I1210">
        <v>4137</v>
      </c>
      <c r="J1210">
        <v>18</v>
      </c>
      <c r="K1210">
        <v>12</v>
      </c>
      <c r="L1210">
        <v>3</v>
      </c>
      <c r="M1210" t="s">
        <v>25</v>
      </c>
      <c r="N1210">
        <v>2</v>
      </c>
      <c r="O1210">
        <v>11</v>
      </c>
      <c r="P1210">
        <v>20</v>
      </c>
      <c r="Q1210">
        <v>2</v>
      </c>
      <c r="R1210">
        <v>4</v>
      </c>
      <c r="S1210" t="s">
        <v>25</v>
      </c>
    </row>
    <row r="1211" spans="1:19" x14ac:dyDescent="0.25">
      <c r="A1211">
        <v>11210</v>
      </c>
      <c r="B1211">
        <v>52</v>
      </c>
      <c r="C1211" t="s">
        <v>19</v>
      </c>
      <c r="D1211" t="s">
        <v>20</v>
      </c>
      <c r="E1211" t="s">
        <v>36</v>
      </c>
      <c r="F1211" t="s">
        <v>22</v>
      </c>
      <c r="G1211" t="s">
        <v>30</v>
      </c>
      <c r="H1211">
        <v>66929</v>
      </c>
      <c r="I1211">
        <v>23268</v>
      </c>
      <c r="J1211">
        <v>18</v>
      </c>
      <c r="K1211">
        <v>2</v>
      </c>
      <c r="L1211">
        <v>3</v>
      </c>
      <c r="M1211" t="s">
        <v>25</v>
      </c>
      <c r="N1211">
        <v>3</v>
      </c>
      <c r="O1211">
        <v>12</v>
      </c>
      <c r="P1211">
        <v>49</v>
      </c>
      <c r="Q1211">
        <v>3</v>
      </c>
      <c r="R1211">
        <v>4</v>
      </c>
      <c r="S1211" t="s">
        <v>25</v>
      </c>
    </row>
    <row r="1212" spans="1:19" x14ac:dyDescent="0.25">
      <c r="A1212">
        <v>11211</v>
      </c>
      <c r="B1212">
        <v>20</v>
      </c>
      <c r="C1212" t="s">
        <v>19</v>
      </c>
      <c r="D1212" t="s">
        <v>26</v>
      </c>
      <c r="E1212" t="s">
        <v>27</v>
      </c>
      <c r="F1212" t="s">
        <v>39</v>
      </c>
      <c r="G1212" t="s">
        <v>38</v>
      </c>
      <c r="H1212">
        <v>70205</v>
      </c>
      <c r="I1212">
        <v>38726</v>
      </c>
      <c r="J1212">
        <v>11</v>
      </c>
      <c r="K1212">
        <v>5</v>
      </c>
      <c r="L1212">
        <v>4</v>
      </c>
      <c r="M1212" t="s">
        <v>25</v>
      </c>
      <c r="N1212">
        <v>3</v>
      </c>
      <c r="O1212">
        <v>6</v>
      </c>
      <c r="P1212">
        <v>32</v>
      </c>
      <c r="Q1212">
        <v>4</v>
      </c>
      <c r="R1212">
        <v>2</v>
      </c>
      <c r="S1212" t="s">
        <v>25</v>
      </c>
    </row>
    <row r="1213" spans="1:19" x14ac:dyDescent="0.25">
      <c r="A1213">
        <v>11212</v>
      </c>
      <c r="B1213">
        <v>27</v>
      </c>
      <c r="C1213" t="s">
        <v>19</v>
      </c>
      <c r="D1213" t="s">
        <v>20</v>
      </c>
      <c r="E1213" t="s">
        <v>36</v>
      </c>
      <c r="F1213" t="s">
        <v>39</v>
      </c>
      <c r="G1213" t="s">
        <v>30</v>
      </c>
      <c r="H1213">
        <v>46958</v>
      </c>
      <c r="I1213">
        <v>14272</v>
      </c>
      <c r="J1213">
        <v>9</v>
      </c>
      <c r="K1213">
        <v>6</v>
      </c>
      <c r="L1213">
        <v>5</v>
      </c>
      <c r="M1213" t="s">
        <v>24</v>
      </c>
      <c r="N1213">
        <v>1</v>
      </c>
      <c r="O1213">
        <v>15</v>
      </c>
      <c r="P1213">
        <v>50</v>
      </c>
      <c r="Q1213">
        <v>3</v>
      </c>
      <c r="R1213">
        <v>3</v>
      </c>
      <c r="S1213" t="s">
        <v>24</v>
      </c>
    </row>
    <row r="1214" spans="1:19" x14ac:dyDescent="0.25">
      <c r="A1214">
        <v>11213</v>
      </c>
      <c r="B1214">
        <v>57</v>
      </c>
      <c r="C1214" t="s">
        <v>31</v>
      </c>
      <c r="D1214" t="s">
        <v>34</v>
      </c>
      <c r="E1214" t="s">
        <v>21</v>
      </c>
      <c r="F1214" t="s">
        <v>35</v>
      </c>
      <c r="G1214" t="s">
        <v>30</v>
      </c>
      <c r="H1214">
        <v>90964</v>
      </c>
      <c r="I1214">
        <v>34486</v>
      </c>
      <c r="J1214">
        <v>0</v>
      </c>
      <c r="K1214">
        <v>12</v>
      </c>
      <c r="L1214">
        <v>2</v>
      </c>
      <c r="M1214" t="s">
        <v>25</v>
      </c>
      <c r="N1214">
        <v>2</v>
      </c>
      <c r="O1214">
        <v>16</v>
      </c>
      <c r="P1214">
        <v>25</v>
      </c>
      <c r="Q1214">
        <v>3</v>
      </c>
      <c r="R1214">
        <v>2</v>
      </c>
      <c r="S1214" t="s">
        <v>25</v>
      </c>
    </row>
    <row r="1215" spans="1:19" x14ac:dyDescent="0.25">
      <c r="A1215">
        <v>11214</v>
      </c>
      <c r="B1215">
        <v>31</v>
      </c>
      <c r="C1215" t="s">
        <v>19</v>
      </c>
      <c r="D1215" t="s">
        <v>20</v>
      </c>
      <c r="E1215" t="s">
        <v>29</v>
      </c>
      <c r="F1215" t="s">
        <v>39</v>
      </c>
      <c r="G1215" t="s">
        <v>38</v>
      </c>
      <c r="H1215">
        <v>156939</v>
      </c>
      <c r="I1215">
        <v>7242</v>
      </c>
      <c r="J1215">
        <v>21</v>
      </c>
      <c r="K1215">
        <v>3</v>
      </c>
      <c r="L1215">
        <v>5</v>
      </c>
      <c r="M1215" t="s">
        <v>25</v>
      </c>
      <c r="N1215">
        <v>2</v>
      </c>
      <c r="O1215">
        <v>39</v>
      </c>
      <c r="P1215">
        <v>40</v>
      </c>
      <c r="Q1215">
        <v>4</v>
      </c>
      <c r="R1215">
        <v>4</v>
      </c>
      <c r="S1215" t="s">
        <v>25</v>
      </c>
    </row>
    <row r="1216" spans="1:19" x14ac:dyDescent="0.25">
      <c r="A1216">
        <v>11215</v>
      </c>
      <c r="B1216">
        <v>50</v>
      </c>
      <c r="C1216" t="s">
        <v>19</v>
      </c>
      <c r="D1216" t="s">
        <v>34</v>
      </c>
      <c r="E1216" t="s">
        <v>21</v>
      </c>
      <c r="F1216" t="s">
        <v>39</v>
      </c>
      <c r="G1216" t="s">
        <v>38</v>
      </c>
      <c r="H1216">
        <v>119044</v>
      </c>
      <c r="I1216">
        <v>48867</v>
      </c>
      <c r="J1216">
        <v>18</v>
      </c>
      <c r="K1216">
        <v>13</v>
      </c>
      <c r="L1216">
        <v>4</v>
      </c>
      <c r="M1216" t="s">
        <v>25</v>
      </c>
      <c r="N1216">
        <v>4</v>
      </c>
      <c r="O1216">
        <v>37</v>
      </c>
      <c r="P1216">
        <v>13</v>
      </c>
      <c r="Q1216">
        <v>3</v>
      </c>
      <c r="R1216">
        <v>4</v>
      </c>
      <c r="S1216" t="s">
        <v>25</v>
      </c>
    </row>
    <row r="1217" spans="1:19" x14ac:dyDescent="0.25">
      <c r="A1217">
        <v>11216</v>
      </c>
      <c r="B1217">
        <v>56</v>
      </c>
      <c r="C1217" t="s">
        <v>19</v>
      </c>
      <c r="D1217" t="s">
        <v>28</v>
      </c>
      <c r="E1217" t="s">
        <v>33</v>
      </c>
      <c r="F1217" t="s">
        <v>35</v>
      </c>
      <c r="G1217" t="s">
        <v>30</v>
      </c>
      <c r="H1217">
        <v>33319</v>
      </c>
      <c r="I1217">
        <v>38283</v>
      </c>
      <c r="J1217">
        <v>4</v>
      </c>
      <c r="K1217">
        <v>9</v>
      </c>
      <c r="L1217">
        <v>5</v>
      </c>
      <c r="M1217" t="s">
        <v>25</v>
      </c>
      <c r="N1217">
        <v>4</v>
      </c>
      <c r="O1217">
        <v>33</v>
      </c>
      <c r="P1217">
        <v>43</v>
      </c>
      <c r="Q1217">
        <v>4</v>
      </c>
      <c r="R1217">
        <v>3</v>
      </c>
      <c r="S1217" t="s">
        <v>25</v>
      </c>
    </row>
    <row r="1218" spans="1:19" x14ac:dyDescent="0.25">
      <c r="A1218">
        <v>11217</v>
      </c>
      <c r="B1218">
        <v>49</v>
      </c>
      <c r="C1218" t="s">
        <v>19</v>
      </c>
      <c r="D1218" t="s">
        <v>20</v>
      </c>
      <c r="E1218" t="s">
        <v>33</v>
      </c>
      <c r="F1218" t="s">
        <v>39</v>
      </c>
      <c r="G1218" t="s">
        <v>30</v>
      </c>
      <c r="H1218">
        <v>40114</v>
      </c>
      <c r="I1218">
        <v>42326</v>
      </c>
      <c r="J1218">
        <v>10</v>
      </c>
      <c r="K1218">
        <v>1</v>
      </c>
      <c r="L1218">
        <v>3</v>
      </c>
      <c r="M1218" t="s">
        <v>24</v>
      </c>
      <c r="N1218">
        <v>2</v>
      </c>
      <c r="O1218">
        <v>11</v>
      </c>
      <c r="P1218">
        <v>49</v>
      </c>
      <c r="Q1218">
        <v>3</v>
      </c>
      <c r="R1218">
        <v>2</v>
      </c>
      <c r="S1218" t="s">
        <v>25</v>
      </c>
    </row>
    <row r="1219" spans="1:19" x14ac:dyDescent="0.25">
      <c r="A1219">
        <v>11218</v>
      </c>
      <c r="B1219">
        <v>23</v>
      </c>
      <c r="C1219" t="s">
        <v>19</v>
      </c>
      <c r="D1219" t="s">
        <v>41</v>
      </c>
      <c r="E1219" t="s">
        <v>27</v>
      </c>
      <c r="F1219" t="s">
        <v>35</v>
      </c>
      <c r="G1219" t="s">
        <v>30</v>
      </c>
      <c r="H1219">
        <v>60230</v>
      </c>
      <c r="I1219">
        <v>30000</v>
      </c>
      <c r="J1219">
        <v>17</v>
      </c>
      <c r="K1219">
        <v>0</v>
      </c>
      <c r="L1219">
        <v>4</v>
      </c>
      <c r="M1219" t="s">
        <v>25</v>
      </c>
      <c r="N1219">
        <v>1</v>
      </c>
      <c r="O1219">
        <v>12</v>
      </c>
      <c r="P1219">
        <v>26</v>
      </c>
      <c r="Q1219">
        <v>1</v>
      </c>
      <c r="R1219">
        <v>2</v>
      </c>
      <c r="S1219" t="s">
        <v>24</v>
      </c>
    </row>
    <row r="1220" spans="1:19" x14ac:dyDescent="0.25">
      <c r="A1220">
        <v>11219</v>
      </c>
      <c r="B1220">
        <v>36</v>
      </c>
      <c r="C1220" t="s">
        <v>19</v>
      </c>
      <c r="D1220" t="s">
        <v>28</v>
      </c>
      <c r="E1220" t="s">
        <v>40</v>
      </c>
      <c r="F1220" t="s">
        <v>35</v>
      </c>
      <c r="G1220" t="s">
        <v>23</v>
      </c>
      <c r="H1220">
        <v>11543</v>
      </c>
      <c r="I1220">
        <v>9332</v>
      </c>
      <c r="J1220">
        <v>7</v>
      </c>
      <c r="K1220">
        <v>5</v>
      </c>
      <c r="L1220">
        <v>4</v>
      </c>
      <c r="M1220" t="s">
        <v>24</v>
      </c>
      <c r="N1220">
        <v>3</v>
      </c>
      <c r="O1220">
        <v>17</v>
      </c>
      <c r="P1220">
        <v>12</v>
      </c>
      <c r="Q1220">
        <v>3</v>
      </c>
      <c r="R1220">
        <v>3</v>
      </c>
      <c r="S1220" t="s">
        <v>25</v>
      </c>
    </row>
    <row r="1221" spans="1:19" x14ac:dyDescent="0.25">
      <c r="A1221">
        <v>11220</v>
      </c>
      <c r="B1221">
        <v>50</v>
      </c>
      <c r="C1221" t="s">
        <v>31</v>
      </c>
      <c r="D1221" t="s">
        <v>41</v>
      </c>
      <c r="E1221" t="s">
        <v>21</v>
      </c>
      <c r="F1221" t="s">
        <v>22</v>
      </c>
      <c r="G1221" t="s">
        <v>23</v>
      </c>
      <c r="H1221">
        <v>104628</v>
      </c>
      <c r="I1221">
        <v>19425</v>
      </c>
      <c r="J1221">
        <v>3</v>
      </c>
      <c r="K1221">
        <v>2</v>
      </c>
      <c r="L1221">
        <v>1</v>
      </c>
      <c r="M1221" t="s">
        <v>25</v>
      </c>
      <c r="N1221">
        <v>4</v>
      </c>
      <c r="O1221">
        <v>6</v>
      </c>
      <c r="P1221">
        <v>59</v>
      </c>
      <c r="Q1221">
        <v>4</v>
      </c>
      <c r="R1221">
        <v>3</v>
      </c>
      <c r="S1221" t="s">
        <v>25</v>
      </c>
    </row>
    <row r="1222" spans="1:19" x14ac:dyDescent="0.25">
      <c r="A1222">
        <v>11221</v>
      </c>
      <c r="B1222">
        <v>51</v>
      </c>
      <c r="C1222" t="s">
        <v>19</v>
      </c>
      <c r="D1222" t="s">
        <v>20</v>
      </c>
      <c r="E1222" t="s">
        <v>33</v>
      </c>
      <c r="F1222" t="s">
        <v>39</v>
      </c>
      <c r="G1222" t="s">
        <v>38</v>
      </c>
      <c r="H1222">
        <v>40058</v>
      </c>
      <c r="I1222">
        <v>40986</v>
      </c>
      <c r="J1222">
        <v>2</v>
      </c>
      <c r="K1222">
        <v>11</v>
      </c>
      <c r="L1222">
        <v>3</v>
      </c>
      <c r="M1222" t="s">
        <v>24</v>
      </c>
      <c r="N1222">
        <v>4</v>
      </c>
      <c r="O1222">
        <v>18</v>
      </c>
      <c r="P1222">
        <v>17</v>
      </c>
      <c r="Q1222">
        <v>1</v>
      </c>
      <c r="R1222">
        <v>2</v>
      </c>
      <c r="S1222" t="s">
        <v>25</v>
      </c>
    </row>
    <row r="1223" spans="1:19" x14ac:dyDescent="0.25">
      <c r="A1223">
        <v>11222</v>
      </c>
      <c r="B1223">
        <v>52</v>
      </c>
      <c r="C1223" t="s">
        <v>31</v>
      </c>
      <c r="D1223" t="s">
        <v>26</v>
      </c>
      <c r="E1223" t="s">
        <v>29</v>
      </c>
      <c r="F1223" t="s">
        <v>39</v>
      </c>
      <c r="G1223" t="s">
        <v>38</v>
      </c>
      <c r="H1223">
        <v>171940</v>
      </c>
      <c r="I1223">
        <v>18206</v>
      </c>
      <c r="J1223">
        <v>15</v>
      </c>
      <c r="K1223">
        <v>1</v>
      </c>
      <c r="L1223">
        <v>4</v>
      </c>
      <c r="M1223" t="s">
        <v>25</v>
      </c>
      <c r="N1223">
        <v>4</v>
      </c>
      <c r="O1223">
        <v>23</v>
      </c>
      <c r="P1223">
        <v>43</v>
      </c>
      <c r="Q1223">
        <v>3</v>
      </c>
      <c r="R1223">
        <v>4</v>
      </c>
      <c r="S1223" t="s">
        <v>25</v>
      </c>
    </row>
    <row r="1224" spans="1:19" x14ac:dyDescent="0.25">
      <c r="A1224">
        <v>11223</v>
      </c>
      <c r="B1224">
        <v>46</v>
      </c>
      <c r="C1224" t="s">
        <v>19</v>
      </c>
      <c r="D1224" t="s">
        <v>28</v>
      </c>
      <c r="E1224" t="s">
        <v>27</v>
      </c>
      <c r="F1224" t="s">
        <v>39</v>
      </c>
      <c r="G1224" t="s">
        <v>23</v>
      </c>
      <c r="H1224">
        <v>73616</v>
      </c>
      <c r="I1224">
        <v>15993</v>
      </c>
      <c r="J1224">
        <v>19</v>
      </c>
      <c r="K1224">
        <v>11</v>
      </c>
      <c r="L1224">
        <v>3</v>
      </c>
      <c r="M1224" t="s">
        <v>25</v>
      </c>
      <c r="N1224">
        <v>3</v>
      </c>
      <c r="O1224">
        <v>13</v>
      </c>
      <c r="P1224">
        <v>13</v>
      </c>
      <c r="Q1224">
        <v>1</v>
      </c>
      <c r="R1224">
        <v>3</v>
      </c>
      <c r="S1224" t="s">
        <v>25</v>
      </c>
    </row>
    <row r="1225" spans="1:19" x14ac:dyDescent="0.25">
      <c r="A1225">
        <v>11224</v>
      </c>
      <c r="B1225">
        <v>42</v>
      </c>
      <c r="C1225" t="s">
        <v>19</v>
      </c>
      <c r="D1225" t="s">
        <v>20</v>
      </c>
      <c r="E1225" t="s">
        <v>27</v>
      </c>
      <c r="F1225" t="s">
        <v>22</v>
      </c>
      <c r="G1225" t="s">
        <v>30</v>
      </c>
      <c r="H1225">
        <v>73710</v>
      </c>
      <c r="I1225">
        <v>19784</v>
      </c>
      <c r="J1225">
        <v>19</v>
      </c>
      <c r="K1225">
        <v>14</v>
      </c>
      <c r="L1225">
        <v>5</v>
      </c>
      <c r="M1225" t="s">
        <v>24</v>
      </c>
      <c r="N1225">
        <v>2</v>
      </c>
      <c r="O1225">
        <v>36</v>
      </c>
      <c r="P1225">
        <v>29</v>
      </c>
      <c r="Q1225">
        <v>4</v>
      </c>
      <c r="R1225">
        <v>4</v>
      </c>
      <c r="S1225" t="s">
        <v>25</v>
      </c>
    </row>
    <row r="1226" spans="1:19" x14ac:dyDescent="0.25">
      <c r="A1226">
        <v>11225</v>
      </c>
      <c r="B1226">
        <v>41</v>
      </c>
      <c r="C1226" t="s">
        <v>31</v>
      </c>
      <c r="D1226" t="s">
        <v>20</v>
      </c>
      <c r="E1226" t="s">
        <v>36</v>
      </c>
      <c r="F1226" t="s">
        <v>22</v>
      </c>
      <c r="G1226" t="s">
        <v>38</v>
      </c>
      <c r="H1226">
        <v>58930</v>
      </c>
      <c r="I1226">
        <v>2477</v>
      </c>
      <c r="J1226">
        <v>15</v>
      </c>
      <c r="K1226">
        <v>7</v>
      </c>
      <c r="L1226">
        <v>3</v>
      </c>
      <c r="M1226" t="s">
        <v>25</v>
      </c>
      <c r="N1226">
        <v>3</v>
      </c>
      <c r="O1226">
        <v>34</v>
      </c>
      <c r="P1226">
        <v>35</v>
      </c>
      <c r="Q1226">
        <v>4</v>
      </c>
      <c r="R1226">
        <v>2</v>
      </c>
      <c r="S1226" t="s">
        <v>25</v>
      </c>
    </row>
    <row r="1227" spans="1:19" x14ac:dyDescent="0.25">
      <c r="A1227">
        <v>11226</v>
      </c>
      <c r="B1227">
        <v>34</v>
      </c>
      <c r="C1227" t="s">
        <v>31</v>
      </c>
      <c r="D1227" t="s">
        <v>34</v>
      </c>
      <c r="E1227" t="s">
        <v>33</v>
      </c>
      <c r="F1227" t="s">
        <v>35</v>
      </c>
      <c r="G1227" t="s">
        <v>30</v>
      </c>
      <c r="H1227">
        <v>25544</v>
      </c>
      <c r="I1227">
        <v>16942</v>
      </c>
      <c r="J1227">
        <v>8</v>
      </c>
      <c r="K1227">
        <v>13</v>
      </c>
      <c r="L1227">
        <v>4</v>
      </c>
      <c r="M1227" t="s">
        <v>25</v>
      </c>
      <c r="N1227">
        <v>4</v>
      </c>
      <c r="O1227">
        <v>21</v>
      </c>
      <c r="P1227">
        <v>17</v>
      </c>
      <c r="Q1227">
        <v>4</v>
      </c>
      <c r="R1227">
        <v>3</v>
      </c>
      <c r="S1227" t="s">
        <v>25</v>
      </c>
    </row>
    <row r="1228" spans="1:19" x14ac:dyDescent="0.25">
      <c r="A1228">
        <v>11227</v>
      </c>
      <c r="B1228">
        <v>26</v>
      </c>
      <c r="C1228" t="s">
        <v>19</v>
      </c>
      <c r="D1228" t="s">
        <v>41</v>
      </c>
      <c r="E1228" t="s">
        <v>21</v>
      </c>
      <c r="F1228" t="s">
        <v>35</v>
      </c>
      <c r="G1228" t="s">
        <v>30</v>
      </c>
      <c r="H1228">
        <v>102166</v>
      </c>
      <c r="I1228">
        <v>3846</v>
      </c>
      <c r="J1228">
        <v>19</v>
      </c>
      <c r="K1228">
        <v>1</v>
      </c>
      <c r="L1228">
        <v>5</v>
      </c>
      <c r="M1228" t="s">
        <v>24</v>
      </c>
      <c r="N1228">
        <v>1</v>
      </c>
      <c r="O1228">
        <v>14</v>
      </c>
      <c r="P1228">
        <v>25</v>
      </c>
      <c r="Q1228">
        <v>2</v>
      </c>
      <c r="R1228">
        <v>3</v>
      </c>
      <c r="S1228" t="s">
        <v>25</v>
      </c>
    </row>
    <row r="1229" spans="1:19" x14ac:dyDescent="0.25">
      <c r="A1229">
        <v>11228</v>
      </c>
      <c r="B1229">
        <v>51</v>
      </c>
      <c r="C1229" t="s">
        <v>31</v>
      </c>
      <c r="D1229" t="s">
        <v>26</v>
      </c>
      <c r="E1229" t="s">
        <v>36</v>
      </c>
      <c r="F1229" t="s">
        <v>39</v>
      </c>
      <c r="G1229" t="s">
        <v>23</v>
      </c>
      <c r="H1229">
        <v>53805</v>
      </c>
      <c r="I1229">
        <v>30146</v>
      </c>
      <c r="J1229">
        <v>6</v>
      </c>
      <c r="K1229">
        <v>12</v>
      </c>
      <c r="L1229">
        <v>3</v>
      </c>
      <c r="M1229" t="s">
        <v>25</v>
      </c>
      <c r="N1229">
        <v>1</v>
      </c>
      <c r="O1229">
        <v>31</v>
      </c>
      <c r="P1229">
        <v>13</v>
      </c>
      <c r="Q1229">
        <v>4</v>
      </c>
      <c r="R1229">
        <v>1</v>
      </c>
      <c r="S1229" t="s">
        <v>24</v>
      </c>
    </row>
    <row r="1230" spans="1:19" x14ac:dyDescent="0.25">
      <c r="A1230">
        <v>11229</v>
      </c>
      <c r="B1230">
        <v>36</v>
      </c>
      <c r="C1230" t="s">
        <v>19</v>
      </c>
      <c r="D1230" t="s">
        <v>20</v>
      </c>
      <c r="E1230" t="s">
        <v>21</v>
      </c>
      <c r="F1230" t="s">
        <v>37</v>
      </c>
      <c r="G1230" t="s">
        <v>30</v>
      </c>
      <c r="H1230">
        <v>119469</v>
      </c>
      <c r="I1230">
        <v>35175</v>
      </c>
      <c r="J1230">
        <v>0</v>
      </c>
      <c r="K1230">
        <v>0</v>
      </c>
      <c r="L1230">
        <v>3</v>
      </c>
      <c r="M1230" t="s">
        <v>24</v>
      </c>
      <c r="N1230">
        <v>3</v>
      </c>
      <c r="O1230">
        <v>30</v>
      </c>
      <c r="P1230">
        <v>43</v>
      </c>
      <c r="Q1230">
        <v>2</v>
      </c>
      <c r="R1230">
        <v>3</v>
      </c>
      <c r="S1230" t="s">
        <v>25</v>
      </c>
    </row>
    <row r="1231" spans="1:19" x14ac:dyDescent="0.25">
      <c r="A1231">
        <v>11230</v>
      </c>
      <c r="B1231">
        <v>23</v>
      </c>
      <c r="C1231" t="s">
        <v>19</v>
      </c>
      <c r="D1231" t="s">
        <v>20</v>
      </c>
      <c r="E1231" t="s">
        <v>33</v>
      </c>
      <c r="F1231" t="s">
        <v>35</v>
      </c>
      <c r="G1231" t="s">
        <v>38</v>
      </c>
      <c r="H1231">
        <v>36012</v>
      </c>
      <c r="I1231">
        <v>44310</v>
      </c>
      <c r="J1231">
        <v>0</v>
      </c>
      <c r="K1231">
        <v>1</v>
      </c>
      <c r="L1231">
        <v>4</v>
      </c>
      <c r="M1231" t="s">
        <v>25</v>
      </c>
      <c r="N1231">
        <v>4</v>
      </c>
      <c r="O1231">
        <v>30</v>
      </c>
      <c r="P1231">
        <v>33</v>
      </c>
      <c r="Q1231">
        <v>1</v>
      </c>
      <c r="R1231">
        <v>1</v>
      </c>
      <c r="S1231" t="s">
        <v>25</v>
      </c>
    </row>
    <row r="1232" spans="1:19" x14ac:dyDescent="0.25">
      <c r="A1232">
        <v>11231</v>
      </c>
      <c r="B1232">
        <v>46</v>
      </c>
      <c r="C1232" t="s">
        <v>31</v>
      </c>
      <c r="D1232" t="s">
        <v>20</v>
      </c>
      <c r="E1232" t="s">
        <v>27</v>
      </c>
      <c r="F1232" t="s">
        <v>37</v>
      </c>
      <c r="G1232" t="s">
        <v>38</v>
      </c>
      <c r="H1232">
        <v>61857</v>
      </c>
      <c r="I1232">
        <v>18540</v>
      </c>
      <c r="J1232">
        <v>13</v>
      </c>
      <c r="K1232">
        <v>4</v>
      </c>
      <c r="L1232">
        <v>3</v>
      </c>
      <c r="M1232" t="s">
        <v>24</v>
      </c>
      <c r="N1232">
        <v>2</v>
      </c>
      <c r="O1232">
        <v>8</v>
      </c>
      <c r="P1232">
        <v>48</v>
      </c>
      <c r="Q1232">
        <v>3</v>
      </c>
      <c r="R1232">
        <v>2</v>
      </c>
      <c r="S1232" t="s">
        <v>25</v>
      </c>
    </row>
    <row r="1233" spans="1:19" x14ac:dyDescent="0.25">
      <c r="A1233">
        <v>11232</v>
      </c>
      <c r="B1233">
        <v>23</v>
      </c>
      <c r="C1233" t="s">
        <v>31</v>
      </c>
      <c r="D1233" t="s">
        <v>20</v>
      </c>
      <c r="E1233" t="s">
        <v>33</v>
      </c>
      <c r="F1233" t="s">
        <v>35</v>
      </c>
      <c r="G1233" t="s">
        <v>38</v>
      </c>
      <c r="H1233">
        <v>31221</v>
      </c>
      <c r="I1233">
        <v>43893</v>
      </c>
      <c r="J1233">
        <v>8</v>
      </c>
      <c r="K1233">
        <v>9</v>
      </c>
      <c r="L1233">
        <v>3</v>
      </c>
      <c r="M1233" t="s">
        <v>25</v>
      </c>
      <c r="N1233">
        <v>3</v>
      </c>
      <c r="O1233">
        <v>7</v>
      </c>
      <c r="P1233">
        <v>13</v>
      </c>
      <c r="Q1233">
        <v>4</v>
      </c>
      <c r="R1233">
        <v>4</v>
      </c>
      <c r="S1233" t="s">
        <v>25</v>
      </c>
    </row>
    <row r="1234" spans="1:19" x14ac:dyDescent="0.25">
      <c r="A1234">
        <v>11233</v>
      </c>
      <c r="B1234">
        <v>21</v>
      </c>
      <c r="C1234" t="s">
        <v>19</v>
      </c>
      <c r="D1234" t="s">
        <v>34</v>
      </c>
      <c r="E1234" t="s">
        <v>36</v>
      </c>
      <c r="F1234" t="s">
        <v>39</v>
      </c>
      <c r="G1234" t="s">
        <v>30</v>
      </c>
      <c r="H1234">
        <v>62931</v>
      </c>
      <c r="I1234">
        <v>13369</v>
      </c>
      <c r="J1234">
        <v>12</v>
      </c>
      <c r="K1234">
        <v>4</v>
      </c>
      <c r="L1234">
        <v>4</v>
      </c>
      <c r="M1234" t="s">
        <v>25</v>
      </c>
      <c r="N1234">
        <v>1</v>
      </c>
      <c r="O1234">
        <v>17</v>
      </c>
      <c r="P1234">
        <v>12</v>
      </c>
      <c r="Q1234">
        <v>3</v>
      </c>
      <c r="R1234">
        <v>2</v>
      </c>
      <c r="S1234" t="s">
        <v>24</v>
      </c>
    </row>
    <row r="1235" spans="1:19" x14ac:dyDescent="0.25">
      <c r="A1235">
        <v>11234</v>
      </c>
      <c r="B1235">
        <v>23</v>
      </c>
      <c r="C1235" t="s">
        <v>19</v>
      </c>
      <c r="D1235" t="s">
        <v>32</v>
      </c>
      <c r="E1235" t="s">
        <v>36</v>
      </c>
      <c r="F1235" t="s">
        <v>39</v>
      </c>
      <c r="G1235" t="s">
        <v>38</v>
      </c>
      <c r="H1235">
        <v>45202</v>
      </c>
      <c r="I1235">
        <v>40324</v>
      </c>
      <c r="J1235">
        <v>8</v>
      </c>
      <c r="K1235">
        <v>3</v>
      </c>
      <c r="L1235">
        <v>5</v>
      </c>
      <c r="M1235" t="s">
        <v>25</v>
      </c>
      <c r="N1235">
        <v>2</v>
      </c>
      <c r="O1235">
        <v>3</v>
      </c>
      <c r="P1235">
        <v>9</v>
      </c>
      <c r="Q1235">
        <v>1</v>
      </c>
      <c r="R1235">
        <v>1</v>
      </c>
      <c r="S1235" t="s">
        <v>24</v>
      </c>
    </row>
    <row r="1236" spans="1:19" x14ac:dyDescent="0.25">
      <c r="A1236">
        <v>11235</v>
      </c>
      <c r="B1236">
        <v>54</v>
      </c>
      <c r="C1236" t="s">
        <v>19</v>
      </c>
      <c r="D1236" t="s">
        <v>34</v>
      </c>
      <c r="E1236" t="s">
        <v>27</v>
      </c>
      <c r="F1236" t="s">
        <v>35</v>
      </c>
      <c r="G1236" t="s">
        <v>38</v>
      </c>
      <c r="H1236">
        <v>80454</v>
      </c>
      <c r="I1236">
        <v>32270</v>
      </c>
      <c r="J1236">
        <v>14</v>
      </c>
      <c r="K1236">
        <v>14</v>
      </c>
      <c r="L1236">
        <v>3</v>
      </c>
      <c r="M1236" t="s">
        <v>25</v>
      </c>
      <c r="N1236">
        <v>3</v>
      </c>
      <c r="O1236">
        <v>7</v>
      </c>
      <c r="P1236">
        <v>9</v>
      </c>
      <c r="Q1236">
        <v>3</v>
      </c>
      <c r="R1236">
        <v>3</v>
      </c>
      <c r="S1236" t="s">
        <v>25</v>
      </c>
    </row>
    <row r="1237" spans="1:19" x14ac:dyDescent="0.25">
      <c r="A1237">
        <v>11236</v>
      </c>
      <c r="B1237">
        <v>55</v>
      </c>
      <c r="C1237" t="s">
        <v>19</v>
      </c>
      <c r="D1237" t="s">
        <v>34</v>
      </c>
      <c r="E1237" t="s">
        <v>36</v>
      </c>
      <c r="F1237" t="s">
        <v>39</v>
      </c>
      <c r="G1237" t="s">
        <v>23</v>
      </c>
      <c r="H1237">
        <v>61551</v>
      </c>
      <c r="I1237">
        <v>44967</v>
      </c>
      <c r="J1237">
        <v>10</v>
      </c>
      <c r="K1237">
        <v>11</v>
      </c>
      <c r="L1237">
        <v>3</v>
      </c>
      <c r="M1237" t="s">
        <v>25</v>
      </c>
      <c r="N1237">
        <v>3</v>
      </c>
      <c r="O1237">
        <v>1</v>
      </c>
      <c r="P1237">
        <v>7</v>
      </c>
      <c r="Q1237">
        <v>3</v>
      </c>
      <c r="R1237">
        <v>2</v>
      </c>
      <c r="S1237" t="s">
        <v>25</v>
      </c>
    </row>
    <row r="1238" spans="1:19" x14ac:dyDescent="0.25">
      <c r="A1238">
        <v>11237</v>
      </c>
      <c r="B1238">
        <v>45</v>
      </c>
      <c r="C1238" t="s">
        <v>19</v>
      </c>
      <c r="D1238" t="s">
        <v>41</v>
      </c>
      <c r="E1238" t="s">
        <v>40</v>
      </c>
      <c r="F1238" t="s">
        <v>39</v>
      </c>
      <c r="G1238" t="s">
        <v>30</v>
      </c>
      <c r="H1238">
        <v>11371</v>
      </c>
      <c r="I1238">
        <v>4274</v>
      </c>
      <c r="J1238">
        <v>6</v>
      </c>
      <c r="K1238">
        <v>6</v>
      </c>
      <c r="L1238">
        <v>3</v>
      </c>
      <c r="M1238" t="s">
        <v>25</v>
      </c>
      <c r="N1238">
        <v>3</v>
      </c>
      <c r="O1238">
        <v>21</v>
      </c>
      <c r="P1238">
        <v>17</v>
      </c>
      <c r="Q1238">
        <v>1</v>
      </c>
      <c r="R1238">
        <v>2</v>
      </c>
      <c r="S1238" t="s">
        <v>24</v>
      </c>
    </row>
    <row r="1239" spans="1:19" x14ac:dyDescent="0.25">
      <c r="A1239">
        <v>11238</v>
      </c>
      <c r="B1239">
        <v>24</v>
      </c>
      <c r="C1239" t="s">
        <v>19</v>
      </c>
      <c r="D1239" t="s">
        <v>20</v>
      </c>
      <c r="E1239" t="s">
        <v>29</v>
      </c>
      <c r="F1239" t="s">
        <v>22</v>
      </c>
      <c r="G1239" t="s">
        <v>38</v>
      </c>
      <c r="H1239">
        <v>146011</v>
      </c>
      <c r="I1239">
        <v>8752</v>
      </c>
      <c r="J1239">
        <v>10</v>
      </c>
      <c r="K1239">
        <v>14</v>
      </c>
      <c r="L1239">
        <v>3</v>
      </c>
      <c r="M1239" t="s">
        <v>25</v>
      </c>
      <c r="N1239">
        <v>4</v>
      </c>
      <c r="O1239">
        <v>35</v>
      </c>
      <c r="P1239">
        <v>36</v>
      </c>
      <c r="Q1239">
        <v>3</v>
      </c>
      <c r="R1239">
        <v>2</v>
      </c>
      <c r="S1239" t="s">
        <v>25</v>
      </c>
    </row>
    <row r="1240" spans="1:19" x14ac:dyDescent="0.25">
      <c r="A1240">
        <v>11239</v>
      </c>
      <c r="B1240">
        <v>20</v>
      </c>
      <c r="C1240" t="s">
        <v>19</v>
      </c>
      <c r="D1240" t="s">
        <v>26</v>
      </c>
      <c r="E1240" t="s">
        <v>36</v>
      </c>
      <c r="F1240" t="s">
        <v>39</v>
      </c>
      <c r="G1240" t="s">
        <v>38</v>
      </c>
      <c r="H1240">
        <v>52486</v>
      </c>
      <c r="I1240">
        <v>48855</v>
      </c>
      <c r="J1240">
        <v>4</v>
      </c>
      <c r="K1240">
        <v>9</v>
      </c>
      <c r="L1240">
        <v>3</v>
      </c>
      <c r="M1240" t="s">
        <v>24</v>
      </c>
      <c r="N1240">
        <v>3</v>
      </c>
      <c r="O1240">
        <v>7</v>
      </c>
      <c r="P1240">
        <v>40</v>
      </c>
      <c r="Q1240">
        <v>3</v>
      </c>
      <c r="R1240">
        <v>3</v>
      </c>
      <c r="S1240" t="s">
        <v>25</v>
      </c>
    </row>
    <row r="1241" spans="1:19" x14ac:dyDescent="0.25">
      <c r="A1241">
        <v>11240</v>
      </c>
      <c r="B1241">
        <v>26</v>
      </c>
      <c r="C1241" t="s">
        <v>31</v>
      </c>
      <c r="D1241" t="s">
        <v>28</v>
      </c>
      <c r="E1241" t="s">
        <v>21</v>
      </c>
      <c r="F1241" t="s">
        <v>39</v>
      </c>
      <c r="G1241" t="s">
        <v>38</v>
      </c>
      <c r="H1241">
        <v>122401</v>
      </c>
      <c r="I1241">
        <v>8885</v>
      </c>
      <c r="J1241">
        <v>0</v>
      </c>
      <c r="K1241">
        <v>3</v>
      </c>
      <c r="L1241">
        <v>3</v>
      </c>
      <c r="M1241" t="s">
        <v>25</v>
      </c>
      <c r="N1241">
        <v>1</v>
      </c>
      <c r="O1241">
        <v>22</v>
      </c>
      <c r="P1241">
        <v>40</v>
      </c>
      <c r="Q1241">
        <v>4</v>
      </c>
      <c r="R1241">
        <v>3</v>
      </c>
      <c r="S1241" t="s">
        <v>25</v>
      </c>
    </row>
    <row r="1242" spans="1:19" x14ac:dyDescent="0.25">
      <c r="A1242">
        <v>11241</v>
      </c>
      <c r="B1242">
        <v>34</v>
      </c>
      <c r="C1242" t="s">
        <v>31</v>
      </c>
      <c r="D1242" t="s">
        <v>20</v>
      </c>
      <c r="E1242" t="s">
        <v>36</v>
      </c>
      <c r="F1242" t="s">
        <v>35</v>
      </c>
      <c r="G1242" t="s">
        <v>30</v>
      </c>
      <c r="H1242">
        <v>49275</v>
      </c>
      <c r="I1242">
        <v>10004</v>
      </c>
      <c r="J1242">
        <v>12</v>
      </c>
      <c r="K1242">
        <v>14</v>
      </c>
      <c r="L1242">
        <v>4</v>
      </c>
      <c r="M1242" t="s">
        <v>25</v>
      </c>
      <c r="N1242">
        <v>4</v>
      </c>
      <c r="O1242">
        <v>32</v>
      </c>
      <c r="P1242">
        <v>56</v>
      </c>
      <c r="Q1242">
        <v>2</v>
      </c>
      <c r="R1242">
        <v>2</v>
      </c>
      <c r="S1242" t="s">
        <v>24</v>
      </c>
    </row>
    <row r="1243" spans="1:19" x14ac:dyDescent="0.25">
      <c r="A1243">
        <v>11242</v>
      </c>
      <c r="B1243">
        <v>56</v>
      </c>
      <c r="C1243" t="s">
        <v>31</v>
      </c>
      <c r="D1243" t="s">
        <v>34</v>
      </c>
      <c r="E1243" t="s">
        <v>36</v>
      </c>
      <c r="F1243" t="s">
        <v>39</v>
      </c>
      <c r="G1243" t="s">
        <v>23</v>
      </c>
      <c r="H1243">
        <v>52997</v>
      </c>
      <c r="I1243">
        <v>36935</v>
      </c>
      <c r="J1243">
        <v>2</v>
      </c>
      <c r="K1243">
        <v>2</v>
      </c>
      <c r="L1243">
        <v>2</v>
      </c>
      <c r="M1243" t="s">
        <v>25</v>
      </c>
      <c r="N1243">
        <v>2</v>
      </c>
      <c r="O1243">
        <v>23</v>
      </c>
      <c r="P1243">
        <v>59</v>
      </c>
      <c r="Q1243">
        <v>2</v>
      </c>
      <c r="R1243">
        <v>3</v>
      </c>
      <c r="S1243" t="s">
        <v>25</v>
      </c>
    </row>
    <row r="1244" spans="1:19" x14ac:dyDescent="0.25">
      <c r="A1244">
        <v>11243</v>
      </c>
      <c r="B1244">
        <v>59</v>
      </c>
      <c r="C1244" t="s">
        <v>19</v>
      </c>
      <c r="D1244" t="s">
        <v>34</v>
      </c>
      <c r="E1244" t="s">
        <v>36</v>
      </c>
      <c r="F1244" t="s">
        <v>35</v>
      </c>
      <c r="G1244" t="s">
        <v>30</v>
      </c>
      <c r="H1244">
        <v>61956</v>
      </c>
      <c r="I1244">
        <v>45602</v>
      </c>
      <c r="J1244">
        <v>5</v>
      </c>
      <c r="K1244">
        <v>5</v>
      </c>
      <c r="L1244">
        <v>5</v>
      </c>
      <c r="M1244" t="s">
        <v>25</v>
      </c>
      <c r="N1244">
        <v>1</v>
      </c>
      <c r="O1244">
        <v>34</v>
      </c>
      <c r="P1244">
        <v>43</v>
      </c>
      <c r="Q1244">
        <v>3</v>
      </c>
      <c r="R1244">
        <v>1</v>
      </c>
      <c r="S1244" t="s">
        <v>24</v>
      </c>
    </row>
    <row r="1245" spans="1:19" x14ac:dyDescent="0.25">
      <c r="A1245">
        <v>11244</v>
      </c>
      <c r="B1245">
        <v>48</v>
      </c>
      <c r="C1245" t="s">
        <v>19</v>
      </c>
      <c r="D1245" t="s">
        <v>20</v>
      </c>
      <c r="E1245" t="s">
        <v>21</v>
      </c>
      <c r="F1245" t="s">
        <v>39</v>
      </c>
      <c r="G1245" t="s">
        <v>23</v>
      </c>
      <c r="H1245">
        <v>118022</v>
      </c>
      <c r="I1245">
        <v>4736</v>
      </c>
      <c r="J1245">
        <v>17</v>
      </c>
      <c r="K1245">
        <v>3</v>
      </c>
      <c r="L1245">
        <v>3</v>
      </c>
      <c r="M1245" t="s">
        <v>25</v>
      </c>
      <c r="N1245">
        <v>2</v>
      </c>
      <c r="O1245">
        <v>32</v>
      </c>
      <c r="P1245">
        <v>14</v>
      </c>
      <c r="Q1245">
        <v>1</v>
      </c>
      <c r="R1245">
        <v>1</v>
      </c>
      <c r="S1245" t="s">
        <v>25</v>
      </c>
    </row>
    <row r="1246" spans="1:19" x14ac:dyDescent="0.25">
      <c r="A1246">
        <v>11245</v>
      </c>
      <c r="B1246">
        <v>33</v>
      </c>
      <c r="C1246" t="s">
        <v>31</v>
      </c>
      <c r="D1246" t="s">
        <v>20</v>
      </c>
      <c r="E1246" t="s">
        <v>40</v>
      </c>
      <c r="F1246" t="s">
        <v>35</v>
      </c>
      <c r="G1246" t="s">
        <v>30</v>
      </c>
      <c r="H1246">
        <v>19944</v>
      </c>
      <c r="I1246">
        <v>36389</v>
      </c>
      <c r="J1246">
        <v>14</v>
      </c>
      <c r="K1246">
        <v>14</v>
      </c>
      <c r="L1246">
        <v>4</v>
      </c>
      <c r="M1246" t="s">
        <v>25</v>
      </c>
      <c r="N1246">
        <v>1</v>
      </c>
      <c r="O1246">
        <v>5</v>
      </c>
      <c r="P1246">
        <v>31</v>
      </c>
      <c r="Q1246">
        <v>3</v>
      </c>
      <c r="R1246">
        <v>2</v>
      </c>
      <c r="S1246" t="s">
        <v>24</v>
      </c>
    </row>
    <row r="1247" spans="1:19" x14ac:dyDescent="0.25">
      <c r="A1247">
        <v>11246</v>
      </c>
      <c r="B1247">
        <v>50</v>
      </c>
      <c r="C1247" t="s">
        <v>31</v>
      </c>
      <c r="D1247" t="s">
        <v>32</v>
      </c>
      <c r="E1247" t="s">
        <v>36</v>
      </c>
      <c r="F1247" t="s">
        <v>35</v>
      </c>
      <c r="G1247" t="s">
        <v>30</v>
      </c>
      <c r="H1247">
        <v>52818</v>
      </c>
      <c r="I1247">
        <v>39583</v>
      </c>
      <c r="J1247">
        <v>15</v>
      </c>
      <c r="K1247">
        <v>4</v>
      </c>
      <c r="L1247">
        <v>3</v>
      </c>
      <c r="M1247" t="s">
        <v>25</v>
      </c>
      <c r="N1247">
        <v>3</v>
      </c>
      <c r="O1247">
        <v>36</v>
      </c>
      <c r="P1247">
        <v>19</v>
      </c>
      <c r="Q1247">
        <v>2</v>
      </c>
      <c r="R1247">
        <v>3</v>
      </c>
      <c r="S1247" t="s">
        <v>25</v>
      </c>
    </row>
    <row r="1248" spans="1:19" x14ac:dyDescent="0.25">
      <c r="A1248">
        <v>11247</v>
      </c>
      <c r="B1248">
        <v>24</v>
      </c>
      <c r="C1248" t="s">
        <v>19</v>
      </c>
      <c r="D1248" t="s">
        <v>20</v>
      </c>
      <c r="E1248" t="s">
        <v>40</v>
      </c>
      <c r="F1248" t="s">
        <v>39</v>
      </c>
      <c r="G1248" t="s">
        <v>38</v>
      </c>
      <c r="H1248">
        <v>14439</v>
      </c>
      <c r="I1248">
        <v>46441</v>
      </c>
      <c r="J1248">
        <v>8</v>
      </c>
      <c r="K1248">
        <v>3</v>
      </c>
      <c r="L1248">
        <v>4</v>
      </c>
      <c r="M1248" t="s">
        <v>25</v>
      </c>
      <c r="N1248">
        <v>2</v>
      </c>
      <c r="O1248">
        <v>11</v>
      </c>
      <c r="P1248">
        <v>7</v>
      </c>
      <c r="Q1248">
        <v>3</v>
      </c>
      <c r="R1248">
        <v>2</v>
      </c>
      <c r="S1248" t="s">
        <v>25</v>
      </c>
    </row>
    <row r="1249" spans="1:19" x14ac:dyDescent="0.25">
      <c r="A1249">
        <v>11248</v>
      </c>
      <c r="B1249">
        <v>28</v>
      </c>
      <c r="C1249" t="s">
        <v>19</v>
      </c>
      <c r="D1249" t="s">
        <v>20</v>
      </c>
      <c r="E1249" t="s">
        <v>36</v>
      </c>
      <c r="F1249" t="s">
        <v>37</v>
      </c>
      <c r="G1249" t="s">
        <v>30</v>
      </c>
      <c r="H1249">
        <v>48355</v>
      </c>
      <c r="I1249">
        <v>21620</v>
      </c>
      <c r="J1249">
        <v>24</v>
      </c>
      <c r="K1249">
        <v>10</v>
      </c>
      <c r="L1249">
        <v>3</v>
      </c>
      <c r="M1249" t="s">
        <v>24</v>
      </c>
      <c r="N1249">
        <v>4</v>
      </c>
      <c r="O1249">
        <v>27</v>
      </c>
      <c r="P1249">
        <v>6</v>
      </c>
      <c r="Q1249">
        <v>3</v>
      </c>
      <c r="R1249">
        <v>2</v>
      </c>
      <c r="S1249" t="s">
        <v>25</v>
      </c>
    </row>
    <row r="1250" spans="1:19" x14ac:dyDescent="0.25">
      <c r="A1250">
        <v>11249</v>
      </c>
      <c r="B1250">
        <v>59</v>
      </c>
      <c r="C1250" t="s">
        <v>31</v>
      </c>
      <c r="D1250" t="s">
        <v>20</v>
      </c>
      <c r="E1250" t="s">
        <v>33</v>
      </c>
      <c r="F1250" t="s">
        <v>39</v>
      </c>
      <c r="G1250" t="s">
        <v>30</v>
      </c>
      <c r="H1250">
        <v>35154</v>
      </c>
      <c r="I1250">
        <v>6639</v>
      </c>
      <c r="J1250">
        <v>14</v>
      </c>
      <c r="K1250">
        <v>14</v>
      </c>
      <c r="L1250">
        <v>3</v>
      </c>
      <c r="M1250" t="s">
        <v>24</v>
      </c>
      <c r="N1250">
        <v>3</v>
      </c>
      <c r="O1250">
        <v>22</v>
      </c>
      <c r="P1250">
        <v>27</v>
      </c>
      <c r="Q1250">
        <v>2</v>
      </c>
      <c r="R1250">
        <v>3</v>
      </c>
      <c r="S1250" t="s">
        <v>25</v>
      </c>
    </row>
    <row r="1251" spans="1:19" x14ac:dyDescent="0.25">
      <c r="A1251">
        <v>11250</v>
      </c>
      <c r="B1251">
        <v>45</v>
      </c>
      <c r="C1251" t="s">
        <v>19</v>
      </c>
      <c r="D1251" t="s">
        <v>34</v>
      </c>
      <c r="E1251" t="s">
        <v>36</v>
      </c>
      <c r="F1251" t="s">
        <v>39</v>
      </c>
      <c r="G1251" t="s">
        <v>30</v>
      </c>
      <c r="H1251">
        <v>47941</v>
      </c>
      <c r="I1251">
        <v>17144</v>
      </c>
      <c r="J1251">
        <v>5</v>
      </c>
      <c r="K1251">
        <v>7</v>
      </c>
      <c r="L1251">
        <v>3</v>
      </c>
      <c r="M1251" t="s">
        <v>25</v>
      </c>
      <c r="N1251">
        <v>1</v>
      </c>
      <c r="O1251">
        <v>34</v>
      </c>
      <c r="P1251">
        <v>23</v>
      </c>
      <c r="Q1251">
        <v>3</v>
      </c>
      <c r="R1251">
        <v>2</v>
      </c>
      <c r="S1251" t="s">
        <v>25</v>
      </c>
    </row>
    <row r="1252" spans="1:19" x14ac:dyDescent="0.25">
      <c r="A1252">
        <v>11251</v>
      </c>
      <c r="B1252">
        <v>21</v>
      </c>
      <c r="C1252" t="s">
        <v>19</v>
      </c>
      <c r="D1252" t="s">
        <v>41</v>
      </c>
      <c r="E1252" t="s">
        <v>33</v>
      </c>
      <c r="F1252" t="s">
        <v>22</v>
      </c>
      <c r="G1252" t="s">
        <v>23</v>
      </c>
      <c r="H1252">
        <v>34973</v>
      </c>
      <c r="I1252">
        <v>9071</v>
      </c>
      <c r="J1252">
        <v>0</v>
      </c>
      <c r="K1252">
        <v>0</v>
      </c>
      <c r="L1252">
        <v>3</v>
      </c>
      <c r="M1252" t="s">
        <v>25</v>
      </c>
      <c r="N1252">
        <v>1</v>
      </c>
      <c r="O1252">
        <v>18</v>
      </c>
      <c r="P1252">
        <v>26</v>
      </c>
      <c r="Q1252">
        <v>1</v>
      </c>
      <c r="R1252">
        <v>3</v>
      </c>
      <c r="S1252" t="s">
        <v>25</v>
      </c>
    </row>
    <row r="1253" spans="1:19" x14ac:dyDescent="0.25">
      <c r="A1253">
        <v>11252</v>
      </c>
      <c r="B1253">
        <v>24</v>
      </c>
      <c r="C1253" t="s">
        <v>19</v>
      </c>
      <c r="D1253" t="s">
        <v>28</v>
      </c>
      <c r="E1253" t="s">
        <v>33</v>
      </c>
      <c r="F1253" t="s">
        <v>39</v>
      </c>
      <c r="G1253" t="s">
        <v>30</v>
      </c>
      <c r="H1253">
        <v>40875</v>
      </c>
      <c r="I1253">
        <v>10158</v>
      </c>
      <c r="J1253">
        <v>24</v>
      </c>
      <c r="K1253">
        <v>11</v>
      </c>
      <c r="L1253">
        <v>1</v>
      </c>
      <c r="M1253" t="s">
        <v>25</v>
      </c>
      <c r="N1253">
        <v>1</v>
      </c>
      <c r="O1253">
        <v>18</v>
      </c>
      <c r="P1253">
        <v>18</v>
      </c>
      <c r="Q1253">
        <v>1</v>
      </c>
      <c r="R1253">
        <v>3</v>
      </c>
      <c r="S1253" t="s">
        <v>24</v>
      </c>
    </row>
    <row r="1254" spans="1:19" x14ac:dyDescent="0.25">
      <c r="A1254">
        <v>11253</v>
      </c>
      <c r="B1254">
        <v>33</v>
      </c>
      <c r="C1254" t="s">
        <v>19</v>
      </c>
      <c r="D1254" t="s">
        <v>20</v>
      </c>
      <c r="E1254" t="s">
        <v>36</v>
      </c>
      <c r="F1254" t="s">
        <v>39</v>
      </c>
      <c r="G1254" t="s">
        <v>38</v>
      </c>
      <c r="H1254">
        <v>61461</v>
      </c>
      <c r="I1254">
        <v>34090</v>
      </c>
      <c r="J1254">
        <v>11</v>
      </c>
      <c r="K1254">
        <v>1</v>
      </c>
      <c r="L1254">
        <v>3</v>
      </c>
      <c r="M1254" t="s">
        <v>25</v>
      </c>
      <c r="N1254">
        <v>4</v>
      </c>
      <c r="O1254">
        <v>36</v>
      </c>
      <c r="P1254">
        <v>59</v>
      </c>
      <c r="Q1254">
        <v>3</v>
      </c>
      <c r="R1254">
        <v>3</v>
      </c>
      <c r="S1254" t="s">
        <v>25</v>
      </c>
    </row>
    <row r="1255" spans="1:19" x14ac:dyDescent="0.25">
      <c r="A1255">
        <v>11254</v>
      </c>
      <c r="B1255">
        <v>54</v>
      </c>
      <c r="C1255" t="s">
        <v>31</v>
      </c>
      <c r="D1255" t="s">
        <v>32</v>
      </c>
      <c r="E1255" t="s">
        <v>36</v>
      </c>
      <c r="F1255" t="s">
        <v>35</v>
      </c>
      <c r="G1255" t="s">
        <v>38</v>
      </c>
      <c r="H1255">
        <v>54979</v>
      </c>
      <c r="I1255">
        <v>21353</v>
      </c>
      <c r="J1255">
        <v>8</v>
      </c>
      <c r="K1255">
        <v>10</v>
      </c>
      <c r="L1255">
        <v>2</v>
      </c>
      <c r="M1255" t="s">
        <v>25</v>
      </c>
      <c r="N1255">
        <v>3</v>
      </c>
      <c r="O1255">
        <v>31</v>
      </c>
      <c r="P1255">
        <v>21</v>
      </c>
      <c r="Q1255">
        <v>3</v>
      </c>
      <c r="R1255">
        <v>2</v>
      </c>
      <c r="S1255" t="s">
        <v>25</v>
      </c>
    </row>
    <row r="1256" spans="1:19" x14ac:dyDescent="0.25">
      <c r="A1256">
        <v>11255</v>
      </c>
      <c r="B1256">
        <v>28</v>
      </c>
      <c r="C1256" t="s">
        <v>19</v>
      </c>
      <c r="D1256" t="s">
        <v>20</v>
      </c>
      <c r="E1256" t="s">
        <v>33</v>
      </c>
      <c r="F1256" t="s">
        <v>39</v>
      </c>
      <c r="G1256" t="s">
        <v>38</v>
      </c>
      <c r="H1256">
        <v>25667</v>
      </c>
      <c r="I1256">
        <v>40494</v>
      </c>
      <c r="J1256">
        <v>20</v>
      </c>
      <c r="K1256">
        <v>14</v>
      </c>
      <c r="L1256">
        <v>4</v>
      </c>
      <c r="M1256" t="s">
        <v>25</v>
      </c>
      <c r="N1256">
        <v>4</v>
      </c>
      <c r="O1256">
        <v>37</v>
      </c>
      <c r="P1256">
        <v>52</v>
      </c>
      <c r="Q1256">
        <v>3</v>
      </c>
      <c r="R1256">
        <v>4</v>
      </c>
      <c r="S1256" t="s">
        <v>25</v>
      </c>
    </row>
    <row r="1257" spans="1:19" x14ac:dyDescent="0.25">
      <c r="A1257">
        <v>11256</v>
      </c>
      <c r="B1257">
        <v>36</v>
      </c>
      <c r="C1257" t="s">
        <v>31</v>
      </c>
      <c r="D1257" t="s">
        <v>41</v>
      </c>
      <c r="E1257" t="s">
        <v>33</v>
      </c>
      <c r="F1257" t="s">
        <v>39</v>
      </c>
      <c r="G1257" t="s">
        <v>30</v>
      </c>
      <c r="H1257">
        <v>28167</v>
      </c>
      <c r="I1257">
        <v>43682</v>
      </c>
      <c r="J1257">
        <v>20</v>
      </c>
      <c r="K1257">
        <v>4</v>
      </c>
      <c r="L1257">
        <v>4</v>
      </c>
      <c r="M1257" t="s">
        <v>25</v>
      </c>
      <c r="N1257">
        <v>3</v>
      </c>
      <c r="O1257">
        <v>11</v>
      </c>
      <c r="P1257">
        <v>14</v>
      </c>
      <c r="Q1257">
        <v>2</v>
      </c>
      <c r="R1257">
        <v>2</v>
      </c>
      <c r="S1257" t="s">
        <v>24</v>
      </c>
    </row>
    <row r="1258" spans="1:19" x14ac:dyDescent="0.25">
      <c r="A1258">
        <v>11257</v>
      </c>
      <c r="B1258">
        <v>51</v>
      </c>
      <c r="C1258" t="s">
        <v>19</v>
      </c>
      <c r="D1258" t="s">
        <v>28</v>
      </c>
      <c r="E1258" t="s">
        <v>33</v>
      </c>
      <c r="F1258" t="s">
        <v>39</v>
      </c>
      <c r="G1258" t="s">
        <v>30</v>
      </c>
      <c r="H1258">
        <v>37550</v>
      </c>
      <c r="I1258">
        <v>44696</v>
      </c>
      <c r="J1258">
        <v>23</v>
      </c>
      <c r="K1258">
        <v>14</v>
      </c>
      <c r="L1258">
        <v>3</v>
      </c>
      <c r="M1258" t="s">
        <v>25</v>
      </c>
      <c r="N1258">
        <v>3</v>
      </c>
      <c r="O1258">
        <v>29</v>
      </c>
      <c r="P1258">
        <v>46</v>
      </c>
      <c r="Q1258">
        <v>4</v>
      </c>
      <c r="R1258">
        <v>3</v>
      </c>
      <c r="S1258" t="s">
        <v>25</v>
      </c>
    </row>
    <row r="1259" spans="1:19" x14ac:dyDescent="0.25">
      <c r="A1259">
        <v>11258</v>
      </c>
      <c r="B1259">
        <v>35</v>
      </c>
      <c r="C1259" t="s">
        <v>19</v>
      </c>
      <c r="D1259" t="s">
        <v>32</v>
      </c>
      <c r="E1259" t="s">
        <v>33</v>
      </c>
      <c r="F1259" t="s">
        <v>22</v>
      </c>
      <c r="G1259" t="s">
        <v>30</v>
      </c>
      <c r="H1259">
        <v>34971</v>
      </c>
      <c r="I1259">
        <v>47782</v>
      </c>
      <c r="J1259">
        <v>11</v>
      </c>
      <c r="K1259">
        <v>0</v>
      </c>
      <c r="L1259">
        <v>3</v>
      </c>
      <c r="M1259" t="s">
        <v>25</v>
      </c>
      <c r="N1259">
        <v>1</v>
      </c>
      <c r="O1259">
        <v>19</v>
      </c>
      <c r="P1259">
        <v>59</v>
      </c>
      <c r="Q1259">
        <v>3</v>
      </c>
      <c r="R1259">
        <v>4</v>
      </c>
      <c r="S1259" t="s">
        <v>25</v>
      </c>
    </row>
    <row r="1260" spans="1:19" x14ac:dyDescent="0.25">
      <c r="A1260">
        <v>11259</v>
      </c>
      <c r="B1260">
        <v>52</v>
      </c>
      <c r="C1260" t="s">
        <v>19</v>
      </c>
      <c r="D1260" t="s">
        <v>41</v>
      </c>
      <c r="E1260" t="s">
        <v>21</v>
      </c>
      <c r="F1260" t="s">
        <v>39</v>
      </c>
      <c r="G1260" t="s">
        <v>30</v>
      </c>
      <c r="H1260">
        <v>114463</v>
      </c>
      <c r="I1260">
        <v>39028</v>
      </c>
      <c r="J1260">
        <v>3</v>
      </c>
      <c r="K1260">
        <v>1</v>
      </c>
      <c r="L1260">
        <v>3</v>
      </c>
      <c r="M1260" t="s">
        <v>24</v>
      </c>
      <c r="N1260">
        <v>3</v>
      </c>
      <c r="O1260">
        <v>36</v>
      </c>
      <c r="P1260">
        <v>59</v>
      </c>
      <c r="Q1260">
        <v>1</v>
      </c>
      <c r="R1260">
        <v>2</v>
      </c>
      <c r="S1260" t="s">
        <v>25</v>
      </c>
    </row>
    <row r="1261" spans="1:19" x14ac:dyDescent="0.25">
      <c r="A1261">
        <v>11260</v>
      </c>
      <c r="B1261">
        <v>25</v>
      </c>
      <c r="C1261" t="s">
        <v>31</v>
      </c>
      <c r="D1261" t="s">
        <v>26</v>
      </c>
      <c r="E1261" t="s">
        <v>33</v>
      </c>
      <c r="F1261" t="s">
        <v>39</v>
      </c>
      <c r="G1261" t="s">
        <v>30</v>
      </c>
      <c r="H1261">
        <v>43642</v>
      </c>
      <c r="I1261">
        <v>29952</v>
      </c>
      <c r="J1261">
        <v>7</v>
      </c>
      <c r="K1261">
        <v>11</v>
      </c>
      <c r="L1261">
        <v>4</v>
      </c>
      <c r="M1261" t="s">
        <v>25</v>
      </c>
      <c r="N1261">
        <v>3</v>
      </c>
      <c r="O1261">
        <v>14</v>
      </c>
      <c r="P1261">
        <v>15</v>
      </c>
      <c r="Q1261">
        <v>2</v>
      </c>
      <c r="R1261">
        <v>4</v>
      </c>
      <c r="S1261" t="s">
        <v>25</v>
      </c>
    </row>
    <row r="1262" spans="1:19" x14ac:dyDescent="0.25">
      <c r="A1262">
        <v>11261</v>
      </c>
      <c r="B1262">
        <v>30</v>
      </c>
      <c r="C1262" t="s">
        <v>19</v>
      </c>
      <c r="D1262" t="s">
        <v>20</v>
      </c>
      <c r="E1262" t="s">
        <v>33</v>
      </c>
      <c r="F1262" t="s">
        <v>39</v>
      </c>
      <c r="G1262" t="s">
        <v>38</v>
      </c>
      <c r="H1262">
        <v>41333</v>
      </c>
      <c r="I1262">
        <v>27898</v>
      </c>
      <c r="J1262">
        <v>6</v>
      </c>
      <c r="K1262">
        <v>10</v>
      </c>
      <c r="L1262">
        <v>3</v>
      </c>
      <c r="M1262" t="s">
        <v>25</v>
      </c>
      <c r="N1262">
        <v>4</v>
      </c>
      <c r="O1262">
        <v>3</v>
      </c>
      <c r="P1262">
        <v>22</v>
      </c>
      <c r="Q1262">
        <v>3</v>
      </c>
      <c r="R1262">
        <v>3</v>
      </c>
      <c r="S1262" t="s">
        <v>25</v>
      </c>
    </row>
    <row r="1263" spans="1:19" x14ac:dyDescent="0.25">
      <c r="A1263">
        <v>11262</v>
      </c>
      <c r="B1263">
        <v>46</v>
      </c>
      <c r="C1263" t="s">
        <v>31</v>
      </c>
      <c r="D1263" t="s">
        <v>34</v>
      </c>
      <c r="E1263" t="s">
        <v>33</v>
      </c>
      <c r="F1263" t="s">
        <v>39</v>
      </c>
      <c r="G1263" t="s">
        <v>38</v>
      </c>
      <c r="H1263">
        <v>43373</v>
      </c>
      <c r="I1263">
        <v>5968</v>
      </c>
      <c r="J1263">
        <v>8</v>
      </c>
      <c r="K1263">
        <v>10</v>
      </c>
      <c r="L1263">
        <v>3</v>
      </c>
      <c r="M1263" t="s">
        <v>25</v>
      </c>
      <c r="N1263">
        <v>3</v>
      </c>
      <c r="O1263">
        <v>11</v>
      </c>
      <c r="P1263">
        <v>14</v>
      </c>
      <c r="Q1263">
        <v>4</v>
      </c>
      <c r="R1263">
        <v>3</v>
      </c>
      <c r="S1263" t="s">
        <v>25</v>
      </c>
    </row>
    <row r="1264" spans="1:19" x14ac:dyDescent="0.25">
      <c r="A1264">
        <v>11263</v>
      </c>
      <c r="B1264">
        <v>29</v>
      </c>
      <c r="C1264" t="s">
        <v>31</v>
      </c>
      <c r="D1264" t="s">
        <v>26</v>
      </c>
      <c r="E1264" t="s">
        <v>27</v>
      </c>
      <c r="F1264" t="s">
        <v>35</v>
      </c>
      <c r="G1264" t="s">
        <v>38</v>
      </c>
      <c r="H1264">
        <v>62688</v>
      </c>
      <c r="I1264">
        <v>6511</v>
      </c>
      <c r="J1264">
        <v>5</v>
      </c>
      <c r="K1264">
        <v>10</v>
      </c>
      <c r="L1264">
        <v>3</v>
      </c>
      <c r="M1264" t="s">
        <v>24</v>
      </c>
      <c r="N1264">
        <v>2</v>
      </c>
      <c r="O1264">
        <v>19</v>
      </c>
      <c r="P1264">
        <v>42</v>
      </c>
      <c r="Q1264">
        <v>3</v>
      </c>
      <c r="R1264">
        <v>3</v>
      </c>
      <c r="S1264" t="s">
        <v>25</v>
      </c>
    </row>
    <row r="1265" spans="1:19" x14ac:dyDescent="0.25">
      <c r="A1265">
        <v>11264</v>
      </c>
      <c r="B1265">
        <v>34</v>
      </c>
      <c r="C1265" t="s">
        <v>31</v>
      </c>
      <c r="D1265" t="s">
        <v>20</v>
      </c>
      <c r="E1265" t="s">
        <v>27</v>
      </c>
      <c r="F1265" t="s">
        <v>35</v>
      </c>
      <c r="G1265" t="s">
        <v>38</v>
      </c>
      <c r="H1265">
        <v>65720</v>
      </c>
      <c r="I1265">
        <v>8554</v>
      </c>
      <c r="J1265">
        <v>17</v>
      </c>
      <c r="K1265">
        <v>6</v>
      </c>
      <c r="L1265">
        <v>1</v>
      </c>
      <c r="M1265" t="s">
        <v>25</v>
      </c>
      <c r="N1265">
        <v>1</v>
      </c>
      <c r="O1265">
        <v>18</v>
      </c>
      <c r="P1265">
        <v>9</v>
      </c>
      <c r="Q1265">
        <v>4</v>
      </c>
      <c r="R1265">
        <v>4</v>
      </c>
      <c r="S1265" t="s">
        <v>25</v>
      </c>
    </row>
    <row r="1266" spans="1:19" x14ac:dyDescent="0.25">
      <c r="A1266">
        <v>11265</v>
      </c>
      <c r="B1266">
        <v>22</v>
      </c>
      <c r="C1266" t="s">
        <v>31</v>
      </c>
      <c r="D1266" t="s">
        <v>34</v>
      </c>
      <c r="E1266" t="s">
        <v>40</v>
      </c>
      <c r="F1266" t="s">
        <v>22</v>
      </c>
      <c r="G1266" t="s">
        <v>30</v>
      </c>
      <c r="H1266">
        <v>14002</v>
      </c>
      <c r="I1266">
        <v>47894</v>
      </c>
      <c r="J1266">
        <v>23</v>
      </c>
      <c r="K1266">
        <v>9</v>
      </c>
      <c r="L1266">
        <v>3</v>
      </c>
      <c r="M1266" t="s">
        <v>25</v>
      </c>
      <c r="N1266">
        <v>2</v>
      </c>
      <c r="O1266">
        <v>32</v>
      </c>
      <c r="P1266">
        <v>28</v>
      </c>
      <c r="Q1266">
        <v>2</v>
      </c>
      <c r="R1266">
        <v>2</v>
      </c>
      <c r="S1266" t="s">
        <v>25</v>
      </c>
    </row>
    <row r="1267" spans="1:19" x14ac:dyDescent="0.25">
      <c r="A1267">
        <v>11266</v>
      </c>
      <c r="B1267">
        <v>21</v>
      </c>
      <c r="C1267" t="s">
        <v>19</v>
      </c>
      <c r="D1267" t="s">
        <v>26</v>
      </c>
      <c r="E1267" t="s">
        <v>33</v>
      </c>
      <c r="F1267" t="s">
        <v>39</v>
      </c>
      <c r="G1267" t="s">
        <v>38</v>
      </c>
      <c r="H1267">
        <v>38567</v>
      </c>
      <c r="I1267">
        <v>36833</v>
      </c>
      <c r="J1267">
        <v>3</v>
      </c>
      <c r="K1267">
        <v>3</v>
      </c>
      <c r="L1267">
        <v>3</v>
      </c>
      <c r="M1267" t="s">
        <v>25</v>
      </c>
      <c r="N1267">
        <v>2</v>
      </c>
      <c r="O1267">
        <v>23</v>
      </c>
      <c r="P1267">
        <v>6</v>
      </c>
      <c r="Q1267">
        <v>3</v>
      </c>
      <c r="R1267">
        <v>1</v>
      </c>
      <c r="S1267" t="s">
        <v>24</v>
      </c>
    </row>
    <row r="1268" spans="1:19" x14ac:dyDescent="0.25">
      <c r="A1268">
        <v>11267</v>
      </c>
      <c r="B1268">
        <v>24</v>
      </c>
      <c r="C1268" t="s">
        <v>31</v>
      </c>
      <c r="D1268" t="s">
        <v>41</v>
      </c>
      <c r="E1268" t="s">
        <v>33</v>
      </c>
      <c r="F1268" t="s">
        <v>35</v>
      </c>
      <c r="G1268" t="s">
        <v>38</v>
      </c>
      <c r="H1268">
        <v>40229</v>
      </c>
      <c r="I1268">
        <v>5585</v>
      </c>
      <c r="J1268">
        <v>10</v>
      </c>
      <c r="K1268">
        <v>9</v>
      </c>
      <c r="L1268">
        <v>4</v>
      </c>
      <c r="M1268" t="s">
        <v>25</v>
      </c>
      <c r="N1268">
        <v>3</v>
      </c>
      <c r="O1268">
        <v>38</v>
      </c>
      <c r="P1268">
        <v>46</v>
      </c>
      <c r="Q1268">
        <v>4</v>
      </c>
      <c r="R1268">
        <v>3</v>
      </c>
      <c r="S1268" t="s">
        <v>25</v>
      </c>
    </row>
    <row r="1269" spans="1:19" x14ac:dyDescent="0.25">
      <c r="A1269">
        <v>11268</v>
      </c>
      <c r="B1269">
        <v>23</v>
      </c>
      <c r="C1269" t="s">
        <v>31</v>
      </c>
      <c r="D1269" t="s">
        <v>20</v>
      </c>
      <c r="E1269" t="s">
        <v>33</v>
      </c>
      <c r="F1269" t="s">
        <v>39</v>
      </c>
      <c r="G1269" t="s">
        <v>30</v>
      </c>
      <c r="H1269">
        <v>34139</v>
      </c>
      <c r="I1269">
        <v>13199</v>
      </c>
      <c r="J1269">
        <v>6</v>
      </c>
      <c r="K1269">
        <v>2</v>
      </c>
      <c r="L1269">
        <v>4</v>
      </c>
      <c r="M1269" t="s">
        <v>24</v>
      </c>
      <c r="N1269">
        <v>3</v>
      </c>
      <c r="O1269">
        <v>27</v>
      </c>
      <c r="P1269">
        <v>37</v>
      </c>
      <c r="Q1269">
        <v>3</v>
      </c>
      <c r="R1269">
        <v>3</v>
      </c>
      <c r="S1269" t="s">
        <v>25</v>
      </c>
    </row>
    <row r="1270" spans="1:19" x14ac:dyDescent="0.25">
      <c r="A1270">
        <v>11269</v>
      </c>
      <c r="B1270">
        <v>50</v>
      </c>
      <c r="C1270" t="s">
        <v>31</v>
      </c>
      <c r="D1270" t="s">
        <v>32</v>
      </c>
      <c r="E1270" t="s">
        <v>29</v>
      </c>
      <c r="F1270" t="s">
        <v>22</v>
      </c>
      <c r="G1270" t="s">
        <v>38</v>
      </c>
      <c r="H1270">
        <v>124837</v>
      </c>
      <c r="I1270">
        <v>13065</v>
      </c>
      <c r="J1270">
        <v>18</v>
      </c>
      <c r="K1270">
        <v>2</v>
      </c>
      <c r="L1270">
        <v>4</v>
      </c>
      <c r="M1270" t="s">
        <v>25</v>
      </c>
      <c r="N1270">
        <v>3</v>
      </c>
      <c r="O1270">
        <v>36</v>
      </c>
      <c r="P1270">
        <v>55</v>
      </c>
      <c r="Q1270">
        <v>2</v>
      </c>
      <c r="R1270">
        <v>2</v>
      </c>
      <c r="S1270" t="s">
        <v>25</v>
      </c>
    </row>
    <row r="1271" spans="1:19" x14ac:dyDescent="0.25">
      <c r="A1271">
        <v>11270</v>
      </c>
      <c r="B1271">
        <v>23</v>
      </c>
      <c r="C1271" t="s">
        <v>19</v>
      </c>
      <c r="D1271" t="s">
        <v>34</v>
      </c>
      <c r="E1271" t="s">
        <v>33</v>
      </c>
      <c r="F1271" t="s">
        <v>39</v>
      </c>
      <c r="G1271" t="s">
        <v>30</v>
      </c>
      <c r="H1271">
        <v>28363</v>
      </c>
      <c r="I1271">
        <v>47083</v>
      </c>
      <c r="J1271">
        <v>14</v>
      </c>
      <c r="K1271">
        <v>3</v>
      </c>
      <c r="L1271">
        <v>4</v>
      </c>
      <c r="M1271" t="s">
        <v>25</v>
      </c>
      <c r="N1271">
        <v>4</v>
      </c>
      <c r="O1271">
        <v>4</v>
      </c>
      <c r="P1271">
        <v>42</v>
      </c>
      <c r="Q1271">
        <v>1</v>
      </c>
      <c r="R1271">
        <v>2</v>
      </c>
      <c r="S1271" t="s">
        <v>25</v>
      </c>
    </row>
    <row r="1272" spans="1:19" x14ac:dyDescent="0.25">
      <c r="A1272">
        <v>11271</v>
      </c>
      <c r="B1272">
        <v>36</v>
      </c>
      <c r="C1272" t="s">
        <v>31</v>
      </c>
      <c r="D1272" t="s">
        <v>26</v>
      </c>
      <c r="E1272" t="s">
        <v>27</v>
      </c>
      <c r="F1272" t="s">
        <v>35</v>
      </c>
      <c r="G1272" t="s">
        <v>38</v>
      </c>
      <c r="H1272">
        <v>75926</v>
      </c>
      <c r="I1272">
        <v>11994</v>
      </c>
      <c r="J1272">
        <v>13</v>
      </c>
      <c r="K1272">
        <v>11</v>
      </c>
      <c r="L1272">
        <v>1</v>
      </c>
      <c r="M1272" t="s">
        <v>25</v>
      </c>
      <c r="N1272">
        <v>3</v>
      </c>
      <c r="O1272">
        <v>13</v>
      </c>
      <c r="P1272">
        <v>59</v>
      </c>
      <c r="Q1272">
        <v>1</v>
      </c>
      <c r="R1272">
        <v>3</v>
      </c>
      <c r="S1272" t="s">
        <v>24</v>
      </c>
    </row>
    <row r="1273" spans="1:19" x14ac:dyDescent="0.25">
      <c r="A1273">
        <v>11272</v>
      </c>
      <c r="B1273">
        <v>52</v>
      </c>
      <c r="C1273" t="s">
        <v>31</v>
      </c>
      <c r="D1273" t="s">
        <v>32</v>
      </c>
      <c r="E1273" t="s">
        <v>29</v>
      </c>
      <c r="F1273" t="s">
        <v>39</v>
      </c>
      <c r="G1273" t="s">
        <v>38</v>
      </c>
      <c r="H1273">
        <v>135055</v>
      </c>
      <c r="I1273">
        <v>23874</v>
      </c>
      <c r="J1273">
        <v>22</v>
      </c>
      <c r="K1273">
        <v>12</v>
      </c>
      <c r="L1273">
        <v>3</v>
      </c>
      <c r="M1273" t="s">
        <v>25</v>
      </c>
      <c r="N1273">
        <v>4</v>
      </c>
      <c r="O1273">
        <v>6</v>
      </c>
      <c r="P1273">
        <v>38</v>
      </c>
      <c r="Q1273">
        <v>4</v>
      </c>
      <c r="R1273">
        <v>1</v>
      </c>
      <c r="S1273" t="s">
        <v>25</v>
      </c>
    </row>
    <row r="1274" spans="1:19" x14ac:dyDescent="0.25">
      <c r="A1274">
        <v>11273</v>
      </c>
      <c r="B1274">
        <v>47</v>
      </c>
      <c r="C1274" t="s">
        <v>31</v>
      </c>
      <c r="D1274" t="s">
        <v>26</v>
      </c>
      <c r="E1274" t="s">
        <v>29</v>
      </c>
      <c r="F1274" t="s">
        <v>22</v>
      </c>
      <c r="G1274" t="s">
        <v>38</v>
      </c>
      <c r="H1274">
        <v>173662</v>
      </c>
      <c r="I1274">
        <v>15802</v>
      </c>
      <c r="J1274">
        <v>7</v>
      </c>
      <c r="K1274">
        <v>6</v>
      </c>
      <c r="L1274">
        <v>3</v>
      </c>
      <c r="M1274" t="s">
        <v>25</v>
      </c>
      <c r="N1274">
        <v>3</v>
      </c>
      <c r="O1274">
        <v>19</v>
      </c>
      <c r="P1274">
        <v>45</v>
      </c>
      <c r="Q1274">
        <v>3</v>
      </c>
      <c r="R1274">
        <v>4</v>
      </c>
      <c r="S1274" t="s">
        <v>25</v>
      </c>
    </row>
    <row r="1275" spans="1:19" x14ac:dyDescent="0.25">
      <c r="A1275">
        <v>11274</v>
      </c>
      <c r="B1275">
        <v>21</v>
      </c>
      <c r="C1275" t="s">
        <v>19</v>
      </c>
      <c r="D1275" t="s">
        <v>41</v>
      </c>
      <c r="E1275" t="s">
        <v>21</v>
      </c>
      <c r="F1275" t="s">
        <v>22</v>
      </c>
      <c r="G1275" t="s">
        <v>30</v>
      </c>
      <c r="H1275">
        <v>119495</v>
      </c>
      <c r="I1275">
        <v>305</v>
      </c>
      <c r="J1275">
        <v>8</v>
      </c>
      <c r="K1275">
        <v>5</v>
      </c>
      <c r="L1275">
        <v>3</v>
      </c>
      <c r="M1275" t="s">
        <v>25</v>
      </c>
      <c r="N1275">
        <v>1</v>
      </c>
      <c r="O1275">
        <v>7</v>
      </c>
      <c r="P1275">
        <v>25</v>
      </c>
      <c r="Q1275">
        <v>1</v>
      </c>
      <c r="R1275">
        <v>3</v>
      </c>
      <c r="S1275" t="s">
        <v>24</v>
      </c>
    </row>
    <row r="1276" spans="1:19" x14ac:dyDescent="0.25">
      <c r="A1276">
        <v>11275</v>
      </c>
      <c r="B1276">
        <v>28</v>
      </c>
      <c r="C1276" t="s">
        <v>19</v>
      </c>
      <c r="D1276" t="s">
        <v>34</v>
      </c>
      <c r="E1276" t="s">
        <v>21</v>
      </c>
      <c r="F1276" t="s">
        <v>37</v>
      </c>
      <c r="G1276" t="s">
        <v>30</v>
      </c>
      <c r="H1276">
        <v>96553</v>
      </c>
      <c r="I1276">
        <v>49662</v>
      </c>
      <c r="J1276">
        <v>20</v>
      </c>
      <c r="K1276">
        <v>2</v>
      </c>
      <c r="L1276">
        <v>2</v>
      </c>
      <c r="M1276" t="s">
        <v>25</v>
      </c>
      <c r="N1276">
        <v>2</v>
      </c>
      <c r="O1276">
        <v>14</v>
      </c>
      <c r="P1276">
        <v>52</v>
      </c>
      <c r="Q1276">
        <v>2</v>
      </c>
      <c r="R1276">
        <v>2</v>
      </c>
      <c r="S1276" t="s">
        <v>25</v>
      </c>
    </row>
    <row r="1277" spans="1:19" x14ac:dyDescent="0.25">
      <c r="A1277">
        <v>11276</v>
      </c>
      <c r="B1277">
        <v>38</v>
      </c>
      <c r="C1277" t="s">
        <v>19</v>
      </c>
      <c r="D1277" t="s">
        <v>41</v>
      </c>
      <c r="E1277" t="s">
        <v>27</v>
      </c>
      <c r="F1277" t="s">
        <v>39</v>
      </c>
      <c r="G1277" t="s">
        <v>30</v>
      </c>
      <c r="H1277">
        <v>75169</v>
      </c>
      <c r="I1277">
        <v>2006</v>
      </c>
      <c r="J1277">
        <v>7</v>
      </c>
      <c r="K1277">
        <v>3</v>
      </c>
      <c r="L1277">
        <v>4</v>
      </c>
      <c r="M1277" t="s">
        <v>25</v>
      </c>
      <c r="N1277">
        <v>3</v>
      </c>
      <c r="O1277">
        <v>33</v>
      </c>
      <c r="P1277">
        <v>41</v>
      </c>
      <c r="Q1277">
        <v>4</v>
      </c>
      <c r="R1277">
        <v>2</v>
      </c>
      <c r="S1277" t="s">
        <v>25</v>
      </c>
    </row>
    <row r="1278" spans="1:19" x14ac:dyDescent="0.25">
      <c r="A1278">
        <v>11277</v>
      </c>
      <c r="B1278">
        <v>29</v>
      </c>
      <c r="C1278" t="s">
        <v>31</v>
      </c>
      <c r="D1278" t="s">
        <v>34</v>
      </c>
      <c r="E1278" t="s">
        <v>36</v>
      </c>
      <c r="F1278" t="s">
        <v>39</v>
      </c>
      <c r="G1278" t="s">
        <v>30</v>
      </c>
      <c r="H1278">
        <v>58967</v>
      </c>
      <c r="I1278">
        <v>28385</v>
      </c>
      <c r="J1278">
        <v>3</v>
      </c>
      <c r="K1278">
        <v>3</v>
      </c>
      <c r="L1278">
        <v>3</v>
      </c>
      <c r="M1278" t="s">
        <v>25</v>
      </c>
      <c r="N1278">
        <v>3</v>
      </c>
      <c r="O1278">
        <v>1</v>
      </c>
      <c r="P1278">
        <v>23</v>
      </c>
      <c r="Q1278">
        <v>2</v>
      </c>
      <c r="R1278">
        <v>4</v>
      </c>
      <c r="S1278" t="s">
        <v>25</v>
      </c>
    </row>
    <row r="1279" spans="1:19" x14ac:dyDescent="0.25">
      <c r="A1279">
        <v>11278</v>
      </c>
      <c r="B1279">
        <v>21</v>
      </c>
      <c r="C1279" t="s">
        <v>31</v>
      </c>
      <c r="D1279" t="s">
        <v>20</v>
      </c>
      <c r="E1279" t="s">
        <v>33</v>
      </c>
      <c r="F1279" t="s">
        <v>35</v>
      </c>
      <c r="G1279" t="s">
        <v>30</v>
      </c>
      <c r="H1279">
        <v>41616</v>
      </c>
      <c r="I1279">
        <v>797</v>
      </c>
      <c r="J1279">
        <v>17</v>
      </c>
      <c r="K1279">
        <v>6</v>
      </c>
      <c r="L1279">
        <v>5</v>
      </c>
      <c r="M1279" t="s">
        <v>25</v>
      </c>
      <c r="N1279">
        <v>3</v>
      </c>
      <c r="O1279">
        <v>24</v>
      </c>
      <c r="P1279">
        <v>34</v>
      </c>
      <c r="Q1279">
        <v>3</v>
      </c>
      <c r="R1279">
        <v>3</v>
      </c>
      <c r="S1279" t="s">
        <v>25</v>
      </c>
    </row>
    <row r="1280" spans="1:19" x14ac:dyDescent="0.25">
      <c r="A1280">
        <v>11279</v>
      </c>
      <c r="B1280">
        <v>45</v>
      </c>
      <c r="C1280" t="s">
        <v>19</v>
      </c>
      <c r="D1280" t="s">
        <v>41</v>
      </c>
      <c r="E1280" t="s">
        <v>27</v>
      </c>
      <c r="F1280" t="s">
        <v>37</v>
      </c>
      <c r="G1280" t="s">
        <v>30</v>
      </c>
      <c r="H1280">
        <v>73354</v>
      </c>
      <c r="I1280">
        <v>39054</v>
      </c>
      <c r="J1280">
        <v>3</v>
      </c>
      <c r="K1280">
        <v>4</v>
      </c>
      <c r="L1280">
        <v>3</v>
      </c>
      <c r="M1280" t="s">
        <v>25</v>
      </c>
      <c r="N1280">
        <v>2</v>
      </c>
      <c r="O1280">
        <v>8</v>
      </c>
      <c r="P1280">
        <v>33</v>
      </c>
      <c r="Q1280">
        <v>2</v>
      </c>
      <c r="R1280">
        <v>4</v>
      </c>
      <c r="S1280" t="s">
        <v>24</v>
      </c>
    </row>
    <row r="1281" spans="1:19" x14ac:dyDescent="0.25">
      <c r="A1281">
        <v>11280</v>
      </c>
      <c r="B1281">
        <v>24</v>
      </c>
      <c r="C1281" t="s">
        <v>19</v>
      </c>
      <c r="D1281" t="s">
        <v>20</v>
      </c>
      <c r="E1281" t="s">
        <v>36</v>
      </c>
      <c r="F1281" t="s">
        <v>35</v>
      </c>
      <c r="G1281" t="s">
        <v>38</v>
      </c>
      <c r="H1281">
        <v>62335</v>
      </c>
      <c r="I1281">
        <v>35571</v>
      </c>
      <c r="J1281">
        <v>7</v>
      </c>
      <c r="K1281">
        <v>0</v>
      </c>
      <c r="L1281">
        <v>4</v>
      </c>
      <c r="M1281" t="s">
        <v>25</v>
      </c>
      <c r="N1281">
        <v>4</v>
      </c>
      <c r="O1281">
        <v>14</v>
      </c>
      <c r="P1281">
        <v>52</v>
      </c>
      <c r="Q1281">
        <v>4</v>
      </c>
      <c r="R1281">
        <v>3</v>
      </c>
      <c r="S1281" t="s">
        <v>25</v>
      </c>
    </row>
    <row r="1282" spans="1:19" x14ac:dyDescent="0.25">
      <c r="A1282">
        <v>11281</v>
      </c>
      <c r="B1282">
        <v>40</v>
      </c>
      <c r="C1282" t="s">
        <v>19</v>
      </c>
      <c r="D1282" t="s">
        <v>20</v>
      </c>
      <c r="E1282" t="s">
        <v>21</v>
      </c>
      <c r="F1282" t="s">
        <v>37</v>
      </c>
      <c r="G1282" t="s">
        <v>30</v>
      </c>
      <c r="H1282">
        <v>94367</v>
      </c>
      <c r="I1282">
        <v>11051</v>
      </c>
      <c r="J1282">
        <v>10</v>
      </c>
      <c r="K1282">
        <v>11</v>
      </c>
      <c r="L1282">
        <v>3</v>
      </c>
      <c r="M1282" t="s">
        <v>25</v>
      </c>
      <c r="N1282">
        <v>2</v>
      </c>
      <c r="O1282">
        <v>38</v>
      </c>
      <c r="P1282">
        <v>34</v>
      </c>
      <c r="Q1282">
        <v>1</v>
      </c>
      <c r="R1282">
        <v>2</v>
      </c>
      <c r="S1282" t="s">
        <v>25</v>
      </c>
    </row>
    <row r="1283" spans="1:19" x14ac:dyDescent="0.25">
      <c r="A1283">
        <v>11282</v>
      </c>
      <c r="B1283">
        <v>50</v>
      </c>
      <c r="C1283" t="s">
        <v>19</v>
      </c>
      <c r="D1283" t="s">
        <v>41</v>
      </c>
      <c r="E1283" t="s">
        <v>27</v>
      </c>
      <c r="F1283" t="s">
        <v>39</v>
      </c>
      <c r="G1283" t="s">
        <v>30</v>
      </c>
      <c r="H1283">
        <v>77292</v>
      </c>
      <c r="I1283">
        <v>34076</v>
      </c>
      <c r="J1283">
        <v>0</v>
      </c>
      <c r="K1283">
        <v>14</v>
      </c>
      <c r="L1283">
        <v>2</v>
      </c>
      <c r="M1283" t="s">
        <v>25</v>
      </c>
      <c r="N1283">
        <v>2</v>
      </c>
      <c r="O1283">
        <v>3</v>
      </c>
      <c r="P1283">
        <v>6</v>
      </c>
      <c r="Q1283">
        <v>4</v>
      </c>
      <c r="R1283">
        <v>1</v>
      </c>
      <c r="S1283" t="s">
        <v>25</v>
      </c>
    </row>
    <row r="1284" spans="1:19" x14ac:dyDescent="0.25">
      <c r="A1284">
        <v>11283</v>
      </c>
      <c r="B1284">
        <v>21</v>
      </c>
      <c r="C1284" t="s">
        <v>19</v>
      </c>
      <c r="D1284" t="s">
        <v>20</v>
      </c>
      <c r="E1284" t="s">
        <v>21</v>
      </c>
      <c r="F1284" t="s">
        <v>35</v>
      </c>
      <c r="G1284" t="s">
        <v>38</v>
      </c>
      <c r="H1284">
        <v>123299</v>
      </c>
      <c r="I1284">
        <v>42281</v>
      </c>
      <c r="J1284">
        <v>23</v>
      </c>
      <c r="K1284">
        <v>12</v>
      </c>
      <c r="L1284">
        <v>4</v>
      </c>
      <c r="M1284" t="s">
        <v>24</v>
      </c>
      <c r="N1284">
        <v>1</v>
      </c>
      <c r="O1284">
        <v>17</v>
      </c>
      <c r="P1284">
        <v>32</v>
      </c>
      <c r="Q1284">
        <v>4</v>
      </c>
      <c r="R1284">
        <v>3</v>
      </c>
      <c r="S1284" t="s">
        <v>25</v>
      </c>
    </row>
    <row r="1285" spans="1:19" x14ac:dyDescent="0.25">
      <c r="A1285">
        <v>11284</v>
      </c>
      <c r="B1285">
        <v>38</v>
      </c>
      <c r="C1285" t="s">
        <v>19</v>
      </c>
      <c r="D1285" t="s">
        <v>41</v>
      </c>
      <c r="E1285" t="s">
        <v>21</v>
      </c>
      <c r="F1285" t="s">
        <v>39</v>
      </c>
      <c r="G1285" t="s">
        <v>30</v>
      </c>
      <c r="H1285">
        <v>106410</v>
      </c>
      <c r="I1285">
        <v>7042</v>
      </c>
      <c r="J1285">
        <v>6</v>
      </c>
      <c r="K1285">
        <v>7</v>
      </c>
      <c r="L1285">
        <v>3</v>
      </c>
      <c r="M1285" t="s">
        <v>25</v>
      </c>
      <c r="N1285">
        <v>3</v>
      </c>
      <c r="O1285">
        <v>19</v>
      </c>
      <c r="P1285">
        <v>27</v>
      </c>
      <c r="Q1285">
        <v>4</v>
      </c>
      <c r="R1285">
        <v>3</v>
      </c>
      <c r="S1285" t="s">
        <v>25</v>
      </c>
    </row>
    <row r="1286" spans="1:19" x14ac:dyDescent="0.25">
      <c r="A1286">
        <v>11285</v>
      </c>
      <c r="B1286">
        <v>42</v>
      </c>
      <c r="C1286" t="s">
        <v>19</v>
      </c>
      <c r="D1286" t="s">
        <v>20</v>
      </c>
      <c r="E1286" t="s">
        <v>36</v>
      </c>
      <c r="F1286" t="s">
        <v>39</v>
      </c>
      <c r="G1286" t="s">
        <v>30</v>
      </c>
      <c r="H1286">
        <v>54471</v>
      </c>
      <c r="I1286">
        <v>5492</v>
      </c>
      <c r="J1286">
        <v>7</v>
      </c>
      <c r="K1286">
        <v>4</v>
      </c>
      <c r="L1286">
        <v>5</v>
      </c>
      <c r="M1286" t="s">
        <v>24</v>
      </c>
      <c r="N1286">
        <v>4</v>
      </c>
      <c r="O1286">
        <v>36</v>
      </c>
      <c r="P1286">
        <v>48</v>
      </c>
      <c r="Q1286">
        <v>3</v>
      </c>
      <c r="R1286">
        <v>3</v>
      </c>
      <c r="S1286" t="s">
        <v>25</v>
      </c>
    </row>
    <row r="1287" spans="1:19" x14ac:dyDescent="0.25">
      <c r="A1287">
        <v>11286</v>
      </c>
      <c r="B1287">
        <v>42</v>
      </c>
      <c r="C1287" t="s">
        <v>31</v>
      </c>
      <c r="D1287" t="s">
        <v>20</v>
      </c>
      <c r="E1287" t="s">
        <v>33</v>
      </c>
      <c r="F1287" t="s">
        <v>35</v>
      </c>
      <c r="G1287" t="s">
        <v>38</v>
      </c>
      <c r="H1287">
        <v>41884</v>
      </c>
      <c r="I1287">
        <v>23321</v>
      </c>
      <c r="J1287">
        <v>10</v>
      </c>
      <c r="K1287">
        <v>3</v>
      </c>
      <c r="L1287">
        <v>4</v>
      </c>
      <c r="M1287" t="s">
        <v>25</v>
      </c>
      <c r="N1287">
        <v>2</v>
      </c>
      <c r="O1287">
        <v>25</v>
      </c>
      <c r="P1287">
        <v>14</v>
      </c>
      <c r="Q1287">
        <v>3</v>
      </c>
      <c r="R1287">
        <v>4</v>
      </c>
      <c r="S1287" t="s">
        <v>25</v>
      </c>
    </row>
    <row r="1288" spans="1:19" x14ac:dyDescent="0.25">
      <c r="A1288">
        <v>11287</v>
      </c>
      <c r="B1288">
        <v>27</v>
      </c>
      <c r="C1288" t="s">
        <v>19</v>
      </c>
      <c r="D1288" t="s">
        <v>34</v>
      </c>
      <c r="E1288" t="s">
        <v>33</v>
      </c>
      <c r="F1288" t="s">
        <v>35</v>
      </c>
      <c r="G1288" t="s">
        <v>38</v>
      </c>
      <c r="H1288">
        <v>27430</v>
      </c>
      <c r="I1288">
        <v>6709</v>
      </c>
      <c r="J1288">
        <v>19</v>
      </c>
      <c r="K1288">
        <v>3</v>
      </c>
      <c r="L1288">
        <v>4</v>
      </c>
      <c r="M1288" t="s">
        <v>25</v>
      </c>
      <c r="N1288">
        <v>2</v>
      </c>
      <c r="O1288">
        <v>38</v>
      </c>
      <c r="P1288">
        <v>55</v>
      </c>
      <c r="Q1288">
        <v>4</v>
      </c>
      <c r="R1288">
        <v>3</v>
      </c>
      <c r="S1288" t="s">
        <v>25</v>
      </c>
    </row>
    <row r="1289" spans="1:19" x14ac:dyDescent="0.25">
      <c r="A1289">
        <v>11288</v>
      </c>
      <c r="B1289">
        <v>21</v>
      </c>
      <c r="C1289" t="s">
        <v>19</v>
      </c>
      <c r="D1289" t="s">
        <v>28</v>
      </c>
      <c r="E1289" t="s">
        <v>27</v>
      </c>
      <c r="F1289" t="s">
        <v>39</v>
      </c>
      <c r="G1289" t="s">
        <v>38</v>
      </c>
      <c r="H1289">
        <v>73450</v>
      </c>
      <c r="I1289">
        <v>39602</v>
      </c>
      <c r="J1289">
        <v>9</v>
      </c>
      <c r="K1289">
        <v>4</v>
      </c>
      <c r="L1289">
        <v>3</v>
      </c>
      <c r="M1289" t="s">
        <v>25</v>
      </c>
      <c r="N1289">
        <v>4</v>
      </c>
      <c r="O1289">
        <v>13</v>
      </c>
      <c r="P1289">
        <v>46</v>
      </c>
      <c r="Q1289">
        <v>4</v>
      </c>
      <c r="R1289">
        <v>3</v>
      </c>
      <c r="S1289" t="s">
        <v>25</v>
      </c>
    </row>
    <row r="1290" spans="1:19" x14ac:dyDescent="0.25">
      <c r="A1290">
        <v>11289</v>
      </c>
      <c r="B1290">
        <v>37</v>
      </c>
      <c r="C1290" t="s">
        <v>31</v>
      </c>
      <c r="D1290" t="s">
        <v>20</v>
      </c>
      <c r="E1290" t="s">
        <v>33</v>
      </c>
      <c r="F1290" t="s">
        <v>39</v>
      </c>
      <c r="G1290" t="s">
        <v>38</v>
      </c>
      <c r="H1290">
        <v>35509</v>
      </c>
      <c r="I1290">
        <v>35391</v>
      </c>
      <c r="J1290">
        <v>24</v>
      </c>
      <c r="K1290">
        <v>8</v>
      </c>
      <c r="L1290">
        <v>2</v>
      </c>
      <c r="M1290" t="s">
        <v>25</v>
      </c>
      <c r="N1290">
        <v>4</v>
      </c>
      <c r="O1290">
        <v>21</v>
      </c>
      <c r="P1290">
        <v>27</v>
      </c>
      <c r="Q1290">
        <v>2</v>
      </c>
      <c r="R1290">
        <v>3</v>
      </c>
      <c r="S1290" t="s">
        <v>25</v>
      </c>
    </row>
    <row r="1291" spans="1:19" x14ac:dyDescent="0.25">
      <c r="A1291">
        <v>11290</v>
      </c>
      <c r="B1291">
        <v>31</v>
      </c>
      <c r="C1291" t="s">
        <v>31</v>
      </c>
      <c r="D1291" t="s">
        <v>28</v>
      </c>
      <c r="E1291" t="s">
        <v>27</v>
      </c>
      <c r="F1291" t="s">
        <v>39</v>
      </c>
      <c r="G1291" t="s">
        <v>38</v>
      </c>
      <c r="H1291">
        <v>60506</v>
      </c>
      <c r="I1291">
        <v>31262</v>
      </c>
      <c r="J1291">
        <v>20</v>
      </c>
      <c r="K1291">
        <v>13</v>
      </c>
      <c r="L1291">
        <v>3</v>
      </c>
      <c r="M1291" t="s">
        <v>24</v>
      </c>
      <c r="N1291">
        <v>3</v>
      </c>
      <c r="O1291">
        <v>21</v>
      </c>
      <c r="P1291">
        <v>51</v>
      </c>
      <c r="Q1291">
        <v>3</v>
      </c>
      <c r="R1291">
        <v>2</v>
      </c>
      <c r="S1291" t="s">
        <v>25</v>
      </c>
    </row>
    <row r="1292" spans="1:19" x14ac:dyDescent="0.25">
      <c r="A1292">
        <v>11291</v>
      </c>
      <c r="B1292">
        <v>47</v>
      </c>
      <c r="C1292" t="s">
        <v>19</v>
      </c>
      <c r="D1292" t="s">
        <v>20</v>
      </c>
      <c r="E1292" t="s">
        <v>27</v>
      </c>
      <c r="F1292" t="s">
        <v>35</v>
      </c>
      <c r="G1292" t="s">
        <v>38</v>
      </c>
      <c r="H1292">
        <v>81500</v>
      </c>
      <c r="I1292">
        <v>13583</v>
      </c>
      <c r="J1292">
        <v>21</v>
      </c>
      <c r="K1292">
        <v>5</v>
      </c>
      <c r="L1292">
        <v>4</v>
      </c>
      <c r="M1292" t="s">
        <v>24</v>
      </c>
      <c r="N1292">
        <v>3</v>
      </c>
      <c r="O1292">
        <v>6</v>
      </c>
      <c r="P1292">
        <v>27</v>
      </c>
      <c r="Q1292">
        <v>3</v>
      </c>
      <c r="R1292">
        <v>3</v>
      </c>
      <c r="S1292" t="s">
        <v>25</v>
      </c>
    </row>
    <row r="1293" spans="1:19" x14ac:dyDescent="0.25">
      <c r="A1293">
        <v>11292</v>
      </c>
      <c r="B1293">
        <v>28</v>
      </c>
      <c r="C1293" t="s">
        <v>31</v>
      </c>
      <c r="D1293" t="s">
        <v>32</v>
      </c>
      <c r="E1293" t="s">
        <v>36</v>
      </c>
      <c r="F1293" t="s">
        <v>39</v>
      </c>
      <c r="G1293" t="s">
        <v>38</v>
      </c>
      <c r="H1293">
        <v>66882</v>
      </c>
      <c r="I1293">
        <v>29470</v>
      </c>
      <c r="J1293">
        <v>22</v>
      </c>
      <c r="K1293">
        <v>2</v>
      </c>
      <c r="L1293">
        <v>4</v>
      </c>
      <c r="M1293" t="s">
        <v>25</v>
      </c>
      <c r="N1293">
        <v>4</v>
      </c>
      <c r="O1293">
        <v>1</v>
      </c>
      <c r="P1293">
        <v>25</v>
      </c>
      <c r="Q1293">
        <v>2</v>
      </c>
      <c r="R1293">
        <v>3</v>
      </c>
      <c r="S1293" t="s">
        <v>25</v>
      </c>
    </row>
    <row r="1294" spans="1:19" x14ac:dyDescent="0.25">
      <c r="A1294">
        <v>11293</v>
      </c>
      <c r="B1294">
        <v>50</v>
      </c>
      <c r="C1294" t="s">
        <v>19</v>
      </c>
      <c r="D1294" t="s">
        <v>20</v>
      </c>
      <c r="E1294" t="s">
        <v>29</v>
      </c>
      <c r="F1294" t="s">
        <v>35</v>
      </c>
      <c r="G1294" t="s">
        <v>30</v>
      </c>
      <c r="H1294">
        <v>178835</v>
      </c>
      <c r="I1294">
        <v>16110</v>
      </c>
      <c r="J1294">
        <v>0</v>
      </c>
      <c r="K1294">
        <v>13</v>
      </c>
      <c r="L1294">
        <v>5</v>
      </c>
      <c r="M1294" t="s">
        <v>25</v>
      </c>
      <c r="N1294">
        <v>2</v>
      </c>
      <c r="O1294">
        <v>6</v>
      </c>
      <c r="P1294">
        <v>21</v>
      </c>
      <c r="Q1294">
        <v>3</v>
      </c>
      <c r="R1294">
        <v>3</v>
      </c>
      <c r="S1294" t="s">
        <v>25</v>
      </c>
    </row>
    <row r="1295" spans="1:19" x14ac:dyDescent="0.25">
      <c r="A1295">
        <v>11294</v>
      </c>
      <c r="B1295">
        <v>23</v>
      </c>
      <c r="C1295" t="s">
        <v>31</v>
      </c>
      <c r="D1295" t="s">
        <v>26</v>
      </c>
      <c r="E1295" t="s">
        <v>36</v>
      </c>
      <c r="F1295" t="s">
        <v>37</v>
      </c>
      <c r="G1295" t="s">
        <v>38</v>
      </c>
      <c r="H1295">
        <v>54221</v>
      </c>
      <c r="I1295">
        <v>38721</v>
      </c>
      <c r="J1295">
        <v>8</v>
      </c>
      <c r="K1295">
        <v>10</v>
      </c>
      <c r="L1295">
        <v>2</v>
      </c>
      <c r="M1295" t="s">
        <v>25</v>
      </c>
      <c r="N1295">
        <v>4</v>
      </c>
      <c r="O1295">
        <v>26</v>
      </c>
      <c r="P1295">
        <v>42</v>
      </c>
      <c r="Q1295">
        <v>3</v>
      </c>
      <c r="R1295">
        <v>2</v>
      </c>
      <c r="S1295" t="s">
        <v>25</v>
      </c>
    </row>
    <row r="1296" spans="1:19" x14ac:dyDescent="0.25">
      <c r="A1296">
        <v>11295</v>
      </c>
      <c r="B1296">
        <v>37</v>
      </c>
      <c r="C1296" t="s">
        <v>19</v>
      </c>
      <c r="D1296" t="s">
        <v>20</v>
      </c>
      <c r="E1296" t="s">
        <v>36</v>
      </c>
      <c r="F1296" t="s">
        <v>39</v>
      </c>
      <c r="G1296" t="s">
        <v>30</v>
      </c>
      <c r="H1296">
        <v>63617</v>
      </c>
      <c r="I1296">
        <v>10623</v>
      </c>
      <c r="J1296">
        <v>3</v>
      </c>
      <c r="K1296">
        <v>5</v>
      </c>
      <c r="L1296">
        <v>3</v>
      </c>
      <c r="M1296" t="s">
        <v>25</v>
      </c>
      <c r="N1296">
        <v>3</v>
      </c>
      <c r="O1296">
        <v>27</v>
      </c>
      <c r="P1296">
        <v>40</v>
      </c>
      <c r="Q1296">
        <v>3</v>
      </c>
      <c r="R1296">
        <v>1</v>
      </c>
      <c r="S1296" t="s">
        <v>25</v>
      </c>
    </row>
    <row r="1297" spans="1:19" x14ac:dyDescent="0.25">
      <c r="A1297">
        <v>11296</v>
      </c>
      <c r="B1297">
        <v>22</v>
      </c>
      <c r="C1297" t="s">
        <v>19</v>
      </c>
      <c r="D1297" t="s">
        <v>20</v>
      </c>
      <c r="E1297" t="s">
        <v>33</v>
      </c>
      <c r="F1297" t="s">
        <v>39</v>
      </c>
      <c r="G1297" t="s">
        <v>38</v>
      </c>
      <c r="H1297">
        <v>44594</v>
      </c>
      <c r="I1297">
        <v>19335</v>
      </c>
      <c r="J1297">
        <v>13</v>
      </c>
      <c r="K1297">
        <v>3</v>
      </c>
      <c r="L1297">
        <v>3</v>
      </c>
      <c r="M1297" t="s">
        <v>25</v>
      </c>
      <c r="N1297">
        <v>4</v>
      </c>
      <c r="O1297">
        <v>12</v>
      </c>
      <c r="P1297">
        <v>20</v>
      </c>
      <c r="Q1297">
        <v>4</v>
      </c>
      <c r="R1297">
        <v>4</v>
      </c>
      <c r="S1297" t="s">
        <v>25</v>
      </c>
    </row>
    <row r="1298" spans="1:19" x14ac:dyDescent="0.25">
      <c r="A1298">
        <v>11297</v>
      </c>
      <c r="B1298">
        <v>49</v>
      </c>
      <c r="C1298" t="s">
        <v>31</v>
      </c>
      <c r="D1298" t="s">
        <v>41</v>
      </c>
      <c r="E1298" t="s">
        <v>36</v>
      </c>
      <c r="F1298" t="s">
        <v>39</v>
      </c>
      <c r="G1298" t="s">
        <v>23</v>
      </c>
      <c r="H1298">
        <v>58127</v>
      </c>
      <c r="I1298">
        <v>16911</v>
      </c>
      <c r="J1298">
        <v>8</v>
      </c>
      <c r="K1298">
        <v>9</v>
      </c>
      <c r="L1298">
        <v>3</v>
      </c>
      <c r="M1298" t="s">
        <v>25</v>
      </c>
      <c r="N1298">
        <v>4</v>
      </c>
      <c r="O1298">
        <v>36</v>
      </c>
      <c r="P1298">
        <v>8</v>
      </c>
      <c r="Q1298">
        <v>4</v>
      </c>
      <c r="R1298">
        <v>2</v>
      </c>
      <c r="S1298" t="s">
        <v>25</v>
      </c>
    </row>
    <row r="1299" spans="1:19" x14ac:dyDescent="0.25">
      <c r="A1299">
        <v>11298</v>
      </c>
      <c r="B1299">
        <v>31</v>
      </c>
      <c r="C1299" t="s">
        <v>31</v>
      </c>
      <c r="D1299" t="s">
        <v>34</v>
      </c>
      <c r="E1299" t="s">
        <v>33</v>
      </c>
      <c r="F1299" t="s">
        <v>39</v>
      </c>
      <c r="G1299" t="s">
        <v>23</v>
      </c>
      <c r="H1299">
        <v>34190</v>
      </c>
      <c r="I1299">
        <v>48747</v>
      </c>
      <c r="J1299">
        <v>9</v>
      </c>
      <c r="K1299">
        <v>11</v>
      </c>
      <c r="L1299">
        <v>5</v>
      </c>
      <c r="M1299" t="s">
        <v>25</v>
      </c>
      <c r="N1299">
        <v>3</v>
      </c>
      <c r="O1299">
        <v>16</v>
      </c>
      <c r="P1299">
        <v>54</v>
      </c>
      <c r="Q1299">
        <v>3</v>
      </c>
      <c r="R1299">
        <v>1</v>
      </c>
      <c r="S1299" t="s">
        <v>25</v>
      </c>
    </row>
    <row r="1300" spans="1:19" x14ac:dyDescent="0.25">
      <c r="A1300">
        <v>11299</v>
      </c>
      <c r="B1300">
        <v>39</v>
      </c>
      <c r="C1300" t="s">
        <v>19</v>
      </c>
      <c r="D1300" t="s">
        <v>26</v>
      </c>
      <c r="E1300" t="s">
        <v>36</v>
      </c>
      <c r="F1300" t="s">
        <v>39</v>
      </c>
      <c r="G1300" t="s">
        <v>30</v>
      </c>
      <c r="H1300">
        <v>49344</v>
      </c>
      <c r="I1300">
        <v>13859</v>
      </c>
      <c r="J1300">
        <v>22</v>
      </c>
      <c r="K1300">
        <v>12</v>
      </c>
      <c r="L1300">
        <v>3</v>
      </c>
      <c r="M1300" t="s">
        <v>25</v>
      </c>
      <c r="N1300">
        <v>4</v>
      </c>
      <c r="O1300">
        <v>18</v>
      </c>
      <c r="P1300">
        <v>40</v>
      </c>
      <c r="Q1300">
        <v>3</v>
      </c>
      <c r="R1300">
        <v>2</v>
      </c>
      <c r="S1300" t="s">
        <v>25</v>
      </c>
    </row>
    <row r="1301" spans="1:19" x14ac:dyDescent="0.25">
      <c r="A1301">
        <v>11300</v>
      </c>
      <c r="B1301">
        <v>23</v>
      </c>
      <c r="C1301" t="s">
        <v>19</v>
      </c>
      <c r="D1301" t="s">
        <v>20</v>
      </c>
      <c r="E1301" t="s">
        <v>21</v>
      </c>
      <c r="F1301" t="s">
        <v>22</v>
      </c>
      <c r="G1301" t="s">
        <v>38</v>
      </c>
      <c r="H1301">
        <v>106400</v>
      </c>
      <c r="I1301">
        <v>1266</v>
      </c>
      <c r="J1301">
        <v>8</v>
      </c>
      <c r="K1301">
        <v>9</v>
      </c>
      <c r="L1301">
        <v>4</v>
      </c>
      <c r="M1301" t="s">
        <v>25</v>
      </c>
      <c r="N1301">
        <v>3</v>
      </c>
      <c r="O1301">
        <v>38</v>
      </c>
      <c r="P1301">
        <v>44</v>
      </c>
      <c r="Q1301">
        <v>4</v>
      </c>
      <c r="R1301">
        <v>1</v>
      </c>
      <c r="S1301" t="s">
        <v>25</v>
      </c>
    </row>
    <row r="1302" spans="1:19" x14ac:dyDescent="0.25">
      <c r="A1302">
        <v>11301</v>
      </c>
      <c r="B1302">
        <v>45</v>
      </c>
      <c r="C1302" t="s">
        <v>31</v>
      </c>
      <c r="D1302" t="s">
        <v>28</v>
      </c>
      <c r="E1302" t="s">
        <v>29</v>
      </c>
      <c r="F1302" t="s">
        <v>39</v>
      </c>
      <c r="G1302" t="s">
        <v>38</v>
      </c>
      <c r="H1302">
        <v>164388</v>
      </c>
      <c r="I1302">
        <v>9365</v>
      </c>
      <c r="J1302">
        <v>5</v>
      </c>
      <c r="K1302">
        <v>0</v>
      </c>
      <c r="L1302">
        <v>3</v>
      </c>
      <c r="M1302" t="s">
        <v>24</v>
      </c>
      <c r="N1302">
        <v>3</v>
      </c>
      <c r="O1302">
        <v>11</v>
      </c>
      <c r="P1302">
        <v>39</v>
      </c>
      <c r="Q1302">
        <v>1</v>
      </c>
      <c r="R1302">
        <v>2</v>
      </c>
      <c r="S1302" t="s">
        <v>25</v>
      </c>
    </row>
    <row r="1303" spans="1:19" x14ac:dyDescent="0.25">
      <c r="A1303">
        <v>11302</v>
      </c>
      <c r="B1303">
        <v>23</v>
      </c>
      <c r="C1303" t="s">
        <v>31</v>
      </c>
      <c r="D1303" t="s">
        <v>34</v>
      </c>
      <c r="E1303" t="s">
        <v>27</v>
      </c>
      <c r="F1303" t="s">
        <v>39</v>
      </c>
      <c r="G1303" t="s">
        <v>38</v>
      </c>
      <c r="H1303">
        <v>69070</v>
      </c>
      <c r="I1303">
        <v>11579</v>
      </c>
      <c r="J1303">
        <v>13</v>
      </c>
      <c r="K1303">
        <v>11</v>
      </c>
      <c r="L1303">
        <v>4</v>
      </c>
      <c r="M1303" t="s">
        <v>25</v>
      </c>
      <c r="N1303">
        <v>4</v>
      </c>
      <c r="O1303">
        <v>2</v>
      </c>
      <c r="P1303">
        <v>27</v>
      </c>
      <c r="Q1303">
        <v>3</v>
      </c>
      <c r="R1303">
        <v>1</v>
      </c>
      <c r="S1303" t="s">
        <v>25</v>
      </c>
    </row>
    <row r="1304" spans="1:19" x14ac:dyDescent="0.25">
      <c r="A1304">
        <v>11303</v>
      </c>
      <c r="B1304">
        <v>39</v>
      </c>
      <c r="C1304" t="s">
        <v>19</v>
      </c>
      <c r="D1304" t="s">
        <v>34</v>
      </c>
      <c r="E1304" t="s">
        <v>40</v>
      </c>
      <c r="F1304" t="s">
        <v>39</v>
      </c>
      <c r="G1304" t="s">
        <v>30</v>
      </c>
      <c r="H1304">
        <v>11360</v>
      </c>
      <c r="I1304">
        <v>15777</v>
      </c>
      <c r="J1304">
        <v>18</v>
      </c>
      <c r="K1304">
        <v>0</v>
      </c>
      <c r="L1304">
        <v>3</v>
      </c>
      <c r="M1304" t="s">
        <v>25</v>
      </c>
      <c r="N1304">
        <v>3</v>
      </c>
      <c r="O1304">
        <v>26</v>
      </c>
      <c r="P1304">
        <v>49</v>
      </c>
      <c r="Q1304">
        <v>3</v>
      </c>
      <c r="R1304">
        <v>2</v>
      </c>
      <c r="S1304" t="s">
        <v>25</v>
      </c>
    </row>
    <row r="1305" spans="1:19" x14ac:dyDescent="0.25">
      <c r="A1305">
        <v>11304</v>
      </c>
      <c r="B1305">
        <v>21</v>
      </c>
      <c r="C1305" t="s">
        <v>19</v>
      </c>
      <c r="D1305" t="s">
        <v>20</v>
      </c>
      <c r="E1305" t="s">
        <v>36</v>
      </c>
      <c r="F1305" t="s">
        <v>22</v>
      </c>
      <c r="G1305" t="s">
        <v>30</v>
      </c>
      <c r="H1305">
        <v>49713</v>
      </c>
      <c r="I1305">
        <v>17522</v>
      </c>
      <c r="J1305">
        <v>10</v>
      </c>
      <c r="K1305">
        <v>2</v>
      </c>
      <c r="L1305">
        <v>3</v>
      </c>
      <c r="M1305" t="s">
        <v>25</v>
      </c>
      <c r="N1305">
        <v>2</v>
      </c>
      <c r="O1305">
        <v>7</v>
      </c>
      <c r="P1305">
        <v>19</v>
      </c>
      <c r="Q1305">
        <v>4</v>
      </c>
      <c r="R1305">
        <v>1</v>
      </c>
      <c r="S1305" t="s">
        <v>25</v>
      </c>
    </row>
    <row r="1306" spans="1:19" x14ac:dyDescent="0.25">
      <c r="A1306">
        <v>11305</v>
      </c>
      <c r="B1306">
        <v>55</v>
      </c>
      <c r="C1306" t="s">
        <v>31</v>
      </c>
      <c r="D1306" t="s">
        <v>41</v>
      </c>
      <c r="E1306" t="s">
        <v>27</v>
      </c>
      <c r="F1306" t="s">
        <v>39</v>
      </c>
      <c r="G1306" t="s">
        <v>38</v>
      </c>
      <c r="H1306">
        <v>74221</v>
      </c>
      <c r="I1306">
        <v>44837</v>
      </c>
      <c r="J1306">
        <v>10</v>
      </c>
      <c r="K1306">
        <v>0</v>
      </c>
      <c r="L1306">
        <v>3</v>
      </c>
      <c r="M1306" t="s">
        <v>25</v>
      </c>
      <c r="N1306">
        <v>4</v>
      </c>
      <c r="O1306">
        <v>37</v>
      </c>
      <c r="P1306">
        <v>15</v>
      </c>
      <c r="Q1306">
        <v>2</v>
      </c>
      <c r="R1306">
        <v>2</v>
      </c>
      <c r="S1306" t="s">
        <v>25</v>
      </c>
    </row>
    <row r="1307" spans="1:19" x14ac:dyDescent="0.25">
      <c r="A1307">
        <v>11306</v>
      </c>
      <c r="B1307">
        <v>34</v>
      </c>
      <c r="C1307" t="s">
        <v>19</v>
      </c>
      <c r="D1307" t="s">
        <v>32</v>
      </c>
      <c r="E1307" t="s">
        <v>40</v>
      </c>
      <c r="F1307" t="s">
        <v>35</v>
      </c>
      <c r="G1307" t="s">
        <v>30</v>
      </c>
      <c r="H1307">
        <v>10761</v>
      </c>
      <c r="I1307">
        <v>28433</v>
      </c>
      <c r="J1307">
        <v>11</v>
      </c>
      <c r="K1307">
        <v>1</v>
      </c>
      <c r="L1307">
        <v>3</v>
      </c>
      <c r="M1307" t="s">
        <v>25</v>
      </c>
      <c r="N1307">
        <v>2</v>
      </c>
      <c r="O1307">
        <v>12</v>
      </c>
      <c r="P1307">
        <v>24</v>
      </c>
      <c r="Q1307">
        <v>4</v>
      </c>
      <c r="R1307">
        <v>2</v>
      </c>
      <c r="S1307" t="s">
        <v>25</v>
      </c>
    </row>
    <row r="1308" spans="1:19" x14ac:dyDescent="0.25">
      <c r="A1308">
        <v>11307</v>
      </c>
      <c r="B1308">
        <v>42</v>
      </c>
      <c r="C1308" t="s">
        <v>31</v>
      </c>
      <c r="D1308" t="s">
        <v>26</v>
      </c>
      <c r="E1308" t="s">
        <v>33</v>
      </c>
      <c r="F1308" t="s">
        <v>39</v>
      </c>
      <c r="G1308" t="s">
        <v>38</v>
      </c>
      <c r="H1308">
        <v>43322</v>
      </c>
      <c r="I1308">
        <v>21756</v>
      </c>
      <c r="J1308">
        <v>19</v>
      </c>
      <c r="K1308">
        <v>3</v>
      </c>
      <c r="L1308">
        <v>4</v>
      </c>
      <c r="M1308" t="s">
        <v>24</v>
      </c>
      <c r="N1308">
        <v>1</v>
      </c>
      <c r="O1308">
        <v>12</v>
      </c>
      <c r="P1308">
        <v>33</v>
      </c>
      <c r="Q1308">
        <v>2</v>
      </c>
      <c r="R1308">
        <v>4</v>
      </c>
      <c r="S1308" t="s">
        <v>24</v>
      </c>
    </row>
    <row r="1309" spans="1:19" x14ac:dyDescent="0.25">
      <c r="A1309">
        <v>11308</v>
      </c>
      <c r="B1309">
        <v>33</v>
      </c>
      <c r="C1309" t="s">
        <v>31</v>
      </c>
      <c r="D1309" t="s">
        <v>41</v>
      </c>
      <c r="E1309" t="s">
        <v>27</v>
      </c>
      <c r="F1309" t="s">
        <v>39</v>
      </c>
      <c r="G1309" t="s">
        <v>38</v>
      </c>
      <c r="H1309">
        <v>64211</v>
      </c>
      <c r="I1309">
        <v>5870</v>
      </c>
      <c r="J1309">
        <v>21</v>
      </c>
      <c r="K1309">
        <v>10</v>
      </c>
      <c r="L1309">
        <v>4</v>
      </c>
      <c r="M1309" t="s">
        <v>25</v>
      </c>
      <c r="N1309">
        <v>3</v>
      </c>
      <c r="O1309">
        <v>33</v>
      </c>
      <c r="P1309">
        <v>15</v>
      </c>
      <c r="Q1309">
        <v>4</v>
      </c>
      <c r="R1309">
        <v>3</v>
      </c>
      <c r="S1309" t="s">
        <v>25</v>
      </c>
    </row>
    <row r="1310" spans="1:19" x14ac:dyDescent="0.25">
      <c r="A1310">
        <v>11309</v>
      </c>
      <c r="B1310">
        <v>46</v>
      </c>
      <c r="C1310" t="s">
        <v>31</v>
      </c>
      <c r="D1310" t="s">
        <v>32</v>
      </c>
      <c r="E1310" t="s">
        <v>36</v>
      </c>
      <c r="F1310" t="s">
        <v>35</v>
      </c>
      <c r="G1310" t="s">
        <v>38</v>
      </c>
      <c r="H1310">
        <v>65228</v>
      </c>
      <c r="I1310">
        <v>6831</v>
      </c>
      <c r="J1310">
        <v>3</v>
      </c>
      <c r="K1310">
        <v>13</v>
      </c>
      <c r="L1310">
        <v>4</v>
      </c>
      <c r="M1310" t="s">
        <v>25</v>
      </c>
      <c r="N1310">
        <v>4</v>
      </c>
      <c r="O1310">
        <v>9</v>
      </c>
      <c r="P1310">
        <v>6</v>
      </c>
      <c r="Q1310">
        <v>3</v>
      </c>
      <c r="R1310">
        <v>2</v>
      </c>
      <c r="S1310" t="s">
        <v>25</v>
      </c>
    </row>
    <row r="1311" spans="1:19" x14ac:dyDescent="0.25">
      <c r="A1311">
        <v>11310</v>
      </c>
      <c r="B1311">
        <v>37</v>
      </c>
      <c r="C1311" t="s">
        <v>19</v>
      </c>
      <c r="D1311" t="s">
        <v>41</v>
      </c>
      <c r="E1311" t="s">
        <v>33</v>
      </c>
      <c r="F1311" t="s">
        <v>35</v>
      </c>
      <c r="G1311" t="s">
        <v>30</v>
      </c>
      <c r="H1311">
        <v>27788</v>
      </c>
      <c r="I1311">
        <v>20575</v>
      </c>
      <c r="J1311">
        <v>16</v>
      </c>
      <c r="K1311">
        <v>11</v>
      </c>
      <c r="L1311">
        <v>2</v>
      </c>
      <c r="M1311" t="s">
        <v>25</v>
      </c>
      <c r="N1311">
        <v>4</v>
      </c>
      <c r="O1311">
        <v>30</v>
      </c>
      <c r="P1311">
        <v>35</v>
      </c>
      <c r="Q1311">
        <v>3</v>
      </c>
      <c r="R1311">
        <v>3</v>
      </c>
      <c r="S1311" t="s">
        <v>25</v>
      </c>
    </row>
    <row r="1312" spans="1:19" x14ac:dyDescent="0.25">
      <c r="A1312">
        <v>11311</v>
      </c>
      <c r="B1312">
        <v>36</v>
      </c>
      <c r="C1312" t="s">
        <v>31</v>
      </c>
      <c r="D1312" t="s">
        <v>32</v>
      </c>
      <c r="E1312" t="s">
        <v>27</v>
      </c>
      <c r="F1312" t="s">
        <v>35</v>
      </c>
      <c r="G1312" t="s">
        <v>23</v>
      </c>
      <c r="H1312">
        <v>66937</v>
      </c>
      <c r="I1312">
        <v>45514</v>
      </c>
      <c r="J1312">
        <v>11</v>
      </c>
      <c r="K1312">
        <v>8</v>
      </c>
      <c r="L1312">
        <v>4</v>
      </c>
      <c r="M1312" t="s">
        <v>24</v>
      </c>
      <c r="N1312">
        <v>3</v>
      </c>
      <c r="O1312">
        <v>9</v>
      </c>
      <c r="P1312">
        <v>39</v>
      </c>
      <c r="Q1312">
        <v>4</v>
      </c>
      <c r="R1312">
        <v>3</v>
      </c>
      <c r="S1312" t="s">
        <v>25</v>
      </c>
    </row>
    <row r="1313" spans="1:19" x14ac:dyDescent="0.25">
      <c r="A1313">
        <v>11312</v>
      </c>
      <c r="B1313">
        <v>45</v>
      </c>
      <c r="C1313" t="s">
        <v>19</v>
      </c>
      <c r="D1313" t="s">
        <v>20</v>
      </c>
      <c r="E1313" t="s">
        <v>33</v>
      </c>
      <c r="F1313" t="s">
        <v>39</v>
      </c>
      <c r="G1313" t="s">
        <v>38</v>
      </c>
      <c r="H1313">
        <v>38555</v>
      </c>
      <c r="I1313">
        <v>16471</v>
      </c>
      <c r="J1313">
        <v>9</v>
      </c>
      <c r="K1313">
        <v>2</v>
      </c>
      <c r="L1313">
        <v>4</v>
      </c>
      <c r="M1313" t="s">
        <v>24</v>
      </c>
      <c r="N1313">
        <v>2</v>
      </c>
      <c r="O1313">
        <v>32</v>
      </c>
      <c r="P1313">
        <v>55</v>
      </c>
      <c r="Q1313">
        <v>4</v>
      </c>
      <c r="R1313">
        <v>3</v>
      </c>
      <c r="S1313" t="s">
        <v>25</v>
      </c>
    </row>
    <row r="1314" spans="1:19" x14ac:dyDescent="0.25">
      <c r="A1314">
        <v>11313</v>
      </c>
      <c r="B1314">
        <v>33</v>
      </c>
      <c r="C1314" t="s">
        <v>19</v>
      </c>
      <c r="D1314" t="s">
        <v>28</v>
      </c>
      <c r="E1314" t="s">
        <v>27</v>
      </c>
      <c r="F1314" t="s">
        <v>22</v>
      </c>
      <c r="G1314" t="s">
        <v>30</v>
      </c>
      <c r="H1314">
        <v>70274</v>
      </c>
      <c r="I1314">
        <v>3346</v>
      </c>
      <c r="J1314">
        <v>22</v>
      </c>
      <c r="K1314">
        <v>8</v>
      </c>
      <c r="L1314">
        <v>2</v>
      </c>
      <c r="M1314" t="s">
        <v>24</v>
      </c>
      <c r="N1314">
        <v>2</v>
      </c>
      <c r="O1314">
        <v>25</v>
      </c>
      <c r="P1314">
        <v>39</v>
      </c>
      <c r="Q1314">
        <v>4</v>
      </c>
      <c r="R1314">
        <v>3</v>
      </c>
      <c r="S1314" t="s">
        <v>25</v>
      </c>
    </row>
    <row r="1315" spans="1:19" x14ac:dyDescent="0.25">
      <c r="A1315">
        <v>11314</v>
      </c>
      <c r="B1315">
        <v>33</v>
      </c>
      <c r="C1315" t="s">
        <v>31</v>
      </c>
      <c r="D1315" t="s">
        <v>26</v>
      </c>
      <c r="E1315" t="s">
        <v>36</v>
      </c>
      <c r="F1315" t="s">
        <v>39</v>
      </c>
      <c r="G1315" t="s">
        <v>38</v>
      </c>
      <c r="H1315">
        <v>51713</v>
      </c>
      <c r="I1315">
        <v>18918</v>
      </c>
      <c r="J1315">
        <v>3</v>
      </c>
      <c r="K1315">
        <v>0</v>
      </c>
      <c r="L1315">
        <v>3</v>
      </c>
      <c r="M1315" t="s">
        <v>24</v>
      </c>
      <c r="N1315">
        <v>3</v>
      </c>
      <c r="O1315">
        <v>7</v>
      </c>
      <c r="P1315">
        <v>29</v>
      </c>
      <c r="Q1315">
        <v>1</v>
      </c>
      <c r="R1315">
        <v>3</v>
      </c>
      <c r="S1315" t="s">
        <v>25</v>
      </c>
    </row>
    <row r="1316" spans="1:19" x14ac:dyDescent="0.25">
      <c r="A1316">
        <v>11315</v>
      </c>
      <c r="B1316">
        <v>41</v>
      </c>
      <c r="C1316" t="s">
        <v>31</v>
      </c>
      <c r="D1316" t="s">
        <v>32</v>
      </c>
      <c r="E1316" t="s">
        <v>29</v>
      </c>
      <c r="F1316" t="s">
        <v>35</v>
      </c>
      <c r="G1316" t="s">
        <v>30</v>
      </c>
      <c r="H1316">
        <v>135674</v>
      </c>
      <c r="I1316">
        <v>41159</v>
      </c>
      <c r="J1316">
        <v>24</v>
      </c>
      <c r="K1316">
        <v>11</v>
      </c>
      <c r="L1316">
        <v>4</v>
      </c>
      <c r="M1316" t="s">
        <v>25</v>
      </c>
      <c r="N1316">
        <v>3</v>
      </c>
      <c r="O1316">
        <v>4</v>
      </c>
      <c r="P1316">
        <v>17</v>
      </c>
      <c r="Q1316">
        <v>3</v>
      </c>
      <c r="R1316">
        <v>3</v>
      </c>
      <c r="S1316" t="s">
        <v>25</v>
      </c>
    </row>
    <row r="1317" spans="1:19" x14ac:dyDescent="0.25">
      <c r="A1317">
        <v>11316</v>
      </c>
      <c r="B1317">
        <v>41</v>
      </c>
      <c r="C1317" t="s">
        <v>31</v>
      </c>
      <c r="D1317" t="s">
        <v>26</v>
      </c>
      <c r="E1317" t="s">
        <v>21</v>
      </c>
      <c r="F1317" t="s">
        <v>35</v>
      </c>
      <c r="G1317" t="s">
        <v>23</v>
      </c>
      <c r="H1317">
        <v>98065</v>
      </c>
      <c r="I1317">
        <v>17622</v>
      </c>
      <c r="J1317">
        <v>14</v>
      </c>
      <c r="K1317">
        <v>14</v>
      </c>
      <c r="L1317">
        <v>3</v>
      </c>
      <c r="M1317" t="s">
        <v>25</v>
      </c>
      <c r="N1317">
        <v>3</v>
      </c>
      <c r="O1317">
        <v>13</v>
      </c>
      <c r="P1317">
        <v>58</v>
      </c>
      <c r="Q1317">
        <v>1</v>
      </c>
      <c r="R1317">
        <v>3</v>
      </c>
      <c r="S1317" t="s">
        <v>25</v>
      </c>
    </row>
    <row r="1318" spans="1:19" x14ac:dyDescent="0.25">
      <c r="A1318">
        <v>11317</v>
      </c>
      <c r="B1318">
        <v>51</v>
      </c>
      <c r="C1318" t="s">
        <v>19</v>
      </c>
      <c r="D1318" t="s">
        <v>26</v>
      </c>
      <c r="E1318" t="s">
        <v>33</v>
      </c>
      <c r="F1318" t="s">
        <v>35</v>
      </c>
      <c r="G1318" t="s">
        <v>38</v>
      </c>
      <c r="H1318">
        <v>42766</v>
      </c>
      <c r="I1318">
        <v>42738</v>
      </c>
      <c r="J1318">
        <v>9</v>
      </c>
      <c r="K1318">
        <v>6</v>
      </c>
      <c r="L1318">
        <v>1</v>
      </c>
      <c r="M1318" t="s">
        <v>25</v>
      </c>
      <c r="N1318">
        <v>3</v>
      </c>
      <c r="O1318">
        <v>22</v>
      </c>
      <c r="P1318">
        <v>38</v>
      </c>
      <c r="Q1318">
        <v>4</v>
      </c>
      <c r="R1318">
        <v>3</v>
      </c>
      <c r="S1318" t="s">
        <v>25</v>
      </c>
    </row>
    <row r="1319" spans="1:19" x14ac:dyDescent="0.25">
      <c r="A1319">
        <v>11318</v>
      </c>
      <c r="B1319">
        <v>39</v>
      </c>
      <c r="C1319" t="s">
        <v>31</v>
      </c>
      <c r="D1319" t="s">
        <v>20</v>
      </c>
      <c r="E1319" t="s">
        <v>36</v>
      </c>
      <c r="F1319" t="s">
        <v>35</v>
      </c>
      <c r="G1319" t="s">
        <v>38</v>
      </c>
      <c r="H1319">
        <v>60546</v>
      </c>
      <c r="I1319">
        <v>32667</v>
      </c>
      <c r="J1319">
        <v>12</v>
      </c>
      <c r="K1319">
        <v>14</v>
      </c>
      <c r="L1319">
        <v>3</v>
      </c>
      <c r="M1319" t="s">
        <v>24</v>
      </c>
      <c r="N1319">
        <v>4</v>
      </c>
      <c r="O1319">
        <v>24</v>
      </c>
      <c r="P1319">
        <v>12</v>
      </c>
      <c r="Q1319">
        <v>3</v>
      </c>
      <c r="R1319">
        <v>4</v>
      </c>
      <c r="S1319" t="s">
        <v>25</v>
      </c>
    </row>
    <row r="1320" spans="1:19" x14ac:dyDescent="0.25">
      <c r="A1320">
        <v>11319</v>
      </c>
      <c r="B1320">
        <v>32</v>
      </c>
      <c r="C1320" t="s">
        <v>31</v>
      </c>
      <c r="D1320" t="s">
        <v>41</v>
      </c>
      <c r="E1320" t="s">
        <v>36</v>
      </c>
      <c r="F1320" t="s">
        <v>35</v>
      </c>
      <c r="G1320" t="s">
        <v>30</v>
      </c>
      <c r="H1320">
        <v>65745</v>
      </c>
      <c r="I1320">
        <v>24488</v>
      </c>
      <c r="J1320">
        <v>0</v>
      </c>
      <c r="K1320">
        <v>0</v>
      </c>
      <c r="L1320">
        <v>2</v>
      </c>
      <c r="M1320" t="s">
        <v>25</v>
      </c>
      <c r="N1320">
        <v>1</v>
      </c>
      <c r="O1320">
        <v>1</v>
      </c>
      <c r="P1320">
        <v>51</v>
      </c>
      <c r="Q1320">
        <v>3</v>
      </c>
      <c r="R1320">
        <v>4</v>
      </c>
      <c r="S1320" t="s">
        <v>24</v>
      </c>
    </row>
    <row r="1321" spans="1:19" x14ac:dyDescent="0.25">
      <c r="A1321">
        <v>11320</v>
      </c>
      <c r="B1321">
        <v>21</v>
      </c>
      <c r="C1321" t="s">
        <v>19</v>
      </c>
      <c r="D1321" t="s">
        <v>41</v>
      </c>
      <c r="E1321" t="s">
        <v>40</v>
      </c>
      <c r="F1321" t="s">
        <v>39</v>
      </c>
      <c r="G1321" t="s">
        <v>23</v>
      </c>
      <c r="H1321">
        <v>11847</v>
      </c>
      <c r="I1321">
        <v>31072</v>
      </c>
      <c r="J1321">
        <v>10</v>
      </c>
      <c r="K1321">
        <v>11</v>
      </c>
      <c r="L1321">
        <v>2</v>
      </c>
      <c r="M1321" t="s">
        <v>24</v>
      </c>
      <c r="N1321">
        <v>2</v>
      </c>
      <c r="O1321">
        <v>14</v>
      </c>
      <c r="P1321">
        <v>16</v>
      </c>
      <c r="Q1321">
        <v>3</v>
      </c>
      <c r="R1321">
        <v>1</v>
      </c>
      <c r="S1321" t="s">
        <v>25</v>
      </c>
    </row>
    <row r="1322" spans="1:19" x14ac:dyDescent="0.25">
      <c r="A1322">
        <v>11321</v>
      </c>
      <c r="B1322">
        <v>27</v>
      </c>
      <c r="C1322" t="s">
        <v>19</v>
      </c>
      <c r="D1322" t="s">
        <v>34</v>
      </c>
      <c r="E1322" t="s">
        <v>33</v>
      </c>
      <c r="F1322" t="s">
        <v>35</v>
      </c>
      <c r="G1322" t="s">
        <v>38</v>
      </c>
      <c r="H1322">
        <v>37795</v>
      </c>
      <c r="I1322">
        <v>45201</v>
      </c>
      <c r="J1322">
        <v>13</v>
      </c>
      <c r="K1322">
        <v>4</v>
      </c>
      <c r="L1322">
        <v>3</v>
      </c>
      <c r="M1322" t="s">
        <v>24</v>
      </c>
      <c r="N1322">
        <v>3</v>
      </c>
      <c r="O1322">
        <v>35</v>
      </c>
      <c r="P1322">
        <v>6</v>
      </c>
      <c r="Q1322">
        <v>4</v>
      </c>
      <c r="R1322">
        <v>1</v>
      </c>
      <c r="S1322" t="s">
        <v>25</v>
      </c>
    </row>
    <row r="1323" spans="1:19" x14ac:dyDescent="0.25">
      <c r="A1323">
        <v>11322</v>
      </c>
      <c r="B1323">
        <v>57</v>
      </c>
      <c r="C1323" t="s">
        <v>19</v>
      </c>
      <c r="D1323" t="s">
        <v>26</v>
      </c>
      <c r="E1323" t="s">
        <v>33</v>
      </c>
      <c r="F1323" t="s">
        <v>35</v>
      </c>
      <c r="G1323" t="s">
        <v>38</v>
      </c>
      <c r="H1323">
        <v>27319</v>
      </c>
      <c r="I1323">
        <v>12446</v>
      </c>
      <c r="J1323">
        <v>4</v>
      </c>
      <c r="K1323">
        <v>1</v>
      </c>
      <c r="L1323">
        <v>3</v>
      </c>
      <c r="M1323" t="s">
        <v>24</v>
      </c>
      <c r="N1323">
        <v>4</v>
      </c>
      <c r="O1323">
        <v>38</v>
      </c>
      <c r="P1323">
        <v>17</v>
      </c>
      <c r="Q1323">
        <v>3</v>
      </c>
      <c r="R1323">
        <v>1</v>
      </c>
      <c r="S1323" t="s">
        <v>25</v>
      </c>
    </row>
    <row r="1324" spans="1:19" x14ac:dyDescent="0.25">
      <c r="A1324">
        <v>11323</v>
      </c>
      <c r="B1324">
        <v>23</v>
      </c>
      <c r="C1324" t="s">
        <v>19</v>
      </c>
      <c r="D1324" t="s">
        <v>32</v>
      </c>
      <c r="E1324" t="s">
        <v>36</v>
      </c>
      <c r="F1324" t="s">
        <v>22</v>
      </c>
      <c r="G1324" t="s">
        <v>38</v>
      </c>
      <c r="H1324">
        <v>63602</v>
      </c>
      <c r="I1324">
        <v>42759</v>
      </c>
      <c r="J1324">
        <v>21</v>
      </c>
      <c r="K1324">
        <v>1</v>
      </c>
      <c r="L1324">
        <v>3</v>
      </c>
      <c r="M1324" t="s">
        <v>25</v>
      </c>
      <c r="N1324">
        <v>3</v>
      </c>
      <c r="O1324">
        <v>35</v>
      </c>
      <c r="P1324">
        <v>52</v>
      </c>
      <c r="Q1324">
        <v>3</v>
      </c>
      <c r="R1324">
        <v>2</v>
      </c>
      <c r="S1324" t="s">
        <v>25</v>
      </c>
    </row>
    <row r="1325" spans="1:19" x14ac:dyDescent="0.25">
      <c r="A1325">
        <v>11324</v>
      </c>
      <c r="B1325">
        <v>28</v>
      </c>
      <c r="C1325" t="s">
        <v>19</v>
      </c>
      <c r="D1325" t="s">
        <v>20</v>
      </c>
      <c r="E1325" t="s">
        <v>33</v>
      </c>
      <c r="F1325" t="s">
        <v>35</v>
      </c>
      <c r="G1325" t="s">
        <v>38</v>
      </c>
      <c r="H1325">
        <v>40817</v>
      </c>
      <c r="I1325">
        <v>10087</v>
      </c>
      <c r="J1325">
        <v>18</v>
      </c>
      <c r="K1325">
        <v>4</v>
      </c>
      <c r="L1325">
        <v>3</v>
      </c>
      <c r="M1325" t="s">
        <v>25</v>
      </c>
      <c r="N1325">
        <v>4</v>
      </c>
      <c r="O1325">
        <v>30</v>
      </c>
      <c r="P1325">
        <v>25</v>
      </c>
      <c r="Q1325">
        <v>3</v>
      </c>
      <c r="R1325">
        <v>2</v>
      </c>
      <c r="S1325" t="s">
        <v>25</v>
      </c>
    </row>
    <row r="1326" spans="1:19" x14ac:dyDescent="0.25">
      <c r="A1326">
        <v>11325</v>
      </c>
      <c r="B1326">
        <v>55</v>
      </c>
      <c r="C1326" t="s">
        <v>31</v>
      </c>
      <c r="D1326" t="s">
        <v>32</v>
      </c>
      <c r="E1326" t="s">
        <v>33</v>
      </c>
      <c r="F1326" t="s">
        <v>35</v>
      </c>
      <c r="G1326" t="s">
        <v>38</v>
      </c>
      <c r="H1326">
        <v>44589</v>
      </c>
      <c r="I1326">
        <v>43777</v>
      </c>
      <c r="J1326">
        <v>15</v>
      </c>
      <c r="K1326">
        <v>0</v>
      </c>
      <c r="L1326">
        <v>5</v>
      </c>
      <c r="M1326" t="s">
        <v>25</v>
      </c>
      <c r="N1326">
        <v>3</v>
      </c>
      <c r="O1326">
        <v>35</v>
      </c>
      <c r="P1326">
        <v>17</v>
      </c>
      <c r="Q1326">
        <v>3</v>
      </c>
      <c r="R1326">
        <v>2</v>
      </c>
      <c r="S1326" t="s">
        <v>25</v>
      </c>
    </row>
    <row r="1327" spans="1:19" x14ac:dyDescent="0.25">
      <c r="A1327">
        <v>11326</v>
      </c>
      <c r="B1327">
        <v>39</v>
      </c>
      <c r="C1327" t="s">
        <v>19</v>
      </c>
      <c r="D1327" t="s">
        <v>26</v>
      </c>
      <c r="E1327" t="s">
        <v>21</v>
      </c>
      <c r="F1327" t="s">
        <v>39</v>
      </c>
      <c r="G1327" t="s">
        <v>30</v>
      </c>
      <c r="H1327">
        <v>127275</v>
      </c>
      <c r="I1327">
        <v>49347</v>
      </c>
      <c r="J1327">
        <v>14</v>
      </c>
      <c r="K1327">
        <v>14</v>
      </c>
      <c r="L1327">
        <v>4</v>
      </c>
      <c r="M1327" t="s">
        <v>25</v>
      </c>
      <c r="N1327">
        <v>3</v>
      </c>
      <c r="O1327">
        <v>15</v>
      </c>
      <c r="P1327">
        <v>41</v>
      </c>
      <c r="Q1327">
        <v>3</v>
      </c>
      <c r="R1327">
        <v>3</v>
      </c>
      <c r="S1327" t="s">
        <v>25</v>
      </c>
    </row>
    <row r="1328" spans="1:19" x14ac:dyDescent="0.25">
      <c r="A1328">
        <v>11327</v>
      </c>
      <c r="B1328">
        <v>51</v>
      </c>
      <c r="C1328" t="s">
        <v>19</v>
      </c>
      <c r="D1328" t="s">
        <v>20</v>
      </c>
      <c r="E1328" t="s">
        <v>40</v>
      </c>
      <c r="F1328" t="s">
        <v>39</v>
      </c>
      <c r="G1328" t="s">
        <v>38</v>
      </c>
      <c r="H1328">
        <v>12435</v>
      </c>
      <c r="I1328">
        <v>20559</v>
      </c>
      <c r="J1328">
        <v>13</v>
      </c>
      <c r="K1328">
        <v>5</v>
      </c>
      <c r="L1328">
        <v>4</v>
      </c>
      <c r="M1328" t="s">
        <v>24</v>
      </c>
      <c r="N1328">
        <v>3</v>
      </c>
      <c r="O1328">
        <v>32</v>
      </c>
      <c r="P1328">
        <v>25</v>
      </c>
      <c r="Q1328">
        <v>3</v>
      </c>
      <c r="R1328">
        <v>1</v>
      </c>
      <c r="S1328" t="s">
        <v>25</v>
      </c>
    </row>
    <row r="1329" spans="1:19" x14ac:dyDescent="0.25">
      <c r="A1329">
        <v>11328</v>
      </c>
      <c r="B1329">
        <v>55</v>
      </c>
      <c r="C1329" t="s">
        <v>31</v>
      </c>
      <c r="D1329" t="s">
        <v>34</v>
      </c>
      <c r="E1329" t="s">
        <v>33</v>
      </c>
      <c r="F1329" t="s">
        <v>22</v>
      </c>
      <c r="G1329" t="s">
        <v>38</v>
      </c>
      <c r="H1329">
        <v>43525</v>
      </c>
      <c r="I1329">
        <v>7534</v>
      </c>
      <c r="J1329">
        <v>11</v>
      </c>
      <c r="K1329">
        <v>11</v>
      </c>
      <c r="L1329">
        <v>2</v>
      </c>
      <c r="M1329" t="s">
        <v>25</v>
      </c>
      <c r="N1329">
        <v>2</v>
      </c>
      <c r="O1329">
        <v>7</v>
      </c>
      <c r="P1329">
        <v>36</v>
      </c>
      <c r="Q1329">
        <v>1</v>
      </c>
      <c r="R1329">
        <v>1</v>
      </c>
      <c r="S1329" t="s">
        <v>24</v>
      </c>
    </row>
    <row r="1330" spans="1:19" x14ac:dyDescent="0.25">
      <c r="A1330">
        <v>11329</v>
      </c>
      <c r="B1330">
        <v>26</v>
      </c>
      <c r="C1330" t="s">
        <v>19</v>
      </c>
      <c r="D1330" t="s">
        <v>20</v>
      </c>
      <c r="E1330" t="s">
        <v>27</v>
      </c>
      <c r="F1330" t="s">
        <v>39</v>
      </c>
      <c r="G1330" t="s">
        <v>38</v>
      </c>
      <c r="H1330">
        <v>63901</v>
      </c>
      <c r="I1330">
        <v>15314</v>
      </c>
      <c r="J1330">
        <v>10</v>
      </c>
      <c r="K1330">
        <v>4</v>
      </c>
      <c r="L1330">
        <v>4</v>
      </c>
      <c r="M1330" t="s">
        <v>24</v>
      </c>
      <c r="N1330">
        <v>3</v>
      </c>
      <c r="O1330">
        <v>16</v>
      </c>
      <c r="P1330">
        <v>36</v>
      </c>
      <c r="Q1330">
        <v>3</v>
      </c>
      <c r="R1330">
        <v>3</v>
      </c>
      <c r="S1330" t="s">
        <v>25</v>
      </c>
    </row>
    <row r="1331" spans="1:19" x14ac:dyDescent="0.25">
      <c r="A1331">
        <v>11330</v>
      </c>
      <c r="B1331">
        <v>48</v>
      </c>
      <c r="C1331" t="s">
        <v>19</v>
      </c>
      <c r="D1331" t="s">
        <v>41</v>
      </c>
      <c r="E1331" t="s">
        <v>33</v>
      </c>
      <c r="F1331" t="s">
        <v>39</v>
      </c>
      <c r="G1331" t="s">
        <v>23</v>
      </c>
      <c r="H1331">
        <v>40327</v>
      </c>
      <c r="I1331">
        <v>15009</v>
      </c>
      <c r="J1331">
        <v>3</v>
      </c>
      <c r="K1331">
        <v>6</v>
      </c>
      <c r="L1331">
        <v>3</v>
      </c>
      <c r="M1331" t="s">
        <v>25</v>
      </c>
      <c r="N1331">
        <v>3</v>
      </c>
      <c r="O1331">
        <v>29</v>
      </c>
      <c r="P1331">
        <v>29</v>
      </c>
      <c r="Q1331">
        <v>3</v>
      </c>
      <c r="R1331">
        <v>3</v>
      </c>
      <c r="S1331" t="s">
        <v>25</v>
      </c>
    </row>
    <row r="1332" spans="1:19" x14ac:dyDescent="0.25">
      <c r="A1332">
        <v>11331</v>
      </c>
      <c r="B1332">
        <v>54</v>
      </c>
      <c r="C1332" t="s">
        <v>31</v>
      </c>
      <c r="D1332" t="s">
        <v>41</v>
      </c>
      <c r="E1332" t="s">
        <v>40</v>
      </c>
      <c r="F1332" t="s">
        <v>22</v>
      </c>
      <c r="G1332" t="s">
        <v>30</v>
      </c>
      <c r="H1332">
        <v>17050</v>
      </c>
      <c r="I1332">
        <v>7004</v>
      </c>
      <c r="J1332">
        <v>14</v>
      </c>
      <c r="K1332">
        <v>6</v>
      </c>
      <c r="L1332">
        <v>4</v>
      </c>
      <c r="M1332" t="s">
        <v>25</v>
      </c>
      <c r="N1332">
        <v>3</v>
      </c>
      <c r="O1332">
        <v>2</v>
      </c>
      <c r="P1332">
        <v>22</v>
      </c>
      <c r="Q1332">
        <v>1</v>
      </c>
      <c r="R1332">
        <v>3</v>
      </c>
      <c r="S1332" t="s">
        <v>24</v>
      </c>
    </row>
    <row r="1333" spans="1:19" x14ac:dyDescent="0.25">
      <c r="A1333">
        <v>11332</v>
      </c>
      <c r="B1333">
        <v>46</v>
      </c>
      <c r="C1333" t="s">
        <v>19</v>
      </c>
      <c r="D1333" t="s">
        <v>26</v>
      </c>
      <c r="E1333" t="s">
        <v>21</v>
      </c>
      <c r="F1333" t="s">
        <v>39</v>
      </c>
      <c r="G1333" t="s">
        <v>23</v>
      </c>
      <c r="H1333">
        <v>100283</v>
      </c>
      <c r="I1333">
        <v>22016</v>
      </c>
      <c r="J1333">
        <v>0</v>
      </c>
      <c r="K1333">
        <v>8</v>
      </c>
      <c r="L1333">
        <v>3</v>
      </c>
      <c r="M1333" t="s">
        <v>24</v>
      </c>
      <c r="N1333">
        <v>2</v>
      </c>
      <c r="O1333">
        <v>21</v>
      </c>
      <c r="P1333">
        <v>24</v>
      </c>
      <c r="Q1333">
        <v>1</v>
      </c>
      <c r="R1333">
        <v>4</v>
      </c>
      <c r="S1333" t="s">
        <v>25</v>
      </c>
    </row>
    <row r="1334" spans="1:19" x14ac:dyDescent="0.25">
      <c r="A1334">
        <v>11333</v>
      </c>
      <c r="B1334">
        <v>31</v>
      </c>
      <c r="C1334" t="s">
        <v>19</v>
      </c>
      <c r="D1334" t="s">
        <v>28</v>
      </c>
      <c r="E1334" t="s">
        <v>29</v>
      </c>
      <c r="F1334" t="s">
        <v>22</v>
      </c>
      <c r="G1334" t="s">
        <v>30</v>
      </c>
      <c r="H1334">
        <v>135494</v>
      </c>
      <c r="I1334">
        <v>32098</v>
      </c>
      <c r="J1334">
        <v>3</v>
      </c>
      <c r="K1334">
        <v>12</v>
      </c>
      <c r="L1334">
        <v>5</v>
      </c>
      <c r="M1334" t="s">
        <v>25</v>
      </c>
      <c r="N1334">
        <v>3</v>
      </c>
      <c r="O1334">
        <v>28</v>
      </c>
      <c r="P1334">
        <v>44</v>
      </c>
      <c r="Q1334">
        <v>3</v>
      </c>
      <c r="R1334">
        <v>4</v>
      </c>
      <c r="S1334" t="s">
        <v>25</v>
      </c>
    </row>
    <row r="1335" spans="1:19" x14ac:dyDescent="0.25">
      <c r="A1335">
        <v>11334</v>
      </c>
      <c r="B1335">
        <v>48</v>
      </c>
      <c r="C1335" t="s">
        <v>19</v>
      </c>
      <c r="D1335" t="s">
        <v>20</v>
      </c>
      <c r="E1335" t="s">
        <v>21</v>
      </c>
      <c r="F1335" t="s">
        <v>22</v>
      </c>
      <c r="G1335" t="s">
        <v>38</v>
      </c>
      <c r="H1335">
        <v>103096</v>
      </c>
      <c r="I1335">
        <v>34483</v>
      </c>
      <c r="J1335">
        <v>7</v>
      </c>
      <c r="K1335">
        <v>13</v>
      </c>
      <c r="L1335">
        <v>3</v>
      </c>
      <c r="M1335" t="s">
        <v>25</v>
      </c>
      <c r="N1335">
        <v>3</v>
      </c>
      <c r="O1335">
        <v>33</v>
      </c>
      <c r="P1335">
        <v>58</v>
      </c>
      <c r="Q1335">
        <v>4</v>
      </c>
      <c r="R1335">
        <v>3</v>
      </c>
      <c r="S1335" t="s">
        <v>25</v>
      </c>
    </row>
    <row r="1336" spans="1:19" x14ac:dyDescent="0.25">
      <c r="A1336">
        <v>11335</v>
      </c>
      <c r="B1336">
        <v>34</v>
      </c>
      <c r="C1336" t="s">
        <v>19</v>
      </c>
      <c r="D1336" t="s">
        <v>20</v>
      </c>
      <c r="E1336" t="s">
        <v>33</v>
      </c>
      <c r="F1336" t="s">
        <v>39</v>
      </c>
      <c r="G1336" t="s">
        <v>30</v>
      </c>
      <c r="H1336">
        <v>30322</v>
      </c>
      <c r="I1336">
        <v>18134</v>
      </c>
      <c r="J1336">
        <v>23</v>
      </c>
      <c r="K1336">
        <v>3</v>
      </c>
      <c r="L1336">
        <v>3</v>
      </c>
      <c r="M1336" t="s">
        <v>25</v>
      </c>
      <c r="N1336">
        <v>1</v>
      </c>
      <c r="O1336">
        <v>19</v>
      </c>
      <c r="P1336">
        <v>41</v>
      </c>
      <c r="Q1336">
        <v>3</v>
      </c>
      <c r="R1336">
        <v>2</v>
      </c>
      <c r="S1336" t="s">
        <v>25</v>
      </c>
    </row>
    <row r="1337" spans="1:19" x14ac:dyDescent="0.25">
      <c r="A1337">
        <v>11336</v>
      </c>
      <c r="B1337">
        <v>33</v>
      </c>
      <c r="C1337" t="s">
        <v>19</v>
      </c>
      <c r="D1337" t="s">
        <v>20</v>
      </c>
      <c r="E1337" t="s">
        <v>21</v>
      </c>
      <c r="F1337" t="s">
        <v>22</v>
      </c>
      <c r="G1337" t="s">
        <v>30</v>
      </c>
      <c r="H1337">
        <v>127992</v>
      </c>
      <c r="I1337">
        <v>25104</v>
      </c>
      <c r="J1337">
        <v>12</v>
      </c>
      <c r="K1337">
        <v>5</v>
      </c>
      <c r="L1337">
        <v>4</v>
      </c>
      <c r="M1337" t="s">
        <v>25</v>
      </c>
      <c r="N1337">
        <v>4</v>
      </c>
      <c r="O1337">
        <v>38</v>
      </c>
      <c r="P1337">
        <v>53</v>
      </c>
      <c r="Q1337">
        <v>4</v>
      </c>
      <c r="R1337">
        <v>1</v>
      </c>
      <c r="S1337" t="s">
        <v>25</v>
      </c>
    </row>
    <row r="1338" spans="1:19" x14ac:dyDescent="0.25">
      <c r="A1338">
        <v>11337</v>
      </c>
      <c r="B1338">
        <v>24</v>
      </c>
      <c r="C1338" t="s">
        <v>19</v>
      </c>
      <c r="D1338" t="s">
        <v>34</v>
      </c>
      <c r="E1338" t="s">
        <v>40</v>
      </c>
      <c r="F1338" t="s">
        <v>39</v>
      </c>
      <c r="G1338" t="s">
        <v>30</v>
      </c>
      <c r="H1338">
        <v>17530</v>
      </c>
      <c r="I1338">
        <v>36036</v>
      </c>
      <c r="J1338">
        <v>6</v>
      </c>
      <c r="K1338">
        <v>2</v>
      </c>
      <c r="L1338">
        <v>4</v>
      </c>
      <c r="M1338" t="s">
        <v>25</v>
      </c>
      <c r="N1338">
        <v>3</v>
      </c>
      <c r="O1338">
        <v>5</v>
      </c>
      <c r="P1338">
        <v>11</v>
      </c>
      <c r="Q1338">
        <v>2</v>
      </c>
      <c r="R1338">
        <v>3</v>
      </c>
      <c r="S1338" t="s">
        <v>25</v>
      </c>
    </row>
    <row r="1339" spans="1:19" x14ac:dyDescent="0.25">
      <c r="A1339">
        <v>11338</v>
      </c>
      <c r="B1339">
        <v>57</v>
      </c>
      <c r="C1339" t="s">
        <v>31</v>
      </c>
      <c r="D1339" t="s">
        <v>20</v>
      </c>
      <c r="E1339" t="s">
        <v>36</v>
      </c>
      <c r="F1339" t="s">
        <v>35</v>
      </c>
      <c r="G1339" t="s">
        <v>38</v>
      </c>
      <c r="H1339">
        <v>45679</v>
      </c>
      <c r="I1339">
        <v>48710</v>
      </c>
      <c r="J1339">
        <v>6</v>
      </c>
      <c r="K1339">
        <v>6</v>
      </c>
      <c r="L1339">
        <v>1</v>
      </c>
      <c r="M1339" t="s">
        <v>24</v>
      </c>
      <c r="N1339">
        <v>4</v>
      </c>
      <c r="O1339">
        <v>38</v>
      </c>
      <c r="P1339">
        <v>52</v>
      </c>
      <c r="Q1339">
        <v>3</v>
      </c>
      <c r="R1339">
        <v>3</v>
      </c>
      <c r="S1339" t="s">
        <v>25</v>
      </c>
    </row>
    <row r="1340" spans="1:19" x14ac:dyDescent="0.25">
      <c r="A1340">
        <v>11339</v>
      </c>
      <c r="B1340">
        <v>42</v>
      </c>
      <c r="C1340" t="s">
        <v>31</v>
      </c>
      <c r="D1340" t="s">
        <v>41</v>
      </c>
      <c r="E1340" t="s">
        <v>27</v>
      </c>
      <c r="F1340" t="s">
        <v>39</v>
      </c>
      <c r="G1340" t="s">
        <v>38</v>
      </c>
      <c r="H1340">
        <v>61235</v>
      </c>
      <c r="I1340">
        <v>23804</v>
      </c>
      <c r="J1340">
        <v>12</v>
      </c>
      <c r="K1340">
        <v>3</v>
      </c>
      <c r="L1340">
        <v>3</v>
      </c>
      <c r="M1340" t="s">
        <v>25</v>
      </c>
      <c r="N1340">
        <v>3</v>
      </c>
      <c r="O1340">
        <v>17</v>
      </c>
      <c r="P1340">
        <v>44</v>
      </c>
      <c r="Q1340">
        <v>4</v>
      </c>
      <c r="R1340">
        <v>3</v>
      </c>
      <c r="S1340" t="s">
        <v>25</v>
      </c>
    </row>
    <row r="1341" spans="1:19" x14ac:dyDescent="0.25">
      <c r="A1341">
        <v>11340</v>
      </c>
      <c r="B1341">
        <v>27</v>
      </c>
      <c r="C1341" t="s">
        <v>19</v>
      </c>
      <c r="D1341" t="s">
        <v>41</v>
      </c>
      <c r="E1341" t="s">
        <v>21</v>
      </c>
      <c r="F1341" t="s">
        <v>22</v>
      </c>
      <c r="G1341" t="s">
        <v>23</v>
      </c>
      <c r="H1341">
        <v>114003</v>
      </c>
      <c r="I1341">
        <v>6476</v>
      </c>
      <c r="J1341">
        <v>8</v>
      </c>
      <c r="K1341">
        <v>5</v>
      </c>
      <c r="L1341">
        <v>5</v>
      </c>
      <c r="M1341" t="s">
        <v>25</v>
      </c>
      <c r="N1341">
        <v>1</v>
      </c>
      <c r="O1341">
        <v>9</v>
      </c>
      <c r="P1341">
        <v>46</v>
      </c>
      <c r="Q1341">
        <v>3</v>
      </c>
      <c r="R1341">
        <v>4</v>
      </c>
      <c r="S1341" t="s">
        <v>24</v>
      </c>
    </row>
    <row r="1342" spans="1:19" x14ac:dyDescent="0.25">
      <c r="A1342">
        <v>11341</v>
      </c>
      <c r="B1342">
        <v>43</v>
      </c>
      <c r="C1342" t="s">
        <v>19</v>
      </c>
      <c r="D1342" t="s">
        <v>20</v>
      </c>
      <c r="E1342" t="s">
        <v>21</v>
      </c>
      <c r="F1342" t="s">
        <v>39</v>
      </c>
      <c r="G1342" t="s">
        <v>30</v>
      </c>
      <c r="H1342">
        <v>91628</v>
      </c>
      <c r="I1342">
        <v>28880</v>
      </c>
      <c r="J1342">
        <v>22</v>
      </c>
      <c r="K1342">
        <v>10</v>
      </c>
      <c r="L1342">
        <v>3</v>
      </c>
      <c r="M1342" t="s">
        <v>24</v>
      </c>
      <c r="N1342">
        <v>4</v>
      </c>
      <c r="O1342">
        <v>18</v>
      </c>
      <c r="P1342">
        <v>24</v>
      </c>
      <c r="Q1342">
        <v>3</v>
      </c>
      <c r="R1342">
        <v>3</v>
      </c>
      <c r="S1342" t="s">
        <v>25</v>
      </c>
    </row>
    <row r="1343" spans="1:19" x14ac:dyDescent="0.25">
      <c r="A1343">
        <v>11342</v>
      </c>
      <c r="B1343">
        <v>45</v>
      </c>
      <c r="C1343" t="s">
        <v>19</v>
      </c>
      <c r="D1343" t="s">
        <v>34</v>
      </c>
      <c r="E1343" t="s">
        <v>36</v>
      </c>
      <c r="F1343" t="s">
        <v>39</v>
      </c>
      <c r="G1343" t="s">
        <v>23</v>
      </c>
      <c r="H1343">
        <v>63884</v>
      </c>
      <c r="I1343">
        <v>35912</v>
      </c>
      <c r="J1343">
        <v>19</v>
      </c>
      <c r="K1343">
        <v>9</v>
      </c>
      <c r="L1343">
        <v>2</v>
      </c>
      <c r="M1343" t="s">
        <v>24</v>
      </c>
      <c r="N1343">
        <v>2</v>
      </c>
      <c r="O1343">
        <v>36</v>
      </c>
      <c r="P1343">
        <v>24</v>
      </c>
      <c r="Q1343">
        <v>3</v>
      </c>
      <c r="R1343">
        <v>4</v>
      </c>
      <c r="S1343" t="s">
        <v>25</v>
      </c>
    </row>
    <row r="1344" spans="1:19" x14ac:dyDescent="0.25">
      <c r="A1344">
        <v>11343</v>
      </c>
      <c r="B1344">
        <v>38</v>
      </c>
      <c r="C1344" t="s">
        <v>19</v>
      </c>
      <c r="D1344" t="s">
        <v>20</v>
      </c>
      <c r="E1344" t="s">
        <v>36</v>
      </c>
      <c r="F1344" t="s">
        <v>39</v>
      </c>
      <c r="G1344" t="s">
        <v>38</v>
      </c>
      <c r="H1344">
        <v>58054</v>
      </c>
      <c r="I1344">
        <v>21459</v>
      </c>
      <c r="J1344">
        <v>10</v>
      </c>
      <c r="K1344">
        <v>4</v>
      </c>
      <c r="L1344">
        <v>5</v>
      </c>
      <c r="M1344" t="s">
        <v>24</v>
      </c>
      <c r="N1344">
        <v>3</v>
      </c>
      <c r="O1344">
        <v>36</v>
      </c>
      <c r="P1344">
        <v>11</v>
      </c>
      <c r="Q1344">
        <v>3</v>
      </c>
      <c r="R1344">
        <v>2</v>
      </c>
      <c r="S1344" t="s">
        <v>25</v>
      </c>
    </row>
    <row r="1345" spans="1:19" x14ac:dyDescent="0.25">
      <c r="A1345">
        <v>11344</v>
      </c>
      <c r="B1345">
        <v>37</v>
      </c>
      <c r="C1345" t="s">
        <v>31</v>
      </c>
      <c r="D1345" t="s">
        <v>26</v>
      </c>
      <c r="E1345" t="s">
        <v>33</v>
      </c>
      <c r="F1345" t="s">
        <v>22</v>
      </c>
      <c r="G1345" t="s">
        <v>30</v>
      </c>
      <c r="H1345">
        <v>25178</v>
      </c>
      <c r="I1345">
        <v>22049</v>
      </c>
      <c r="J1345">
        <v>18</v>
      </c>
      <c r="K1345">
        <v>12</v>
      </c>
      <c r="L1345">
        <v>3</v>
      </c>
      <c r="M1345" t="s">
        <v>25</v>
      </c>
      <c r="N1345">
        <v>4</v>
      </c>
      <c r="O1345">
        <v>25</v>
      </c>
      <c r="P1345">
        <v>59</v>
      </c>
      <c r="Q1345">
        <v>1</v>
      </c>
      <c r="R1345">
        <v>3</v>
      </c>
      <c r="S1345" t="s">
        <v>24</v>
      </c>
    </row>
    <row r="1346" spans="1:19" x14ac:dyDescent="0.25">
      <c r="A1346">
        <v>11345</v>
      </c>
      <c r="B1346">
        <v>36</v>
      </c>
      <c r="C1346" t="s">
        <v>19</v>
      </c>
      <c r="D1346" t="s">
        <v>20</v>
      </c>
      <c r="E1346" t="s">
        <v>36</v>
      </c>
      <c r="F1346" t="s">
        <v>37</v>
      </c>
      <c r="G1346" t="s">
        <v>38</v>
      </c>
      <c r="H1346">
        <v>66010</v>
      </c>
      <c r="I1346">
        <v>5737</v>
      </c>
      <c r="J1346">
        <v>22</v>
      </c>
      <c r="K1346">
        <v>14</v>
      </c>
      <c r="L1346">
        <v>4</v>
      </c>
      <c r="M1346" t="s">
        <v>24</v>
      </c>
      <c r="N1346">
        <v>3</v>
      </c>
      <c r="O1346">
        <v>2</v>
      </c>
      <c r="P1346">
        <v>50</v>
      </c>
      <c r="Q1346">
        <v>3</v>
      </c>
      <c r="R1346">
        <v>3</v>
      </c>
      <c r="S1346" t="s">
        <v>25</v>
      </c>
    </row>
    <row r="1347" spans="1:19" x14ac:dyDescent="0.25">
      <c r="A1347">
        <v>11346</v>
      </c>
      <c r="B1347">
        <v>48</v>
      </c>
      <c r="C1347" t="s">
        <v>31</v>
      </c>
      <c r="D1347" t="s">
        <v>20</v>
      </c>
      <c r="E1347" t="s">
        <v>27</v>
      </c>
      <c r="F1347" t="s">
        <v>37</v>
      </c>
      <c r="G1347" t="s">
        <v>30</v>
      </c>
      <c r="H1347">
        <v>69121</v>
      </c>
      <c r="I1347">
        <v>34867</v>
      </c>
      <c r="J1347">
        <v>1</v>
      </c>
      <c r="K1347">
        <v>7</v>
      </c>
      <c r="L1347">
        <v>3</v>
      </c>
      <c r="M1347" t="s">
        <v>25</v>
      </c>
      <c r="N1347">
        <v>4</v>
      </c>
      <c r="O1347">
        <v>31</v>
      </c>
      <c r="P1347">
        <v>30</v>
      </c>
      <c r="Q1347">
        <v>2</v>
      </c>
      <c r="R1347">
        <v>1</v>
      </c>
      <c r="S1347" t="s">
        <v>25</v>
      </c>
    </row>
    <row r="1348" spans="1:19" x14ac:dyDescent="0.25">
      <c r="A1348">
        <v>11347</v>
      </c>
      <c r="B1348">
        <v>46</v>
      </c>
      <c r="C1348" t="s">
        <v>19</v>
      </c>
      <c r="D1348" t="s">
        <v>20</v>
      </c>
      <c r="E1348" t="s">
        <v>33</v>
      </c>
      <c r="F1348" t="s">
        <v>35</v>
      </c>
      <c r="G1348" t="s">
        <v>38</v>
      </c>
      <c r="H1348">
        <v>44500</v>
      </c>
      <c r="I1348">
        <v>4628</v>
      </c>
      <c r="J1348">
        <v>8</v>
      </c>
      <c r="K1348">
        <v>10</v>
      </c>
      <c r="L1348">
        <v>3</v>
      </c>
      <c r="M1348" t="s">
        <v>25</v>
      </c>
      <c r="N1348">
        <v>2</v>
      </c>
      <c r="O1348">
        <v>15</v>
      </c>
      <c r="P1348">
        <v>13</v>
      </c>
      <c r="Q1348">
        <v>3</v>
      </c>
      <c r="R1348">
        <v>3</v>
      </c>
      <c r="S1348" t="s">
        <v>25</v>
      </c>
    </row>
    <row r="1349" spans="1:19" x14ac:dyDescent="0.25">
      <c r="A1349">
        <v>11348</v>
      </c>
      <c r="B1349">
        <v>32</v>
      </c>
      <c r="C1349" t="s">
        <v>19</v>
      </c>
      <c r="D1349" t="s">
        <v>41</v>
      </c>
      <c r="E1349" t="s">
        <v>40</v>
      </c>
      <c r="F1349" t="s">
        <v>39</v>
      </c>
      <c r="G1349" t="s">
        <v>38</v>
      </c>
      <c r="H1349">
        <v>16373</v>
      </c>
      <c r="I1349">
        <v>49366</v>
      </c>
      <c r="J1349">
        <v>0</v>
      </c>
      <c r="K1349">
        <v>6</v>
      </c>
      <c r="L1349">
        <v>4</v>
      </c>
      <c r="M1349" t="s">
        <v>25</v>
      </c>
      <c r="N1349">
        <v>1</v>
      </c>
      <c r="O1349">
        <v>26</v>
      </c>
      <c r="P1349">
        <v>18</v>
      </c>
      <c r="Q1349">
        <v>3</v>
      </c>
      <c r="R1349">
        <v>2</v>
      </c>
      <c r="S1349" t="s">
        <v>25</v>
      </c>
    </row>
    <row r="1350" spans="1:19" x14ac:dyDescent="0.25">
      <c r="A1350">
        <v>11349</v>
      </c>
      <c r="B1350">
        <v>55</v>
      </c>
      <c r="C1350" t="s">
        <v>19</v>
      </c>
      <c r="D1350" t="s">
        <v>28</v>
      </c>
      <c r="E1350" t="s">
        <v>33</v>
      </c>
      <c r="F1350" t="s">
        <v>35</v>
      </c>
      <c r="G1350" t="s">
        <v>38</v>
      </c>
      <c r="H1350">
        <v>25002</v>
      </c>
      <c r="I1350">
        <v>42855</v>
      </c>
      <c r="J1350">
        <v>9</v>
      </c>
      <c r="K1350">
        <v>7</v>
      </c>
      <c r="L1350">
        <v>3</v>
      </c>
      <c r="M1350" t="s">
        <v>25</v>
      </c>
      <c r="N1350">
        <v>4</v>
      </c>
      <c r="O1350">
        <v>14</v>
      </c>
      <c r="P1350">
        <v>41</v>
      </c>
      <c r="Q1350">
        <v>4</v>
      </c>
      <c r="R1350">
        <v>3</v>
      </c>
      <c r="S1350" t="s">
        <v>25</v>
      </c>
    </row>
    <row r="1351" spans="1:19" x14ac:dyDescent="0.25">
      <c r="A1351">
        <v>11350</v>
      </c>
      <c r="B1351">
        <v>37</v>
      </c>
      <c r="C1351" t="s">
        <v>19</v>
      </c>
      <c r="D1351" t="s">
        <v>20</v>
      </c>
      <c r="E1351" t="s">
        <v>33</v>
      </c>
      <c r="F1351" t="s">
        <v>39</v>
      </c>
      <c r="G1351" t="s">
        <v>38</v>
      </c>
      <c r="H1351">
        <v>43859</v>
      </c>
      <c r="I1351">
        <v>13635</v>
      </c>
      <c r="J1351">
        <v>6</v>
      </c>
      <c r="K1351">
        <v>1</v>
      </c>
      <c r="L1351">
        <v>4</v>
      </c>
      <c r="M1351" t="s">
        <v>25</v>
      </c>
      <c r="N1351">
        <v>1</v>
      </c>
      <c r="O1351">
        <v>7</v>
      </c>
      <c r="P1351">
        <v>55</v>
      </c>
      <c r="Q1351">
        <v>4</v>
      </c>
      <c r="R1351">
        <v>3</v>
      </c>
      <c r="S1351" t="s">
        <v>25</v>
      </c>
    </row>
    <row r="1352" spans="1:19" x14ac:dyDescent="0.25">
      <c r="A1352">
        <v>11351</v>
      </c>
      <c r="B1352">
        <v>41</v>
      </c>
      <c r="C1352" t="s">
        <v>31</v>
      </c>
      <c r="D1352" t="s">
        <v>26</v>
      </c>
      <c r="E1352" t="s">
        <v>33</v>
      </c>
      <c r="F1352" t="s">
        <v>39</v>
      </c>
      <c r="G1352" t="s">
        <v>30</v>
      </c>
      <c r="H1352">
        <v>25835</v>
      </c>
      <c r="I1352">
        <v>16104</v>
      </c>
      <c r="J1352">
        <v>15</v>
      </c>
      <c r="K1352">
        <v>9</v>
      </c>
      <c r="L1352">
        <v>2</v>
      </c>
      <c r="M1352" t="s">
        <v>25</v>
      </c>
      <c r="N1352">
        <v>2</v>
      </c>
      <c r="O1352">
        <v>13</v>
      </c>
      <c r="P1352">
        <v>10</v>
      </c>
      <c r="Q1352">
        <v>4</v>
      </c>
      <c r="R1352">
        <v>4</v>
      </c>
      <c r="S1352" t="s">
        <v>25</v>
      </c>
    </row>
    <row r="1353" spans="1:19" x14ac:dyDescent="0.25">
      <c r="A1353">
        <v>11352</v>
      </c>
      <c r="B1353">
        <v>38</v>
      </c>
      <c r="C1353" t="s">
        <v>19</v>
      </c>
      <c r="D1353" t="s">
        <v>20</v>
      </c>
      <c r="E1353" t="s">
        <v>21</v>
      </c>
      <c r="F1353" t="s">
        <v>37</v>
      </c>
      <c r="G1353" t="s">
        <v>30</v>
      </c>
      <c r="H1353">
        <v>129398</v>
      </c>
      <c r="I1353">
        <v>3642</v>
      </c>
      <c r="J1353">
        <v>1</v>
      </c>
      <c r="K1353">
        <v>13</v>
      </c>
      <c r="L1353">
        <v>3</v>
      </c>
      <c r="M1353" t="s">
        <v>24</v>
      </c>
      <c r="N1353">
        <v>3</v>
      </c>
      <c r="O1353">
        <v>28</v>
      </c>
      <c r="P1353">
        <v>37</v>
      </c>
      <c r="Q1353">
        <v>2</v>
      </c>
      <c r="R1353">
        <v>3</v>
      </c>
      <c r="S1353" t="s">
        <v>25</v>
      </c>
    </row>
    <row r="1354" spans="1:19" x14ac:dyDescent="0.25">
      <c r="A1354">
        <v>11353</v>
      </c>
      <c r="B1354">
        <v>56</v>
      </c>
      <c r="C1354" t="s">
        <v>19</v>
      </c>
      <c r="D1354" t="s">
        <v>26</v>
      </c>
      <c r="E1354" t="s">
        <v>33</v>
      </c>
      <c r="F1354" t="s">
        <v>39</v>
      </c>
      <c r="G1354" t="s">
        <v>30</v>
      </c>
      <c r="H1354">
        <v>40698</v>
      </c>
      <c r="I1354">
        <v>3860</v>
      </c>
      <c r="J1354">
        <v>23</v>
      </c>
      <c r="K1354">
        <v>9</v>
      </c>
      <c r="L1354">
        <v>4</v>
      </c>
      <c r="M1354" t="s">
        <v>25</v>
      </c>
      <c r="N1354">
        <v>1</v>
      </c>
      <c r="O1354">
        <v>30</v>
      </c>
      <c r="P1354">
        <v>19</v>
      </c>
      <c r="Q1354">
        <v>4</v>
      </c>
      <c r="R1354">
        <v>2</v>
      </c>
      <c r="S1354" t="s">
        <v>25</v>
      </c>
    </row>
    <row r="1355" spans="1:19" x14ac:dyDescent="0.25">
      <c r="A1355">
        <v>11354</v>
      </c>
      <c r="B1355">
        <v>51</v>
      </c>
      <c r="C1355" t="s">
        <v>19</v>
      </c>
      <c r="D1355" t="s">
        <v>20</v>
      </c>
      <c r="E1355" t="s">
        <v>36</v>
      </c>
      <c r="F1355" t="s">
        <v>39</v>
      </c>
      <c r="G1355" t="s">
        <v>38</v>
      </c>
      <c r="H1355">
        <v>64957</v>
      </c>
      <c r="I1355">
        <v>25551</v>
      </c>
      <c r="J1355">
        <v>23</v>
      </c>
      <c r="K1355">
        <v>0</v>
      </c>
      <c r="L1355">
        <v>4</v>
      </c>
      <c r="M1355" t="s">
        <v>24</v>
      </c>
      <c r="N1355">
        <v>4</v>
      </c>
      <c r="O1355">
        <v>4</v>
      </c>
      <c r="P1355">
        <v>30</v>
      </c>
      <c r="Q1355">
        <v>4</v>
      </c>
      <c r="R1355">
        <v>4</v>
      </c>
      <c r="S1355" t="s">
        <v>25</v>
      </c>
    </row>
    <row r="1356" spans="1:19" x14ac:dyDescent="0.25">
      <c r="A1356">
        <v>11355</v>
      </c>
      <c r="B1356">
        <v>40</v>
      </c>
      <c r="C1356" t="s">
        <v>19</v>
      </c>
      <c r="D1356" t="s">
        <v>34</v>
      </c>
      <c r="E1356" t="s">
        <v>21</v>
      </c>
      <c r="F1356" t="s">
        <v>35</v>
      </c>
      <c r="G1356" t="s">
        <v>38</v>
      </c>
      <c r="H1356">
        <v>92497</v>
      </c>
      <c r="I1356">
        <v>45567</v>
      </c>
      <c r="J1356">
        <v>17</v>
      </c>
      <c r="K1356">
        <v>8</v>
      </c>
      <c r="L1356">
        <v>3</v>
      </c>
      <c r="M1356" t="s">
        <v>25</v>
      </c>
      <c r="N1356">
        <v>3</v>
      </c>
      <c r="O1356">
        <v>14</v>
      </c>
      <c r="P1356">
        <v>57</v>
      </c>
      <c r="Q1356">
        <v>4</v>
      </c>
      <c r="R1356">
        <v>3</v>
      </c>
      <c r="S1356" t="s">
        <v>25</v>
      </c>
    </row>
    <row r="1357" spans="1:19" x14ac:dyDescent="0.25">
      <c r="A1357">
        <v>11356</v>
      </c>
      <c r="B1357">
        <v>42</v>
      </c>
      <c r="C1357" t="s">
        <v>31</v>
      </c>
      <c r="D1357" t="s">
        <v>32</v>
      </c>
      <c r="E1357" t="s">
        <v>21</v>
      </c>
      <c r="F1357" t="s">
        <v>39</v>
      </c>
      <c r="G1357" t="s">
        <v>38</v>
      </c>
      <c r="H1357">
        <v>121976</v>
      </c>
      <c r="I1357">
        <v>33436</v>
      </c>
      <c r="J1357">
        <v>5</v>
      </c>
      <c r="K1357">
        <v>4</v>
      </c>
      <c r="L1357">
        <v>3</v>
      </c>
      <c r="M1357" t="s">
        <v>25</v>
      </c>
      <c r="N1357">
        <v>1</v>
      </c>
      <c r="O1357">
        <v>38</v>
      </c>
      <c r="P1357">
        <v>51</v>
      </c>
      <c r="Q1357">
        <v>4</v>
      </c>
      <c r="R1357">
        <v>3</v>
      </c>
      <c r="S1357" t="s">
        <v>25</v>
      </c>
    </row>
    <row r="1358" spans="1:19" x14ac:dyDescent="0.25">
      <c r="A1358">
        <v>11357</v>
      </c>
      <c r="B1358">
        <v>49</v>
      </c>
      <c r="C1358" t="s">
        <v>19</v>
      </c>
      <c r="D1358" t="s">
        <v>20</v>
      </c>
      <c r="E1358" t="s">
        <v>36</v>
      </c>
      <c r="F1358" t="s">
        <v>35</v>
      </c>
      <c r="G1358" t="s">
        <v>23</v>
      </c>
      <c r="H1358">
        <v>59132</v>
      </c>
      <c r="I1358">
        <v>19099</v>
      </c>
      <c r="J1358">
        <v>6</v>
      </c>
      <c r="K1358">
        <v>9</v>
      </c>
      <c r="L1358">
        <v>2</v>
      </c>
      <c r="M1358" t="s">
        <v>25</v>
      </c>
      <c r="N1358">
        <v>4</v>
      </c>
      <c r="O1358">
        <v>33</v>
      </c>
      <c r="P1358">
        <v>44</v>
      </c>
      <c r="Q1358">
        <v>4</v>
      </c>
      <c r="R1358">
        <v>2</v>
      </c>
      <c r="S1358" t="s">
        <v>25</v>
      </c>
    </row>
    <row r="1359" spans="1:19" x14ac:dyDescent="0.25">
      <c r="A1359">
        <v>11358</v>
      </c>
      <c r="B1359">
        <v>43</v>
      </c>
      <c r="C1359" t="s">
        <v>31</v>
      </c>
      <c r="D1359" t="s">
        <v>20</v>
      </c>
      <c r="E1359" t="s">
        <v>36</v>
      </c>
      <c r="F1359" t="s">
        <v>39</v>
      </c>
      <c r="G1359" t="s">
        <v>38</v>
      </c>
      <c r="H1359">
        <v>59590</v>
      </c>
      <c r="I1359">
        <v>38877</v>
      </c>
      <c r="J1359">
        <v>9</v>
      </c>
      <c r="K1359">
        <v>3</v>
      </c>
      <c r="L1359">
        <v>3</v>
      </c>
      <c r="M1359" t="s">
        <v>25</v>
      </c>
      <c r="N1359">
        <v>3</v>
      </c>
      <c r="O1359">
        <v>25</v>
      </c>
      <c r="P1359">
        <v>45</v>
      </c>
      <c r="Q1359">
        <v>4</v>
      </c>
      <c r="R1359">
        <v>2</v>
      </c>
      <c r="S1359" t="s">
        <v>24</v>
      </c>
    </row>
    <row r="1360" spans="1:19" x14ac:dyDescent="0.25">
      <c r="A1360">
        <v>11359</v>
      </c>
      <c r="B1360">
        <v>34</v>
      </c>
      <c r="C1360" t="s">
        <v>19</v>
      </c>
      <c r="D1360" t="s">
        <v>28</v>
      </c>
      <c r="E1360" t="s">
        <v>33</v>
      </c>
      <c r="F1360" t="s">
        <v>39</v>
      </c>
      <c r="G1360" t="s">
        <v>38</v>
      </c>
      <c r="H1360">
        <v>32765</v>
      </c>
      <c r="I1360">
        <v>47865</v>
      </c>
      <c r="J1360">
        <v>6</v>
      </c>
      <c r="K1360">
        <v>5</v>
      </c>
      <c r="L1360">
        <v>4</v>
      </c>
      <c r="M1360" t="s">
        <v>24</v>
      </c>
      <c r="N1360">
        <v>3</v>
      </c>
      <c r="O1360">
        <v>29</v>
      </c>
      <c r="P1360">
        <v>33</v>
      </c>
      <c r="Q1360">
        <v>2</v>
      </c>
      <c r="R1360">
        <v>2</v>
      </c>
      <c r="S1360" t="s">
        <v>25</v>
      </c>
    </row>
    <row r="1361" spans="1:19" x14ac:dyDescent="0.25">
      <c r="A1361">
        <v>11360</v>
      </c>
      <c r="B1361">
        <v>40</v>
      </c>
      <c r="C1361" t="s">
        <v>19</v>
      </c>
      <c r="D1361" t="s">
        <v>41</v>
      </c>
      <c r="E1361" t="s">
        <v>27</v>
      </c>
      <c r="F1361" t="s">
        <v>37</v>
      </c>
      <c r="G1361" t="s">
        <v>30</v>
      </c>
      <c r="H1361">
        <v>82244</v>
      </c>
      <c r="I1361">
        <v>42852</v>
      </c>
      <c r="J1361">
        <v>3</v>
      </c>
      <c r="K1361">
        <v>2</v>
      </c>
      <c r="L1361">
        <v>3</v>
      </c>
      <c r="M1361" t="s">
        <v>25</v>
      </c>
      <c r="N1361">
        <v>2</v>
      </c>
      <c r="O1361">
        <v>7</v>
      </c>
      <c r="P1361">
        <v>34</v>
      </c>
      <c r="Q1361">
        <v>1</v>
      </c>
      <c r="R1361">
        <v>4</v>
      </c>
      <c r="S1361" t="s">
        <v>24</v>
      </c>
    </row>
    <row r="1362" spans="1:19" x14ac:dyDescent="0.25">
      <c r="A1362">
        <v>11361</v>
      </c>
      <c r="B1362">
        <v>51</v>
      </c>
      <c r="C1362" t="s">
        <v>31</v>
      </c>
      <c r="D1362" t="s">
        <v>20</v>
      </c>
      <c r="E1362" t="s">
        <v>36</v>
      </c>
      <c r="F1362" t="s">
        <v>22</v>
      </c>
      <c r="G1362" t="s">
        <v>38</v>
      </c>
      <c r="H1362">
        <v>63560</v>
      </c>
      <c r="I1362">
        <v>25530</v>
      </c>
      <c r="J1362">
        <v>23</v>
      </c>
      <c r="K1362">
        <v>0</v>
      </c>
      <c r="L1362">
        <v>4</v>
      </c>
      <c r="M1362" t="s">
        <v>25</v>
      </c>
      <c r="N1362">
        <v>1</v>
      </c>
      <c r="O1362">
        <v>1</v>
      </c>
      <c r="P1362">
        <v>45</v>
      </c>
      <c r="Q1362">
        <v>4</v>
      </c>
      <c r="R1362">
        <v>1</v>
      </c>
      <c r="S1362" t="s">
        <v>25</v>
      </c>
    </row>
    <row r="1363" spans="1:19" x14ac:dyDescent="0.25">
      <c r="A1363">
        <v>11362</v>
      </c>
      <c r="B1363">
        <v>39</v>
      </c>
      <c r="C1363" t="s">
        <v>31</v>
      </c>
      <c r="D1363" t="s">
        <v>20</v>
      </c>
      <c r="E1363" t="s">
        <v>33</v>
      </c>
      <c r="F1363" t="s">
        <v>39</v>
      </c>
      <c r="G1363" t="s">
        <v>38</v>
      </c>
      <c r="H1363">
        <v>36737</v>
      </c>
      <c r="I1363">
        <v>744</v>
      </c>
      <c r="J1363">
        <v>22</v>
      </c>
      <c r="K1363">
        <v>14</v>
      </c>
      <c r="L1363">
        <v>4</v>
      </c>
      <c r="M1363" t="s">
        <v>25</v>
      </c>
      <c r="N1363">
        <v>4</v>
      </c>
      <c r="O1363">
        <v>2</v>
      </c>
      <c r="P1363">
        <v>20</v>
      </c>
      <c r="Q1363">
        <v>2</v>
      </c>
      <c r="R1363">
        <v>2</v>
      </c>
      <c r="S1363" t="s">
        <v>25</v>
      </c>
    </row>
    <row r="1364" spans="1:19" x14ac:dyDescent="0.25">
      <c r="A1364">
        <v>11363</v>
      </c>
      <c r="B1364">
        <v>58</v>
      </c>
      <c r="C1364" t="s">
        <v>19</v>
      </c>
      <c r="D1364" t="s">
        <v>20</v>
      </c>
      <c r="E1364" t="s">
        <v>27</v>
      </c>
      <c r="F1364" t="s">
        <v>22</v>
      </c>
      <c r="G1364" t="s">
        <v>30</v>
      </c>
      <c r="H1364">
        <v>60411</v>
      </c>
      <c r="I1364">
        <v>8349</v>
      </c>
      <c r="J1364">
        <v>0</v>
      </c>
      <c r="K1364">
        <v>4</v>
      </c>
      <c r="L1364">
        <v>5</v>
      </c>
      <c r="M1364" t="s">
        <v>24</v>
      </c>
      <c r="N1364">
        <v>3</v>
      </c>
      <c r="O1364">
        <v>18</v>
      </c>
      <c r="P1364">
        <v>19</v>
      </c>
      <c r="Q1364">
        <v>4</v>
      </c>
      <c r="R1364">
        <v>2</v>
      </c>
      <c r="S1364" t="s">
        <v>25</v>
      </c>
    </row>
    <row r="1365" spans="1:19" x14ac:dyDescent="0.25">
      <c r="A1365">
        <v>11364</v>
      </c>
      <c r="B1365">
        <v>33</v>
      </c>
      <c r="C1365" t="s">
        <v>19</v>
      </c>
      <c r="D1365" t="s">
        <v>28</v>
      </c>
      <c r="E1365" t="s">
        <v>33</v>
      </c>
      <c r="F1365" t="s">
        <v>22</v>
      </c>
      <c r="G1365" t="s">
        <v>30</v>
      </c>
      <c r="H1365">
        <v>36662</v>
      </c>
      <c r="I1365">
        <v>12236</v>
      </c>
      <c r="J1365">
        <v>24</v>
      </c>
      <c r="K1365">
        <v>1</v>
      </c>
      <c r="L1365">
        <v>5</v>
      </c>
      <c r="M1365" t="s">
        <v>25</v>
      </c>
      <c r="N1365">
        <v>4</v>
      </c>
      <c r="O1365">
        <v>30</v>
      </c>
      <c r="P1365">
        <v>21</v>
      </c>
      <c r="Q1365">
        <v>3</v>
      </c>
      <c r="R1365">
        <v>4</v>
      </c>
      <c r="S1365" t="s">
        <v>25</v>
      </c>
    </row>
    <row r="1366" spans="1:19" x14ac:dyDescent="0.25">
      <c r="A1366">
        <v>11365</v>
      </c>
      <c r="B1366">
        <v>47</v>
      </c>
      <c r="C1366" t="s">
        <v>19</v>
      </c>
      <c r="D1366" t="s">
        <v>20</v>
      </c>
      <c r="E1366" t="s">
        <v>27</v>
      </c>
      <c r="F1366" t="s">
        <v>22</v>
      </c>
      <c r="G1366" t="s">
        <v>30</v>
      </c>
      <c r="H1366">
        <v>70379</v>
      </c>
      <c r="I1366">
        <v>24031</v>
      </c>
      <c r="J1366">
        <v>12</v>
      </c>
      <c r="K1366">
        <v>1</v>
      </c>
      <c r="L1366">
        <v>3</v>
      </c>
      <c r="M1366" t="s">
        <v>25</v>
      </c>
      <c r="N1366">
        <v>4</v>
      </c>
      <c r="O1366">
        <v>26</v>
      </c>
      <c r="P1366">
        <v>14</v>
      </c>
      <c r="Q1366">
        <v>3</v>
      </c>
      <c r="R1366">
        <v>3</v>
      </c>
      <c r="S1366" t="s">
        <v>25</v>
      </c>
    </row>
    <row r="1367" spans="1:19" x14ac:dyDescent="0.25">
      <c r="A1367">
        <v>11366</v>
      </c>
      <c r="B1367">
        <v>40</v>
      </c>
      <c r="C1367" t="s">
        <v>31</v>
      </c>
      <c r="D1367" t="s">
        <v>20</v>
      </c>
      <c r="E1367" t="s">
        <v>33</v>
      </c>
      <c r="F1367" t="s">
        <v>39</v>
      </c>
      <c r="G1367" t="s">
        <v>23</v>
      </c>
      <c r="H1367">
        <v>44268</v>
      </c>
      <c r="I1367">
        <v>40139</v>
      </c>
      <c r="J1367">
        <v>17</v>
      </c>
      <c r="K1367">
        <v>5</v>
      </c>
      <c r="L1367">
        <v>4</v>
      </c>
      <c r="M1367" t="s">
        <v>24</v>
      </c>
      <c r="N1367">
        <v>4</v>
      </c>
      <c r="O1367">
        <v>33</v>
      </c>
      <c r="P1367">
        <v>40</v>
      </c>
      <c r="Q1367">
        <v>4</v>
      </c>
      <c r="R1367">
        <v>3</v>
      </c>
      <c r="S1367" t="s">
        <v>25</v>
      </c>
    </row>
    <row r="1368" spans="1:19" x14ac:dyDescent="0.25">
      <c r="A1368">
        <v>11367</v>
      </c>
      <c r="B1368">
        <v>36</v>
      </c>
      <c r="C1368" t="s">
        <v>31</v>
      </c>
      <c r="D1368" t="s">
        <v>34</v>
      </c>
      <c r="E1368" t="s">
        <v>36</v>
      </c>
      <c r="F1368" t="s">
        <v>22</v>
      </c>
      <c r="G1368" t="s">
        <v>30</v>
      </c>
      <c r="H1368">
        <v>62655</v>
      </c>
      <c r="I1368">
        <v>8928</v>
      </c>
      <c r="J1368">
        <v>3</v>
      </c>
      <c r="K1368">
        <v>8</v>
      </c>
      <c r="L1368">
        <v>4</v>
      </c>
      <c r="M1368" t="s">
        <v>25</v>
      </c>
      <c r="N1368">
        <v>4</v>
      </c>
      <c r="O1368">
        <v>3</v>
      </c>
      <c r="P1368">
        <v>35</v>
      </c>
      <c r="Q1368">
        <v>2</v>
      </c>
      <c r="R1368">
        <v>2</v>
      </c>
      <c r="S1368" t="s">
        <v>25</v>
      </c>
    </row>
    <row r="1369" spans="1:19" x14ac:dyDescent="0.25">
      <c r="A1369">
        <v>11368</v>
      </c>
      <c r="B1369">
        <v>40</v>
      </c>
      <c r="C1369" t="s">
        <v>19</v>
      </c>
      <c r="D1369" t="s">
        <v>41</v>
      </c>
      <c r="E1369" t="s">
        <v>33</v>
      </c>
      <c r="F1369" t="s">
        <v>22</v>
      </c>
      <c r="G1369" t="s">
        <v>23</v>
      </c>
      <c r="H1369">
        <v>29427</v>
      </c>
      <c r="I1369">
        <v>15319</v>
      </c>
      <c r="J1369">
        <v>7</v>
      </c>
      <c r="K1369">
        <v>1</v>
      </c>
      <c r="L1369">
        <v>3</v>
      </c>
      <c r="M1369" t="s">
        <v>24</v>
      </c>
      <c r="N1369">
        <v>2</v>
      </c>
      <c r="O1369">
        <v>6</v>
      </c>
      <c r="P1369">
        <v>55</v>
      </c>
      <c r="Q1369">
        <v>2</v>
      </c>
      <c r="R1369">
        <v>3</v>
      </c>
      <c r="S1369" t="s">
        <v>24</v>
      </c>
    </row>
    <row r="1370" spans="1:19" x14ac:dyDescent="0.25">
      <c r="A1370">
        <v>11369</v>
      </c>
      <c r="B1370">
        <v>52</v>
      </c>
      <c r="C1370" t="s">
        <v>19</v>
      </c>
      <c r="D1370" t="s">
        <v>34</v>
      </c>
      <c r="E1370" t="s">
        <v>36</v>
      </c>
      <c r="F1370" t="s">
        <v>39</v>
      </c>
      <c r="G1370" t="s">
        <v>38</v>
      </c>
      <c r="H1370">
        <v>55395</v>
      </c>
      <c r="I1370">
        <v>22670</v>
      </c>
      <c r="J1370">
        <v>0</v>
      </c>
      <c r="K1370">
        <v>10</v>
      </c>
      <c r="L1370">
        <v>4</v>
      </c>
      <c r="M1370" t="s">
        <v>25</v>
      </c>
      <c r="N1370">
        <v>4</v>
      </c>
      <c r="O1370">
        <v>24</v>
      </c>
      <c r="P1370">
        <v>8</v>
      </c>
      <c r="Q1370">
        <v>4</v>
      </c>
      <c r="R1370">
        <v>4</v>
      </c>
      <c r="S1370" t="s">
        <v>25</v>
      </c>
    </row>
    <row r="1371" spans="1:19" x14ac:dyDescent="0.25">
      <c r="A1371">
        <v>11370</v>
      </c>
      <c r="B1371">
        <v>41</v>
      </c>
      <c r="C1371" t="s">
        <v>31</v>
      </c>
      <c r="D1371" t="s">
        <v>34</v>
      </c>
      <c r="E1371" t="s">
        <v>36</v>
      </c>
      <c r="F1371" t="s">
        <v>39</v>
      </c>
      <c r="G1371" t="s">
        <v>38</v>
      </c>
      <c r="H1371">
        <v>68280</v>
      </c>
      <c r="I1371">
        <v>28499</v>
      </c>
      <c r="J1371">
        <v>3</v>
      </c>
      <c r="K1371">
        <v>4</v>
      </c>
      <c r="L1371">
        <v>3</v>
      </c>
      <c r="M1371" t="s">
        <v>25</v>
      </c>
      <c r="N1371">
        <v>3</v>
      </c>
      <c r="O1371">
        <v>32</v>
      </c>
      <c r="P1371">
        <v>46</v>
      </c>
      <c r="Q1371">
        <v>3</v>
      </c>
      <c r="R1371">
        <v>2</v>
      </c>
      <c r="S1371" t="s">
        <v>25</v>
      </c>
    </row>
    <row r="1372" spans="1:19" x14ac:dyDescent="0.25">
      <c r="A1372">
        <v>11371</v>
      </c>
      <c r="B1372">
        <v>56</v>
      </c>
      <c r="C1372" t="s">
        <v>31</v>
      </c>
      <c r="D1372" t="s">
        <v>28</v>
      </c>
      <c r="E1372" t="s">
        <v>33</v>
      </c>
      <c r="F1372" t="s">
        <v>35</v>
      </c>
      <c r="G1372" t="s">
        <v>38</v>
      </c>
      <c r="H1372">
        <v>27694</v>
      </c>
      <c r="I1372">
        <v>10061</v>
      </c>
      <c r="J1372">
        <v>17</v>
      </c>
      <c r="K1372">
        <v>2</v>
      </c>
      <c r="L1372">
        <v>5</v>
      </c>
      <c r="M1372" t="s">
        <v>25</v>
      </c>
      <c r="N1372">
        <v>3</v>
      </c>
      <c r="O1372">
        <v>15</v>
      </c>
      <c r="P1372">
        <v>33</v>
      </c>
      <c r="Q1372">
        <v>3</v>
      </c>
      <c r="R1372">
        <v>3</v>
      </c>
      <c r="S1372" t="s">
        <v>25</v>
      </c>
    </row>
    <row r="1373" spans="1:19" x14ac:dyDescent="0.25">
      <c r="A1373">
        <v>11372</v>
      </c>
      <c r="B1373">
        <v>57</v>
      </c>
      <c r="C1373" t="s">
        <v>31</v>
      </c>
      <c r="D1373" t="s">
        <v>20</v>
      </c>
      <c r="E1373" t="s">
        <v>36</v>
      </c>
      <c r="F1373" t="s">
        <v>35</v>
      </c>
      <c r="G1373" t="s">
        <v>38</v>
      </c>
      <c r="H1373">
        <v>65417</v>
      </c>
      <c r="I1373">
        <v>9127</v>
      </c>
      <c r="J1373">
        <v>5</v>
      </c>
      <c r="K1373">
        <v>11</v>
      </c>
      <c r="L1373">
        <v>4</v>
      </c>
      <c r="M1373" t="s">
        <v>25</v>
      </c>
      <c r="N1373">
        <v>1</v>
      </c>
      <c r="O1373">
        <v>22</v>
      </c>
      <c r="P1373">
        <v>53</v>
      </c>
      <c r="Q1373">
        <v>4</v>
      </c>
      <c r="R1373">
        <v>3</v>
      </c>
      <c r="S1373" t="s">
        <v>25</v>
      </c>
    </row>
    <row r="1374" spans="1:19" x14ac:dyDescent="0.25">
      <c r="A1374">
        <v>11373</v>
      </c>
      <c r="B1374">
        <v>21</v>
      </c>
      <c r="C1374" t="s">
        <v>19</v>
      </c>
      <c r="D1374" t="s">
        <v>41</v>
      </c>
      <c r="E1374" t="s">
        <v>21</v>
      </c>
      <c r="F1374" t="s">
        <v>35</v>
      </c>
      <c r="G1374" t="s">
        <v>30</v>
      </c>
      <c r="H1374">
        <v>125301</v>
      </c>
      <c r="I1374">
        <v>11353</v>
      </c>
      <c r="J1374">
        <v>24</v>
      </c>
      <c r="K1374">
        <v>4</v>
      </c>
      <c r="L1374">
        <v>1</v>
      </c>
      <c r="M1374" t="s">
        <v>25</v>
      </c>
      <c r="N1374">
        <v>3</v>
      </c>
      <c r="O1374">
        <v>2</v>
      </c>
      <c r="P1374">
        <v>20</v>
      </c>
      <c r="Q1374">
        <v>4</v>
      </c>
      <c r="R1374">
        <v>2</v>
      </c>
      <c r="S1374" t="s">
        <v>25</v>
      </c>
    </row>
    <row r="1375" spans="1:19" x14ac:dyDescent="0.25">
      <c r="A1375">
        <v>11374</v>
      </c>
      <c r="B1375">
        <v>47</v>
      </c>
      <c r="C1375" t="s">
        <v>19</v>
      </c>
      <c r="D1375" t="s">
        <v>28</v>
      </c>
      <c r="E1375" t="s">
        <v>21</v>
      </c>
      <c r="F1375" t="s">
        <v>22</v>
      </c>
      <c r="G1375" t="s">
        <v>30</v>
      </c>
      <c r="H1375">
        <v>100160</v>
      </c>
      <c r="I1375">
        <v>7601</v>
      </c>
      <c r="J1375">
        <v>2</v>
      </c>
      <c r="K1375">
        <v>6</v>
      </c>
      <c r="L1375">
        <v>2</v>
      </c>
      <c r="M1375" t="s">
        <v>24</v>
      </c>
      <c r="N1375">
        <v>3</v>
      </c>
      <c r="O1375">
        <v>12</v>
      </c>
      <c r="P1375">
        <v>9</v>
      </c>
      <c r="Q1375">
        <v>3</v>
      </c>
      <c r="R1375">
        <v>1</v>
      </c>
      <c r="S1375" t="s">
        <v>24</v>
      </c>
    </row>
    <row r="1376" spans="1:19" x14ac:dyDescent="0.25">
      <c r="A1376">
        <v>11375</v>
      </c>
      <c r="B1376">
        <v>54</v>
      </c>
      <c r="C1376" t="s">
        <v>19</v>
      </c>
      <c r="D1376" t="s">
        <v>34</v>
      </c>
      <c r="E1376" t="s">
        <v>40</v>
      </c>
      <c r="F1376" t="s">
        <v>39</v>
      </c>
      <c r="G1376" t="s">
        <v>30</v>
      </c>
      <c r="H1376">
        <v>13967</v>
      </c>
      <c r="I1376">
        <v>29458</v>
      </c>
      <c r="J1376">
        <v>13</v>
      </c>
      <c r="K1376">
        <v>0</v>
      </c>
      <c r="L1376">
        <v>2</v>
      </c>
      <c r="M1376" t="s">
        <v>24</v>
      </c>
      <c r="N1376">
        <v>2</v>
      </c>
      <c r="O1376">
        <v>36</v>
      </c>
      <c r="P1376">
        <v>18</v>
      </c>
      <c r="Q1376">
        <v>4</v>
      </c>
      <c r="R1376">
        <v>2</v>
      </c>
      <c r="S1376" t="s">
        <v>25</v>
      </c>
    </row>
    <row r="1377" spans="1:19" x14ac:dyDescent="0.25">
      <c r="A1377">
        <v>11376</v>
      </c>
      <c r="B1377">
        <v>56</v>
      </c>
      <c r="C1377" t="s">
        <v>31</v>
      </c>
      <c r="D1377" t="s">
        <v>26</v>
      </c>
      <c r="E1377" t="s">
        <v>33</v>
      </c>
      <c r="F1377" t="s">
        <v>22</v>
      </c>
      <c r="G1377" t="s">
        <v>23</v>
      </c>
      <c r="H1377">
        <v>31436</v>
      </c>
      <c r="I1377">
        <v>47370</v>
      </c>
      <c r="J1377">
        <v>1</v>
      </c>
      <c r="K1377">
        <v>5</v>
      </c>
      <c r="L1377">
        <v>3</v>
      </c>
      <c r="M1377" t="s">
        <v>25</v>
      </c>
      <c r="N1377">
        <v>2</v>
      </c>
      <c r="O1377">
        <v>14</v>
      </c>
      <c r="P1377">
        <v>11</v>
      </c>
      <c r="Q1377">
        <v>3</v>
      </c>
      <c r="R1377">
        <v>1</v>
      </c>
      <c r="S1377" t="s">
        <v>25</v>
      </c>
    </row>
    <row r="1378" spans="1:19" x14ac:dyDescent="0.25">
      <c r="A1378">
        <v>11377</v>
      </c>
      <c r="B1378">
        <v>44</v>
      </c>
      <c r="C1378" t="s">
        <v>19</v>
      </c>
      <c r="D1378" t="s">
        <v>32</v>
      </c>
      <c r="E1378" t="s">
        <v>29</v>
      </c>
      <c r="F1378" t="s">
        <v>35</v>
      </c>
      <c r="G1378" t="s">
        <v>38</v>
      </c>
      <c r="H1378">
        <v>154691</v>
      </c>
      <c r="I1378">
        <v>9776</v>
      </c>
      <c r="J1378">
        <v>15</v>
      </c>
      <c r="K1378">
        <v>11</v>
      </c>
      <c r="L1378">
        <v>3</v>
      </c>
      <c r="M1378" t="s">
        <v>25</v>
      </c>
      <c r="N1378">
        <v>3</v>
      </c>
      <c r="O1378">
        <v>35</v>
      </c>
      <c r="P1378">
        <v>54</v>
      </c>
      <c r="Q1378">
        <v>4</v>
      </c>
      <c r="R1378">
        <v>2</v>
      </c>
      <c r="S1378" t="s">
        <v>25</v>
      </c>
    </row>
    <row r="1379" spans="1:19" x14ac:dyDescent="0.25">
      <c r="A1379">
        <v>11378</v>
      </c>
      <c r="B1379">
        <v>42</v>
      </c>
      <c r="C1379" t="s">
        <v>31</v>
      </c>
      <c r="D1379" t="s">
        <v>41</v>
      </c>
      <c r="E1379" t="s">
        <v>33</v>
      </c>
      <c r="F1379" t="s">
        <v>22</v>
      </c>
      <c r="G1379" t="s">
        <v>30</v>
      </c>
      <c r="H1379">
        <v>28724</v>
      </c>
      <c r="I1379">
        <v>40685</v>
      </c>
      <c r="J1379">
        <v>24</v>
      </c>
      <c r="K1379">
        <v>0</v>
      </c>
      <c r="L1379">
        <v>2</v>
      </c>
      <c r="M1379" t="s">
        <v>25</v>
      </c>
      <c r="N1379">
        <v>2</v>
      </c>
      <c r="O1379">
        <v>15</v>
      </c>
      <c r="P1379">
        <v>45</v>
      </c>
      <c r="Q1379">
        <v>2</v>
      </c>
      <c r="R1379">
        <v>2</v>
      </c>
      <c r="S1379" t="s">
        <v>25</v>
      </c>
    </row>
    <row r="1380" spans="1:19" x14ac:dyDescent="0.25">
      <c r="A1380">
        <v>11379</v>
      </c>
      <c r="B1380">
        <v>22</v>
      </c>
      <c r="C1380" t="s">
        <v>31</v>
      </c>
      <c r="D1380" t="s">
        <v>26</v>
      </c>
      <c r="E1380" t="s">
        <v>33</v>
      </c>
      <c r="F1380" t="s">
        <v>35</v>
      </c>
      <c r="G1380" t="s">
        <v>38</v>
      </c>
      <c r="H1380">
        <v>32868</v>
      </c>
      <c r="I1380">
        <v>3637</v>
      </c>
      <c r="J1380">
        <v>17</v>
      </c>
      <c r="K1380">
        <v>7</v>
      </c>
      <c r="L1380">
        <v>5</v>
      </c>
      <c r="M1380" t="s">
        <v>25</v>
      </c>
      <c r="N1380">
        <v>3</v>
      </c>
      <c r="O1380">
        <v>25</v>
      </c>
      <c r="P1380">
        <v>40</v>
      </c>
      <c r="Q1380">
        <v>3</v>
      </c>
      <c r="R1380">
        <v>3</v>
      </c>
      <c r="S1380" t="s">
        <v>25</v>
      </c>
    </row>
    <row r="1381" spans="1:19" x14ac:dyDescent="0.25">
      <c r="A1381">
        <v>11380</v>
      </c>
      <c r="B1381">
        <v>24</v>
      </c>
      <c r="C1381" t="s">
        <v>19</v>
      </c>
      <c r="D1381" t="s">
        <v>26</v>
      </c>
      <c r="E1381" t="s">
        <v>36</v>
      </c>
      <c r="F1381" t="s">
        <v>39</v>
      </c>
      <c r="G1381" t="s">
        <v>23</v>
      </c>
      <c r="H1381">
        <v>63833</v>
      </c>
      <c r="I1381">
        <v>40263</v>
      </c>
      <c r="J1381">
        <v>22</v>
      </c>
      <c r="K1381">
        <v>2</v>
      </c>
      <c r="L1381">
        <v>3</v>
      </c>
      <c r="M1381" t="s">
        <v>25</v>
      </c>
      <c r="N1381">
        <v>3</v>
      </c>
      <c r="O1381">
        <v>3</v>
      </c>
      <c r="P1381">
        <v>27</v>
      </c>
      <c r="Q1381">
        <v>3</v>
      </c>
      <c r="R1381">
        <v>2</v>
      </c>
      <c r="S1381" t="s">
        <v>25</v>
      </c>
    </row>
    <row r="1382" spans="1:19" x14ac:dyDescent="0.25">
      <c r="A1382">
        <v>11381</v>
      </c>
      <c r="B1382">
        <v>41</v>
      </c>
      <c r="C1382" t="s">
        <v>31</v>
      </c>
      <c r="D1382" t="s">
        <v>20</v>
      </c>
      <c r="E1382" t="s">
        <v>33</v>
      </c>
      <c r="F1382" t="s">
        <v>35</v>
      </c>
      <c r="G1382" t="s">
        <v>23</v>
      </c>
      <c r="H1382">
        <v>35887</v>
      </c>
      <c r="I1382">
        <v>4757</v>
      </c>
      <c r="J1382">
        <v>0</v>
      </c>
      <c r="K1382">
        <v>10</v>
      </c>
      <c r="L1382">
        <v>3</v>
      </c>
      <c r="M1382" t="s">
        <v>25</v>
      </c>
      <c r="N1382">
        <v>3</v>
      </c>
      <c r="O1382">
        <v>38</v>
      </c>
      <c r="P1382">
        <v>28</v>
      </c>
      <c r="Q1382">
        <v>4</v>
      </c>
      <c r="R1382">
        <v>3</v>
      </c>
      <c r="S1382" t="s">
        <v>25</v>
      </c>
    </row>
    <row r="1383" spans="1:19" x14ac:dyDescent="0.25">
      <c r="A1383">
        <v>11382</v>
      </c>
      <c r="B1383">
        <v>39</v>
      </c>
      <c r="C1383" t="s">
        <v>31</v>
      </c>
      <c r="D1383" t="s">
        <v>28</v>
      </c>
      <c r="E1383" t="s">
        <v>36</v>
      </c>
      <c r="F1383" t="s">
        <v>22</v>
      </c>
      <c r="G1383" t="s">
        <v>30</v>
      </c>
      <c r="H1383">
        <v>53462</v>
      </c>
      <c r="I1383">
        <v>20098</v>
      </c>
      <c r="J1383">
        <v>6</v>
      </c>
      <c r="K1383">
        <v>3</v>
      </c>
      <c r="L1383">
        <v>3</v>
      </c>
      <c r="M1383" t="s">
        <v>25</v>
      </c>
      <c r="N1383">
        <v>3</v>
      </c>
      <c r="O1383">
        <v>5</v>
      </c>
      <c r="P1383">
        <v>29</v>
      </c>
      <c r="Q1383">
        <v>2</v>
      </c>
      <c r="R1383">
        <v>3</v>
      </c>
      <c r="S1383" t="s">
        <v>25</v>
      </c>
    </row>
    <row r="1384" spans="1:19" x14ac:dyDescent="0.25">
      <c r="A1384">
        <v>11383</v>
      </c>
      <c r="B1384">
        <v>20</v>
      </c>
      <c r="C1384" t="s">
        <v>19</v>
      </c>
      <c r="D1384" t="s">
        <v>20</v>
      </c>
      <c r="E1384" t="s">
        <v>21</v>
      </c>
      <c r="F1384" t="s">
        <v>39</v>
      </c>
      <c r="G1384" t="s">
        <v>30</v>
      </c>
      <c r="H1384">
        <v>106746</v>
      </c>
      <c r="I1384">
        <v>32039</v>
      </c>
      <c r="J1384">
        <v>17</v>
      </c>
      <c r="K1384">
        <v>13</v>
      </c>
      <c r="L1384">
        <v>3</v>
      </c>
      <c r="M1384" t="s">
        <v>24</v>
      </c>
      <c r="N1384">
        <v>4</v>
      </c>
      <c r="O1384">
        <v>12</v>
      </c>
      <c r="P1384">
        <v>26</v>
      </c>
      <c r="Q1384">
        <v>3</v>
      </c>
      <c r="R1384">
        <v>2</v>
      </c>
      <c r="S1384" t="s">
        <v>25</v>
      </c>
    </row>
    <row r="1385" spans="1:19" x14ac:dyDescent="0.25">
      <c r="A1385">
        <v>11384</v>
      </c>
      <c r="B1385">
        <v>37</v>
      </c>
      <c r="C1385" t="s">
        <v>19</v>
      </c>
      <c r="D1385" t="s">
        <v>41</v>
      </c>
      <c r="E1385" t="s">
        <v>27</v>
      </c>
      <c r="F1385" t="s">
        <v>35</v>
      </c>
      <c r="G1385" t="s">
        <v>38</v>
      </c>
      <c r="H1385">
        <v>72940</v>
      </c>
      <c r="I1385">
        <v>48408</v>
      </c>
      <c r="J1385">
        <v>22</v>
      </c>
      <c r="K1385">
        <v>7</v>
      </c>
      <c r="L1385">
        <v>5</v>
      </c>
      <c r="M1385" t="s">
        <v>25</v>
      </c>
      <c r="N1385">
        <v>4</v>
      </c>
      <c r="O1385">
        <v>11</v>
      </c>
      <c r="P1385">
        <v>40</v>
      </c>
      <c r="Q1385">
        <v>4</v>
      </c>
      <c r="R1385">
        <v>3</v>
      </c>
      <c r="S1385" t="s">
        <v>24</v>
      </c>
    </row>
    <row r="1386" spans="1:19" x14ac:dyDescent="0.25">
      <c r="A1386">
        <v>11385</v>
      </c>
      <c r="B1386">
        <v>23</v>
      </c>
      <c r="C1386" t="s">
        <v>19</v>
      </c>
      <c r="D1386" t="s">
        <v>41</v>
      </c>
      <c r="E1386" t="s">
        <v>27</v>
      </c>
      <c r="F1386" t="s">
        <v>39</v>
      </c>
      <c r="G1386" t="s">
        <v>30</v>
      </c>
      <c r="H1386">
        <v>89757</v>
      </c>
      <c r="I1386">
        <v>5906</v>
      </c>
      <c r="J1386">
        <v>19</v>
      </c>
      <c r="K1386">
        <v>4</v>
      </c>
      <c r="L1386">
        <v>1</v>
      </c>
      <c r="M1386" t="s">
        <v>25</v>
      </c>
      <c r="N1386">
        <v>4</v>
      </c>
      <c r="O1386">
        <v>33</v>
      </c>
      <c r="P1386">
        <v>23</v>
      </c>
      <c r="Q1386">
        <v>2</v>
      </c>
      <c r="R1386">
        <v>3</v>
      </c>
      <c r="S1386" t="s">
        <v>25</v>
      </c>
    </row>
    <row r="1387" spans="1:19" x14ac:dyDescent="0.25">
      <c r="A1387">
        <v>11386</v>
      </c>
      <c r="B1387">
        <v>45</v>
      </c>
      <c r="C1387" t="s">
        <v>19</v>
      </c>
      <c r="D1387" t="s">
        <v>28</v>
      </c>
      <c r="E1387" t="s">
        <v>21</v>
      </c>
      <c r="F1387" t="s">
        <v>39</v>
      </c>
      <c r="G1387" t="s">
        <v>38</v>
      </c>
      <c r="H1387">
        <v>93966</v>
      </c>
      <c r="I1387">
        <v>20457</v>
      </c>
      <c r="J1387">
        <v>11</v>
      </c>
      <c r="K1387">
        <v>11</v>
      </c>
      <c r="L1387">
        <v>3</v>
      </c>
      <c r="M1387" t="s">
        <v>25</v>
      </c>
      <c r="N1387">
        <v>1</v>
      </c>
      <c r="O1387">
        <v>20</v>
      </c>
      <c r="P1387">
        <v>56</v>
      </c>
      <c r="Q1387">
        <v>4</v>
      </c>
      <c r="R1387">
        <v>3</v>
      </c>
      <c r="S1387" t="s">
        <v>25</v>
      </c>
    </row>
    <row r="1388" spans="1:19" x14ac:dyDescent="0.25">
      <c r="A1388">
        <v>11387</v>
      </c>
      <c r="B1388">
        <v>48</v>
      </c>
      <c r="C1388" t="s">
        <v>19</v>
      </c>
      <c r="D1388" t="s">
        <v>20</v>
      </c>
      <c r="E1388" t="s">
        <v>29</v>
      </c>
      <c r="F1388" t="s">
        <v>35</v>
      </c>
      <c r="G1388" t="s">
        <v>38</v>
      </c>
      <c r="H1388">
        <v>123032</v>
      </c>
      <c r="I1388">
        <v>21278</v>
      </c>
      <c r="J1388">
        <v>18</v>
      </c>
      <c r="K1388">
        <v>14</v>
      </c>
      <c r="L1388">
        <v>5</v>
      </c>
      <c r="M1388" t="s">
        <v>24</v>
      </c>
      <c r="N1388">
        <v>3</v>
      </c>
      <c r="O1388">
        <v>20</v>
      </c>
      <c r="P1388">
        <v>13</v>
      </c>
      <c r="Q1388">
        <v>3</v>
      </c>
      <c r="R1388">
        <v>4</v>
      </c>
      <c r="S1388" t="s">
        <v>25</v>
      </c>
    </row>
    <row r="1389" spans="1:19" x14ac:dyDescent="0.25">
      <c r="A1389">
        <v>11388</v>
      </c>
      <c r="B1389">
        <v>39</v>
      </c>
      <c r="C1389" t="s">
        <v>19</v>
      </c>
      <c r="D1389" t="s">
        <v>20</v>
      </c>
      <c r="E1389" t="s">
        <v>36</v>
      </c>
      <c r="F1389" t="s">
        <v>39</v>
      </c>
      <c r="G1389" t="s">
        <v>30</v>
      </c>
      <c r="H1389">
        <v>65859</v>
      </c>
      <c r="I1389">
        <v>25551</v>
      </c>
      <c r="J1389">
        <v>5</v>
      </c>
      <c r="K1389">
        <v>4</v>
      </c>
      <c r="L1389">
        <v>4</v>
      </c>
      <c r="M1389" t="s">
        <v>25</v>
      </c>
      <c r="N1389">
        <v>2</v>
      </c>
      <c r="O1389">
        <v>24</v>
      </c>
      <c r="P1389">
        <v>41</v>
      </c>
      <c r="Q1389">
        <v>3</v>
      </c>
      <c r="R1389">
        <v>4</v>
      </c>
      <c r="S1389" t="s">
        <v>25</v>
      </c>
    </row>
    <row r="1390" spans="1:19" x14ac:dyDescent="0.25">
      <c r="A1390">
        <v>11389</v>
      </c>
      <c r="B1390">
        <v>46</v>
      </c>
      <c r="C1390" t="s">
        <v>19</v>
      </c>
      <c r="D1390" t="s">
        <v>28</v>
      </c>
      <c r="E1390" t="s">
        <v>40</v>
      </c>
      <c r="F1390" t="s">
        <v>39</v>
      </c>
      <c r="G1390" t="s">
        <v>38</v>
      </c>
      <c r="H1390">
        <v>18797</v>
      </c>
      <c r="I1390">
        <v>42495</v>
      </c>
      <c r="J1390">
        <v>13</v>
      </c>
      <c r="K1390">
        <v>11</v>
      </c>
      <c r="L1390">
        <v>2</v>
      </c>
      <c r="M1390" t="s">
        <v>25</v>
      </c>
      <c r="N1390">
        <v>3</v>
      </c>
      <c r="O1390">
        <v>21</v>
      </c>
      <c r="P1390">
        <v>47</v>
      </c>
      <c r="Q1390">
        <v>2</v>
      </c>
      <c r="R1390">
        <v>2</v>
      </c>
      <c r="S1390" t="s">
        <v>25</v>
      </c>
    </row>
    <row r="1391" spans="1:19" x14ac:dyDescent="0.25">
      <c r="A1391">
        <v>11390</v>
      </c>
      <c r="B1391">
        <v>43</v>
      </c>
      <c r="C1391" t="s">
        <v>31</v>
      </c>
      <c r="D1391" t="s">
        <v>41</v>
      </c>
      <c r="E1391" t="s">
        <v>33</v>
      </c>
      <c r="F1391" t="s">
        <v>39</v>
      </c>
      <c r="G1391" t="s">
        <v>38</v>
      </c>
      <c r="H1391">
        <v>35929</v>
      </c>
      <c r="I1391">
        <v>48489</v>
      </c>
      <c r="J1391">
        <v>23</v>
      </c>
      <c r="K1391">
        <v>4</v>
      </c>
      <c r="L1391">
        <v>4</v>
      </c>
      <c r="M1391" t="s">
        <v>25</v>
      </c>
      <c r="N1391">
        <v>3</v>
      </c>
      <c r="O1391">
        <v>27</v>
      </c>
      <c r="P1391">
        <v>50</v>
      </c>
      <c r="Q1391">
        <v>3</v>
      </c>
      <c r="R1391">
        <v>3</v>
      </c>
      <c r="S1391" t="s">
        <v>25</v>
      </c>
    </row>
    <row r="1392" spans="1:19" x14ac:dyDescent="0.25">
      <c r="A1392">
        <v>11391</v>
      </c>
      <c r="B1392">
        <v>51</v>
      </c>
      <c r="C1392" t="s">
        <v>19</v>
      </c>
      <c r="D1392" t="s">
        <v>26</v>
      </c>
      <c r="E1392" t="s">
        <v>29</v>
      </c>
      <c r="F1392" t="s">
        <v>39</v>
      </c>
      <c r="G1392" t="s">
        <v>30</v>
      </c>
      <c r="H1392">
        <v>129098</v>
      </c>
      <c r="I1392">
        <v>47207</v>
      </c>
      <c r="J1392">
        <v>11</v>
      </c>
      <c r="K1392">
        <v>12</v>
      </c>
      <c r="L1392">
        <v>5</v>
      </c>
      <c r="M1392" t="s">
        <v>25</v>
      </c>
      <c r="N1392">
        <v>2</v>
      </c>
      <c r="O1392">
        <v>21</v>
      </c>
      <c r="P1392">
        <v>39</v>
      </c>
      <c r="Q1392">
        <v>3</v>
      </c>
      <c r="R1392">
        <v>1</v>
      </c>
      <c r="S1392" t="s">
        <v>25</v>
      </c>
    </row>
    <row r="1393" spans="1:19" x14ac:dyDescent="0.25">
      <c r="A1393">
        <v>11392</v>
      </c>
      <c r="B1393">
        <v>37</v>
      </c>
      <c r="C1393" t="s">
        <v>19</v>
      </c>
      <c r="D1393" t="s">
        <v>32</v>
      </c>
      <c r="E1393" t="s">
        <v>36</v>
      </c>
      <c r="F1393" t="s">
        <v>37</v>
      </c>
      <c r="G1393" t="s">
        <v>38</v>
      </c>
      <c r="H1393">
        <v>55356</v>
      </c>
      <c r="I1393">
        <v>39772</v>
      </c>
      <c r="J1393">
        <v>8</v>
      </c>
      <c r="K1393">
        <v>3</v>
      </c>
      <c r="L1393">
        <v>3</v>
      </c>
      <c r="M1393" t="s">
        <v>25</v>
      </c>
      <c r="N1393">
        <v>3</v>
      </c>
      <c r="O1393">
        <v>11</v>
      </c>
      <c r="P1393">
        <v>22</v>
      </c>
      <c r="Q1393">
        <v>1</v>
      </c>
      <c r="R1393">
        <v>2</v>
      </c>
      <c r="S1393" t="s">
        <v>25</v>
      </c>
    </row>
    <row r="1394" spans="1:19" x14ac:dyDescent="0.25">
      <c r="A1394">
        <v>11393</v>
      </c>
      <c r="B1394">
        <v>42</v>
      </c>
      <c r="C1394" t="s">
        <v>19</v>
      </c>
      <c r="D1394" t="s">
        <v>20</v>
      </c>
      <c r="E1394" t="s">
        <v>21</v>
      </c>
      <c r="F1394" t="s">
        <v>39</v>
      </c>
      <c r="G1394" t="s">
        <v>38</v>
      </c>
      <c r="H1394">
        <v>115196</v>
      </c>
      <c r="I1394">
        <v>6704</v>
      </c>
      <c r="J1394">
        <v>8</v>
      </c>
      <c r="K1394">
        <v>3</v>
      </c>
      <c r="L1394">
        <v>3</v>
      </c>
      <c r="M1394" t="s">
        <v>25</v>
      </c>
      <c r="N1394">
        <v>4</v>
      </c>
      <c r="O1394">
        <v>23</v>
      </c>
      <c r="P1394">
        <v>36</v>
      </c>
      <c r="Q1394">
        <v>3</v>
      </c>
      <c r="R1394">
        <v>3</v>
      </c>
      <c r="S1394" t="s">
        <v>25</v>
      </c>
    </row>
    <row r="1395" spans="1:19" x14ac:dyDescent="0.25">
      <c r="A1395">
        <v>11394</v>
      </c>
      <c r="B1395">
        <v>34</v>
      </c>
      <c r="C1395" t="s">
        <v>19</v>
      </c>
      <c r="D1395" t="s">
        <v>20</v>
      </c>
      <c r="E1395" t="s">
        <v>21</v>
      </c>
      <c r="F1395" t="s">
        <v>39</v>
      </c>
      <c r="G1395" t="s">
        <v>23</v>
      </c>
      <c r="H1395">
        <v>94184</v>
      </c>
      <c r="I1395">
        <v>24549</v>
      </c>
      <c r="J1395">
        <v>14</v>
      </c>
      <c r="K1395">
        <v>12</v>
      </c>
      <c r="L1395">
        <v>3</v>
      </c>
      <c r="M1395" t="s">
        <v>24</v>
      </c>
      <c r="N1395">
        <v>4</v>
      </c>
      <c r="O1395">
        <v>5</v>
      </c>
      <c r="P1395">
        <v>26</v>
      </c>
      <c r="Q1395">
        <v>2</v>
      </c>
      <c r="R1395">
        <v>4</v>
      </c>
      <c r="S1395" t="s">
        <v>25</v>
      </c>
    </row>
    <row r="1396" spans="1:19" x14ac:dyDescent="0.25">
      <c r="A1396">
        <v>11395</v>
      </c>
      <c r="B1396">
        <v>25</v>
      </c>
      <c r="C1396" t="s">
        <v>31</v>
      </c>
      <c r="D1396" t="s">
        <v>34</v>
      </c>
      <c r="E1396" t="s">
        <v>27</v>
      </c>
      <c r="F1396" t="s">
        <v>39</v>
      </c>
      <c r="G1396" t="s">
        <v>30</v>
      </c>
      <c r="H1396">
        <v>79091</v>
      </c>
      <c r="I1396">
        <v>15648</v>
      </c>
      <c r="J1396">
        <v>12</v>
      </c>
      <c r="K1396">
        <v>2</v>
      </c>
      <c r="L1396">
        <v>3</v>
      </c>
      <c r="M1396" t="s">
        <v>25</v>
      </c>
      <c r="N1396">
        <v>2</v>
      </c>
      <c r="O1396">
        <v>1</v>
      </c>
      <c r="P1396">
        <v>46</v>
      </c>
      <c r="Q1396">
        <v>1</v>
      </c>
      <c r="R1396">
        <v>4</v>
      </c>
      <c r="S1396" t="s">
        <v>24</v>
      </c>
    </row>
    <row r="1397" spans="1:19" x14ac:dyDescent="0.25">
      <c r="A1397">
        <v>11396</v>
      </c>
      <c r="B1397">
        <v>21</v>
      </c>
      <c r="C1397" t="s">
        <v>31</v>
      </c>
      <c r="D1397" t="s">
        <v>41</v>
      </c>
      <c r="E1397" t="s">
        <v>29</v>
      </c>
      <c r="F1397" t="s">
        <v>39</v>
      </c>
      <c r="G1397" t="s">
        <v>30</v>
      </c>
      <c r="H1397">
        <v>136035</v>
      </c>
      <c r="I1397">
        <v>9074</v>
      </c>
      <c r="J1397">
        <v>21</v>
      </c>
      <c r="K1397">
        <v>11</v>
      </c>
      <c r="L1397">
        <v>3</v>
      </c>
      <c r="M1397" t="s">
        <v>25</v>
      </c>
      <c r="N1397">
        <v>1</v>
      </c>
      <c r="O1397">
        <v>24</v>
      </c>
      <c r="P1397">
        <v>37</v>
      </c>
      <c r="Q1397">
        <v>4</v>
      </c>
      <c r="R1397">
        <v>3</v>
      </c>
      <c r="S1397" t="s">
        <v>24</v>
      </c>
    </row>
    <row r="1398" spans="1:19" x14ac:dyDescent="0.25">
      <c r="A1398">
        <v>11397</v>
      </c>
      <c r="B1398">
        <v>30</v>
      </c>
      <c r="C1398" t="s">
        <v>19</v>
      </c>
      <c r="D1398" t="s">
        <v>20</v>
      </c>
      <c r="E1398" t="s">
        <v>33</v>
      </c>
      <c r="F1398" t="s">
        <v>37</v>
      </c>
      <c r="G1398" t="s">
        <v>38</v>
      </c>
      <c r="H1398">
        <v>39717</v>
      </c>
      <c r="I1398">
        <v>23014</v>
      </c>
      <c r="J1398">
        <v>13</v>
      </c>
      <c r="K1398">
        <v>6</v>
      </c>
      <c r="L1398">
        <v>3</v>
      </c>
      <c r="M1398" t="s">
        <v>25</v>
      </c>
      <c r="N1398">
        <v>1</v>
      </c>
      <c r="O1398">
        <v>37</v>
      </c>
      <c r="P1398">
        <v>47</v>
      </c>
      <c r="Q1398">
        <v>1</v>
      </c>
      <c r="R1398">
        <v>4</v>
      </c>
      <c r="S1398" t="s">
        <v>24</v>
      </c>
    </row>
    <row r="1399" spans="1:19" x14ac:dyDescent="0.25">
      <c r="A1399">
        <v>11398</v>
      </c>
      <c r="B1399">
        <v>58</v>
      </c>
      <c r="C1399" t="s">
        <v>19</v>
      </c>
      <c r="D1399" t="s">
        <v>28</v>
      </c>
      <c r="E1399" t="s">
        <v>27</v>
      </c>
      <c r="F1399" t="s">
        <v>39</v>
      </c>
      <c r="G1399" t="s">
        <v>38</v>
      </c>
      <c r="H1399">
        <v>74239</v>
      </c>
      <c r="I1399">
        <v>36437</v>
      </c>
      <c r="J1399">
        <v>11</v>
      </c>
      <c r="K1399">
        <v>9</v>
      </c>
      <c r="L1399">
        <v>3</v>
      </c>
      <c r="M1399" t="s">
        <v>25</v>
      </c>
      <c r="N1399">
        <v>3</v>
      </c>
      <c r="O1399">
        <v>19</v>
      </c>
      <c r="P1399">
        <v>35</v>
      </c>
      <c r="Q1399">
        <v>4</v>
      </c>
      <c r="R1399">
        <v>1</v>
      </c>
      <c r="S1399" t="s">
        <v>25</v>
      </c>
    </row>
    <row r="1400" spans="1:19" x14ac:dyDescent="0.25">
      <c r="A1400">
        <v>11399</v>
      </c>
      <c r="B1400">
        <v>47</v>
      </c>
      <c r="C1400" t="s">
        <v>31</v>
      </c>
      <c r="D1400" t="s">
        <v>32</v>
      </c>
      <c r="E1400" t="s">
        <v>27</v>
      </c>
      <c r="F1400" t="s">
        <v>39</v>
      </c>
      <c r="G1400" t="s">
        <v>30</v>
      </c>
      <c r="H1400">
        <v>76958</v>
      </c>
      <c r="I1400">
        <v>40566</v>
      </c>
      <c r="J1400">
        <v>24</v>
      </c>
      <c r="K1400">
        <v>2</v>
      </c>
      <c r="L1400">
        <v>3</v>
      </c>
      <c r="M1400" t="s">
        <v>24</v>
      </c>
      <c r="N1400">
        <v>3</v>
      </c>
      <c r="O1400">
        <v>16</v>
      </c>
      <c r="P1400">
        <v>52</v>
      </c>
      <c r="Q1400">
        <v>3</v>
      </c>
      <c r="R1400">
        <v>3</v>
      </c>
      <c r="S1400" t="s">
        <v>25</v>
      </c>
    </row>
    <row r="1401" spans="1:19" x14ac:dyDescent="0.25">
      <c r="A1401">
        <v>11400</v>
      </c>
      <c r="B1401">
        <v>58</v>
      </c>
      <c r="C1401" t="s">
        <v>19</v>
      </c>
      <c r="D1401" t="s">
        <v>26</v>
      </c>
      <c r="E1401" t="s">
        <v>27</v>
      </c>
      <c r="F1401" t="s">
        <v>39</v>
      </c>
      <c r="G1401" t="s">
        <v>38</v>
      </c>
      <c r="H1401">
        <v>75865</v>
      </c>
      <c r="I1401">
        <v>5477</v>
      </c>
      <c r="J1401">
        <v>19</v>
      </c>
      <c r="K1401">
        <v>8</v>
      </c>
      <c r="L1401">
        <v>3</v>
      </c>
      <c r="M1401" t="s">
        <v>25</v>
      </c>
      <c r="N1401">
        <v>3</v>
      </c>
      <c r="O1401">
        <v>5</v>
      </c>
      <c r="P1401">
        <v>53</v>
      </c>
      <c r="Q1401">
        <v>3</v>
      </c>
      <c r="R1401">
        <v>4</v>
      </c>
      <c r="S1401" t="s">
        <v>25</v>
      </c>
    </row>
    <row r="1402" spans="1:19" x14ac:dyDescent="0.25">
      <c r="A1402">
        <v>11401</v>
      </c>
      <c r="B1402">
        <v>49</v>
      </c>
      <c r="C1402" t="s">
        <v>19</v>
      </c>
      <c r="D1402" t="s">
        <v>41</v>
      </c>
      <c r="E1402" t="s">
        <v>33</v>
      </c>
      <c r="F1402" t="s">
        <v>37</v>
      </c>
      <c r="G1402" t="s">
        <v>23</v>
      </c>
      <c r="H1402">
        <v>30039</v>
      </c>
      <c r="I1402">
        <v>2292</v>
      </c>
      <c r="J1402">
        <v>24</v>
      </c>
      <c r="K1402">
        <v>11</v>
      </c>
      <c r="L1402">
        <v>2</v>
      </c>
      <c r="M1402" t="s">
        <v>24</v>
      </c>
      <c r="N1402">
        <v>2</v>
      </c>
      <c r="O1402">
        <v>2</v>
      </c>
      <c r="P1402">
        <v>5</v>
      </c>
      <c r="Q1402">
        <v>1</v>
      </c>
      <c r="R1402">
        <v>1</v>
      </c>
      <c r="S1402" t="s">
        <v>25</v>
      </c>
    </row>
    <row r="1403" spans="1:19" x14ac:dyDescent="0.25">
      <c r="A1403">
        <v>11402</v>
      </c>
      <c r="B1403">
        <v>44</v>
      </c>
      <c r="C1403" t="s">
        <v>31</v>
      </c>
      <c r="D1403" t="s">
        <v>34</v>
      </c>
      <c r="E1403" t="s">
        <v>36</v>
      </c>
      <c r="F1403" t="s">
        <v>39</v>
      </c>
      <c r="G1403" t="s">
        <v>30</v>
      </c>
      <c r="H1403">
        <v>55773</v>
      </c>
      <c r="I1403">
        <v>27332</v>
      </c>
      <c r="J1403">
        <v>12</v>
      </c>
      <c r="K1403">
        <v>5</v>
      </c>
      <c r="L1403">
        <v>3</v>
      </c>
      <c r="M1403" t="s">
        <v>25</v>
      </c>
      <c r="N1403">
        <v>2</v>
      </c>
      <c r="O1403">
        <v>28</v>
      </c>
      <c r="P1403">
        <v>57</v>
      </c>
      <c r="Q1403">
        <v>2</v>
      </c>
      <c r="R1403">
        <v>3</v>
      </c>
      <c r="S1403" t="s">
        <v>25</v>
      </c>
    </row>
    <row r="1404" spans="1:19" x14ac:dyDescent="0.25">
      <c r="A1404">
        <v>11403</v>
      </c>
      <c r="B1404">
        <v>31</v>
      </c>
      <c r="C1404" t="s">
        <v>31</v>
      </c>
      <c r="D1404" t="s">
        <v>20</v>
      </c>
      <c r="E1404" t="s">
        <v>21</v>
      </c>
      <c r="F1404" t="s">
        <v>35</v>
      </c>
      <c r="G1404" t="s">
        <v>38</v>
      </c>
      <c r="H1404">
        <v>104205</v>
      </c>
      <c r="I1404">
        <v>20240</v>
      </c>
      <c r="J1404">
        <v>10</v>
      </c>
      <c r="K1404">
        <v>1</v>
      </c>
      <c r="L1404">
        <v>2</v>
      </c>
      <c r="M1404" t="s">
        <v>25</v>
      </c>
      <c r="N1404">
        <v>1</v>
      </c>
      <c r="O1404">
        <v>15</v>
      </c>
      <c r="P1404">
        <v>55</v>
      </c>
      <c r="Q1404">
        <v>4</v>
      </c>
      <c r="R1404">
        <v>3</v>
      </c>
      <c r="S1404" t="s">
        <v>25</v>
      </c>
    </row>
    <row r="1405" spans="1:19" x14ac:dyDescent="0.25">
      <c r="A1405">
        <v>11404</v>
      </c>
      <c r="B1405">
        <v>46</v>
      </c>
      <c r="C1405" t="s">
        <v>19</v>
      </c>
      <c r="D1405" t="s">
        <v>26</v>
      </c>
      <c r="E1405" t="s">
        <v>36</v>
      </c>
      <c r="F1405" t="s">
        <v>39</v>
      </c>
      <c r="G1405" t="s">
        <v>30</v>
      </c>
      <c r="H1405">
        <v>49587</v>
      </c>
      <c r="I1405">
        <v>38750</v>
      </c>
      <c r="J1405">
        <v>0</v>
      </c>
      <c r="K1405">
        <v>13</v>
      </c>
      <c r="L1405">
        <v>3</v>
      </c>
      <c r="M1405" t="s">
        <v>25</v>
      </c>
      <c r="N1405">
        <v>3</v>
      </c>
      <c r="O1405">
        <v>33</v>
      </c>
      <c r="P1405">
        <v>26</v>
      </c>
      <c r="Q1405">
        <v>1</v>
      </c>
      <c r="R1405">
        <v>2</v>
      </c>
      <c r="S1405" t="s">
        <v>24</v>
      </c>
    </row>
    <row r="1406" spans="1:19" x14ac:dyDescent="0.25">
      <c r="A1406">
        <v>11405</v>
      </c>
      <c r="B1406">
        <v>39</v>
      </c>
      <c r="C1406" t="s">
        <v>19</v>
      </c>
      <c r="D1406" t="s">
        <v>34</v>
      </c>
      <c r="E1406" t="s">
        <v>36</v>
      </c>
      <c r="F1406" t="s">
        <v>39</v>
      </c>
      <c r="G1406" t="s">
        <v>38</v>
      </c>
      <c r="H1406">
        <v>52993</v>
      </c>
      <c r="I1406">
        <v>40510</v>
      </c>
      <c r="J1406">
        <v>14</v>
      </c>
      <c r="K1406">
        <v>10</v>
      </c>
      <c r="L1406">
        <v>2</v>
      </c>
      <c r="M1406" t="s">
        <v>25</v>
      </c>
      <c r="N1406">
        <v>1</v>
      </c>
      <c r="O1406">
        <v>24</v>
      </c>
      <c r="P1406">
        <v>53</v>
      </c>
      <c r="Q1406">
        <v>3</v>
      </c>
      <c r="R1406">
        <v>3</v>
      </c>
      <c r="S1406" t="s">
        <v>25</v>
      </c>
    </row>
    <row r="1407" spans="1:19" x14ac:dyDescent="0.25">
      <c r="A1407">
        <v>11406</v>
      </c>
      <c r="B1407">
        <v>51</v>
      </c>
      <c r="C1407" t="s">
        <v>19</v>
      </c>
      <c r="D1407" t="s">
        <v>41</v>
      </c>
      <c r="E1407" t="s">
        <v>29</v>
      </c>
      <c r="F1407" t="s">
        <v>35</v>
      </c>
      <c r="G1407" t="s">
        <v>30</v>
      </c>
      <c r="H1407">
        <v>159007</v>
      </c>
      <c r="I1407">
        <v>11563</v>
      </c>
      <c r="J1407">
        <v>16</v>
      </c>
      <c r="K1407">
        <v>5</v>
      </c>
      <c r="L1407">
        <v>3</v>
      </c>
      <c r="M1407" t="s">
        <v>25</v>
      </c>
      <c r="N1407">
        <v>2</v>
      </c>
      <c r="O1407">
        <v>1</v>
      </c>
      <c r="P1407">
        <v>9</v>
      </c>
      <c r="Q1407">
        <v>4</v>
      </c>
      <c r="R1407">
        <v>1</v>
      </c>
      <c r="S1407" t="s">
        <v>24</v>
      </c>
    </row>
    <row r="1408" spans="1:19" x14ac:dyDescent="0.25">
      <c r="A1408">
        <v>11407</v>
      </c>
      <c r="B1408">
        <v>28</v>
      </c>
      <c r="C1408" t="s">
        <v>19</v>
      </c>
      <c r="D1408" t="s">
        <v>41</v>
      </c>
      <c r="E1408" t="s">
        <v>33</v>
      </c>
      <c r="F1408" t="s">
        <v>22</v>
      </c>
      <c r="G1408" t="s">
        <v>38</v>
      </c>
      <c r="H1408">
        <v>26527</v>
      </c>
      <c r="I1408">
        <v>20994</v>
      </c>
      <c r="J1408">
        <v>1</v>
      </c>
      <c r="K1408">
        <v>1</v>
      </c>
      <c r="L1408">
        <v>2</v>
      </c>
      <c r="M1408" t="s">
        <v>25</v>
      </c>
      <c r="N1408">
        <v>4</v>
      </c>
      <c r="O1408">
        <v>35</v>
      </c>
      <c r="P1408">
        <v>44</v>
      </c>
      <c r="Q1408">
        <v>2</v>
      </c>
      <c r="R1408">
        <v>2</v>
      </c>
      <c r="S1408" t="s">
        <v>25</v>
      </c>
    </row>
    <row r="1409" spans="1:19" x14ac:dyDescent="0.25">
      <c r="A1409">
        <v>11408</v>
      </c>
      <c r="B1409">
        <v>24</v>
      </c>
      <c r="C1409" t="s">
        <v>31</v>
      </c>
      <c r="D1409" t="s">
        <v>20</v>
      </c>
      <c r="E1409" t="s">
        <v>29</v>
      </c>
      <c r="F1409" t="s">
        <v>35</v>
      </c>
      <c r="G1409" t="s">
        <v>30</v>
      </c>
      <c r="H1409">
        <v>167672</v>
      </c>
      <c r="I1409">
        <v>31063</v>
      </c>
      <c r="J1409">
        <v>12</v>
      </c>
      <c r="K1409">
        <v>6</v>
      </c>
      <c r="L1409">
        <v>5</v>
      </c>
      <c r="M1409" t="s">
        <v>25</v>
      </c>
      <c r="N1409">
        <v>3</v>
      </c>
      <c r="O1409">
        <v>24</v>
      </c>
      <c r="P1409">
        <v>39</v>
      </c>
      <c r="Q1409">
        <v>1</v>
      </c>
      <c r="R1409">
        <v>2</v>
      </c>
      <c r="S1409" t="s">
        <v>25</v>
      </c>
    </row>
    <row r="1410" spans="1:19" x14ac:dyDescent="0.25">
      <c r="A1410">
        <v>11409</v>
      </c>
      <c r="B1410">
        <v>31</v>
      </c>
      <c r="C1410" t="s">
        <v>19</v>
      </c>
      <c r="D1410" t="s">
        <v>20</v>
      </c>
      <c r="E1410" t="s">
        <v>33</v>
      </c>
      <c r="F1410" t="s">
        <v>39</v>
      </c>
      <c r="G1410" t="s">
        <v>38</v>
      </c>
      <c r="H1410">
        <v>39113</v>
      </c>
      <c r="I1410">
        <v>15826</v>
      </c>
      <c r="J1410">
        <v>12</v>
      </c>
      <c r="K1410">
        <v>9</v>
      </c>
      <c r="L1410">
        <v>3</v>
      </c>
      <c r="M1410" t="s">
        <v>24</v>
      </c>
      <c r="N1410">
        <v>3</v>
      </c>
      <c r="O1410">
        <v>8</v>
      </c>
      <c r="P1410">
        <v>10</v>
      </c>
      <c r="Q1410">
        <v>2</v>
      </c>
      <c r="R1410">
        <v>3</v>
      </c>
      <c r="S1410" t="s">
        <v>25</v>
      </c>
    </row>
    <row r="1411" spans="1:19" x14ac:dyDescent="0.25">
      <c r="A1411">
        <v>11410</v>
      </c>
      <c r="B1411">
        <v>42</v>
      </c>
      <c r="C1411" t="s">
        <v>19</v>
      </c>
      <c r="D1411" t="s">
        <v>20</v>
      </c>
      <c r="E1411" t="s">
        <v>27</v>
      </c>
      <c r="F1411" t="s">
        <v>35</v>
      </c>
      <c r="G1411" t="s">
        <v>38</v>
      </c>
      <c r="H1411">
        <v>72745</v>
      </c>
      <c r="I1411">
        <v>7996</v>
      </c>
      <c r="J1411">
        <v>14</v>
      </c>
      <c r="K1411">
        <v>5</v>
      </c>
      <c r="L1411">
        <v>3</v>
      </c>
      <c r="M1411" t="s">
        <v>25</v>
      </c>
      <c r="N1411">
        <v>4</v>
      </c>
      <c r="O1411">
        <v>24</v>
      </c>
      <c r="P1411">
        <v>43</v>
      </c>
      <c r="Q1411">
        <v>2</v>
      </c>
      <c r="R1411">
        <v>3</v>
      </c>
      <c r="S1411" t="s">
        <v>25</v>
      </c>
    </row>
    <row r="1412" spans="1:19" x14ac:dyDescent="0.25">
      <c r="A1412">
        <v>11411</v>
      </c>
      <c r="B1412">
        <v>30</v>
      </c>
      <c r="C1412" t="s">
        <v>19</v>
      </c>
      <c r="D1412" t="s">
        <v>28</v>
      </c>
      <c r="E1412" t="s">
        <v>27</v>
      </c>
      <c r="F1412" t="s">
        <v>39</v>
      </c>
      <c r="G1412" t="s">
        <v>38</v>
      </c>
      <c r="H1412">
        <v>69215</v>
      </c>
      <c r="I1412">
        <v>1144</v>
      </c>
      <c r="J1412">
        <v>2</v>
      </c>
      <c r="K1412">
        <v>6</v>
      </c>
      <c r="L1412">
        <v>3</v>
      </c>
      <c r="M1412" t="s">
        <v>25</v>
      </c>
      <c r="N1412">
        <v>2</v>
      </c>
      <c r="O1412">
        <v>35</v>
      </c>
      <c r="P1412">
        <v>41</v>
      </c>
      <c r="Q1412">
        <v>1</v>
      </c>
      <c r="R1412">
        <v>1</v>
      </c>
      <c r="S1412" t="s">
        <v>25</v>
      </c>
    </row>
    <row r="1413" spans="1:19" x14ac:dyDescent="0.25">
      <c r="A1413">
        <v>11412</v>
      </c>
      <c r="B1413">
        <v>41</v>
      </c>
      <c r="C1413" t="s">
        <v>31</v>
      </c>
      <c r="D1413" t="s">
        <v>32</v>
      </c>
      <c r="E1413" t="s">
        <v>33</v>
      </c>
      <c r="F1413" t="s">
        <v>39</v>
      </c>
      <c r="G1413" t="s">
        <v>30</v>
      </c>
      <c r="H1413">
        <v>25539</v>
      </c>
      <c r="I1413">
        <v>41988</v>
      </c>
      <c r="J1413">
        <v>19</v>
      </c>
      <c r="K1413">
        <v>2</v>
      </c>
      <c r="L1413">
        <v>3</v>
      </c>
      <c r="M1413" t="s">
        <v>25</v>
      </c>
      <c r="N1413">
        <v>4</v>
      </c>
      <c r="O1413">
        <v>16</v>
      </c>
      <c r="P1413">
        <v>59</v>
      </c>
      <c r="Q1413">
        <v>2</v>
      </c>
      <c r="R1413">
        <v>3</v>
      </c>
      <c r="S1413" t="s">
        <v>25</v>
      </c>
    </row>
    <row r="1414" spans="1:19" x14ac:dyDescent="0.25">
      <c r="A1414">
        <v>11413</v>
      </c>
      <c r="B1414">
        <v>41</v>
      </c>
      <c r="C1414" t="s">
        <v>19</v>
      </c>
      <c r="D1414" t="s">
        <v>26</v>
      </c>
      <c r="E1414" t="s">
        <v>27</v>
      </c>
      <c r="F1414" t="s">
        <v>35</v>
      </c>
      <c r="G1414" t="s">
        <v>30</v>
      </c>
      <c r="H1414">
        <v>80956</v>
      </c>
      <c r="I1414">
        <v>9491</v>
      </c>
      <c r="J1414">
        <v>12</v>
      </c>
      <c r="K1414">
        <v>1</v>
      </c>
      <c r="L1414">
        <v>2</v>
      </c>
      <c r="M1414" t="s">
        <v>25</v>
      </c>
      <c r="N1414">
        <v>1</v>
      </c>
      <c r="O1414">
        <v>14</v>
      </c>
      <c r="P1414">
        <v>43</v>
      </c>
      <c r="Q1414">
        <v>2</v>
      </c>
      <c r="R1414">
        <v>4</v>
      </c>
      <c r="S1414" t="s">
        <v>24</v>
      </c>
    </row>
    <row r="1415" spans="1:19" x14ac:dyDescent="0.25">
      <c r="A1415">
        <v>11414</v>
      </c>
      <c r="B1415">
        <v>29</v>
      </c>
      <c r="C1415" t="s">
        <v>19</v>
      </c>
      <c r="D1415" t="s">
        <v>20</v>
      </c>
      <c r="E1415" t="s">
        <v>21</v>
      </c>
      <c r="F1415" t="s">
        <v>39</v>
      </c>
      <c r="G1415" t="s">
        <v>23</v>
      </c>
      <c r="H1415">
        <v>128351</v>
      </c>
      <c r="I1415">
        <v>46205</v>
      </c>
      <c r="J1415">
        <v>8</v>
      </c>
      <c r="K1415">
        <v>13</v>
      </c>
      <c r="L1415">
        <v>5</v>
      </c>
      <c r="M1415" t="s">
        <v>25</v>
      </c>
      <c r="N1415">
        <v>3</v>
      </c>
      <c r="O1415">
        <v>13</v>
      </c>
      <c r="P1415">
        <v>36</v>
      </c>
      <c r="Q1415">
        <v>4</v>
      </c>
      <c r="R1415">
        <v>2</v>
      </c>
      <c r="S1415" t="s">
        <v>25</v>
      </c>
    </row>
    <row r="1416" spans="1:19" x14ac:dyDescent="0.25">
      <c r="A1416">
        <v>11415</v>
      </c>
      <c r="B1416">
        <v>53</v>
      </c>
      <c r="C1416" t="s">
        <v>31</v>
      </c>
      <c r="D1416" t="s">
        <v>28</v>
      </c>
      <c r="E1416" t="s">
        <v>29</v>
      </c>
      <c r="F1416" t="s">
        <v>39</v>
      </c>
      <c r="G1416" t="s">
        <v>38</v>
      </c>
      <c r="H1416">
        <v>153124</v>
      </c>
      <c r="I1416">
        <v>12989</v>
      </c>
      <c r="J1416">
        <v>4</v>
      </c>
      <c r="K1416">
        <v>14</v>
      </c>
      <c r="L1416">
        <v>5</v>
      </c>
      <c r="M1416" t="s">
        <v>25</v>
      </c>
      <c r="N1416">
        <v>1</v>
      </c>
      <c r="O1416">
        <v>30</v>
      </c>
      <c r="P1416">
        <v>30</v>
      </c>
      <c r="Q1416">
        <v>3</v>
      </c>
      <c r="R1416">
        <v>4</v>
      </c>
      <c r="S1416" t="s">
        <v>25</v>
      </c>
    </row>
    <row r="1417" spans="1:19" x14ac:dyDescent="0.25">
      <c r="A1417">
        <v>11416</v>
      </c>
      <c r="B1417">
        <v>43</v>
      </c>
      <c r="C1417" t="s">
        <v>31</v>
      </c>
      <c r="D1417" t="s">
        <v>20</v>
      </c>
      <c r="E1417" t="s">
        <v>21</v>
      </c>
      <c r="F1417" t="s">
        <v>35</v>
      </c>
      <c r="G1417" t="s">
        <v>38</v>
      </c>
      <c r="H1417">
        <v>114017</v>
      </c>
      <c r="I1417">
        <v>47180</v>
      </c>
      <c r="J1417">
        <v>24</v>
      </c>
      <c r="K1417">
        <v>8</v>
      </c>
      <c r="L1417">
        <v>3</v>
      </c>
      <c r="M1417" t="s">
        <v>25</v>
      </c>
      <c r="N1417">
        <v>3</v>
      </c>
      <c r="O1417">
        <v>24</v>
      </c>
      <c r="P1417">
        <v>50</v>
      </c>
      <c r="Q1417">
        <v>4</v>
      </c>
      <c r="R1417">
        <v>3</v>
      </c>
      <c r="S1417" t="s">
        <v>25</v>
      </c>
    </row>
    <row r="1418" spans="1:19" x14ac:dyDescent="0.25">
      <c r="A1418">
        <v>11417</v>
      </c>
      <c r="B1418">
        <v>21</v>
      </c>
      <c r="C1418" t="s">
        <v>19</v>
      </c>
      <c r="D1418" t="s">
        <v>32</v>
      </c>
      <c r="E1418" t="s">
        <v>21</v>
      </c>
      <c r="F1418" t="s">
        <v>35</v>
      </c>
      <c r="G1418" t="s">
        <v>30</v>
      </c>
      <c r="H1418">
        <v>121229</v>
      </c>
      <c r="I1418">
        <v>8989</v>
      </c>
      <c r="J1418">
        <v>19</v>
      </c>
      <c r="K1418">
        <v>3</v>
      </c>
      <c r="L1418">
        <v>3</v>
      </c>
      <c r="M1418" t="s">
        <v>25</v>
      </c>
      <c r="N1418">
        <v>3</v>
      </c>
      <c r="O1418">
        <v>19</v>
      </c>
      <c r="P1418">
        <v>23</v>
      </c>
      <c r="Q1418">
        <v>4</v>
      </c>
      <c r="R1418">
        <v>3</v>
      </c>
      <c r="S1418" t="s">
        <v>25</v>
      </c>
    </row>
    <row r="1419" spans="1:19" x14ac:dyDescent="0.25">
      <c r="A1419">
        <v>11418</v>
      </c>
      <c r="B1419">
        <v>25</v>
      </c>
      <c r="C1419" t="s">
        <v>19</v>
      </c>
      <c r="D1419" t="s">
        <v>41</v>
      </c>
      <c r="E1419" t="s">
        <v>21</v>
      </c>
      <c r="F1419" t="s">
        <v>22</v>
      </c>
      <c r="G1419" t="s">
        <v>30</v>
      </c>
      <c r="H1419">
        <v>96770</v>
      </c>
      <c r="I1419">
        <v>31358</v>
      </c>
      <c r="J1419">
        <v>6</v>
      </c>
      <c r="K1419">
        <v>10</v>
      </c>
      <c r="L1419">
        <v>1</v>
      </c>
      <c r="M1419" t="s">
        <v>25</v>
      </c>
      <c r="N1419">
        <v>3</v>
      </c>
      <c r="O1419">
        <v>9</v>
      </c>
      <c r="P1419">
        <v>9</v>
      </c>
      <c r="Q1419">
        <v>3</v>
      </c>
      <c r="R1419">
        <v>2</v>
      </c>
      <c r="S1419" t="s">
        <v>25</v>
      </c>
    </row>
    <row r="1420" spans="1:19" x14ac:dyDescent="0.25">
      <c r="A1420">
        <v>11419</v>
      </c>
      <c r="B1420">
        <v>32</v>
      </c>
      <c r="C1420" t="s">
        <v>31</v>
      </c>
      <c r="D1420" t="s">
        <v>26</v>
      </c>
      <c r="E1420" t="s">
        <v>40</v>
      </c>
      <c r="F1420" t="s">
        <v>39</v>
      </c>
      <c r="G1420" t="s">
        <v>38</v>
      </c>
      <c r="H1420">
        <v>12804</v>
      </c>
      <c r="I1420">
        <v>23358</v>
      </c>
      <c r="J1420">
        <v>0</v>
      </c>
      <c r="K1420">
        <v>11</v>
      </c>
      <c r="L1420">
        <v>4</v>
      </c>
      <c r="M1420" t="s">
        <v>25</v>
      </c>
      <c r="N1420">
        <v>1</v>
      </c>
      <c r="O1420">
        <v>37</v>
      </c>
      <c r="P1420">
        <v>33</v>
      </c>
      <c r="Q1420">
        <v>3</v>
      </c>
      <c r="R1420">
        <v>2</v>
      </c>
      <c r="S1420" t="s">
        <v>25</v>
      </c>
    </row>
    <row r="1421" spans="1:19" x14ac:dyDescent="0.25">
      <c r="A1421">
        <v>11420</v>
      </c>
      <c r="B1421">
        <v>32</v>
      </c>
      <c r="C1421" t="s">
        <v>31</v>
      </c>
      <c r="D1421" t="s">
        <v>41</v>
      </c>
      <c r="E1421" t="s">
        <v>40</v>
      </c>
      <c r="F1421" t="s">
        <v>37</v>
      </c>
      <c r="G1421" t="s">
        <v>23</v>
      </c>
      <c r="H1421">
        <v>11356</v>
      </c>
      <c r="I1421">
        <v>26515</v>
      </c>
      <c r="J1421">
        <v>11</v>
      </c>
      <c r="K1421">
        <v>0</v>
      </c>
      <c r="L1421">
        <v>3</v>
      </c>
      <c r="M1421" t="s">
        <v>24</v>
      </c>
      <c r="N1421">
        <v>3</v>
      </c>
      <c r="O1421">
        <v>29</v>
      </c>
      <c r="P1421">
        <v>18</v>
      </c>
      <c r="Q1421">
        <v>4</v>
      </c>
      <c r="R1421">
        <v>2</v>
      </c>
      <c r="S1421" t="s">
        <v>25</v>
      </c>
    </row>
    <row r="1422" spans="1:19" x14ac:dyDescent="0.25">
      <c r="A1422">
        <v>11421</v>
      </c>
      <c r="B1422">
        <v>41</v>
      </c>
      <c r="C1422" t="s">
        <v>19</v>
      </c>
      <c r="D1422" t="s">
        <v>41</v>
      </c>
      <c r="E1422" t="s">
        <v>27</v>
      </c>
      <c r="F1422" t="s">
        <v>22</v>
      </c>
      <c r="G1422" t="s">
        <v>30</v>
      </c>
      <c r="H1422">
        <v>63690</v>
      </c>
      <c r="I1422">
        <v>21320</v>
      </c>
      <c r="J1422">
        <v>12</v>
      </c>
      <c r="K1422">
        <v>9</v>
      </c>
      <c r="L1422">
        <v>4</v>
      </c>
      <c r="M1422" t="s">
        <v>25</v>
      </c>
      <c r="N1422">
        <v>3</v>
      </c>
      <c r="O1422">
        <v>7</v>
      </c>
      <c r="P1422">
        <v>50</v>
      </c>
      <c r="Q1422">
        <v>2</v>
      </c>
      <c r="R1422">
        <v>2</v>
      </c>
      <c r="S1422" t="s">
        <v>24</v>
      </c>
    </row>
    <row r="1423" spans="1:19" x14ac:dyDescent="0.25">
      <c r="A1423">
        <v>11422</v>
      </c>
      <c r="B1423">
        <v>44</v>
      </c>
      <c r="C1423" t="s">
        <v>19</v>
      </c>
      <c r="D1423" t="s">
        <v>32</v>
      </c>
      <c r="E1423" t="s">
        <v>36</v>
      </c>
      <c r="F1423" t="s">
        <v>35</v>
      </c>
      <c r="G1423" t="s">
        <v>38</v>
      </c>
      <c r="H1423">
        <v>55000</v>
      </c>
      <c r="I1423">
        <v>7830</v>
      </c>
      <c r="J1423">
        <v>8</v>
      </c>
      <c r="K1423">
        <v>6</v>
      </c>
      <c r="L1423">
        <v>3</v>
      </c>
      <c r="M1423" t="s">
        <v>25</v>
      </c>
      <c r="N1423">
        <v>2</v>
      </c>
      <c r="O1423">
        <v>18</v>
      </c>
      <c r="P1423">
        <v>18</v>
      </c>
      <c r="Q1423">
        <v>4</v>
      </c>
      <c r="R1423">
        <v>4</v>
      </c>
      <c r="S1423" t="s">
        <v>25</v>
      </c>
    </row>
    <row r="1424" spans="1:19" x14ac:dyDescent="0.25">
      <c r="A1424">
        <v>11423</v>
      </c>
      <c r="B1424">
        <v>51</v>
      </c>
      <c r="C1424" t="s">
        <v>31</v>
      </c>
      <c r="D1424" t="s">
        <v>34</v>
      </c>
      <c r="E1424" t="s">
        <v>33</v>
      </c>
      <c r="F1424" t="s">
        <v>22</v>
      </c>
      <c r="G1424" t="s">
        <v>23</v>
      </c>
      <c r="H1424">
        <v>43228</v>
      </c>
      <c r="I1424">
        <v>11926</v>
      </c>
      <c r="J1424">
        <v>4</v>
      </c>
      <c r="K1424">
        <v>7</v>
      </c>
      <c r="L1424">
        <v>3</v>
      </c>
      <c r="M1424" t="s">
        <v>24</v>
      </c>
      <c r="N1424">
        <v>3</v>
      </c>
      <c r="O1424">
        <v>28</v>
      </c>
      <c r="P1424">
        <v>5</v>
      </c>
      <c r="Q1424">
        <v>1</v>
      </c>
      <c r="R1424">
        <v>1</v>
      </c>
      <c r="S1424" t="s">
        <v>25</v>
      </c>
    </row>
    <row r="1425" spans="1:19" x14ac:dyDescent="0.25">
      <c r="A1425">
        <v>11424</v>
      </c>
      <c r="B1425">
        <v>40</v>
      </c>
      <c r="C1425" t="s">
        <v>31</v>
      </c>
      <c r="D1425" t="s">
        <v>34</v>
      </c>
      <c r="E1425" t="s">
        <v>36</v>
      </c>
      <c r="F1425" t="s">
        <v>22</v>
      </c>
      <c r="G1425" t="s">
        <v>38</v>
      </c>
      <c r="H1425">
        <v>62602</v>
      </c>
      <c r="I1425">
        <v>46924</v>
      </c>
      <c r="J1425">
        <v>5</v>
      </c>
      <c r="K1425">
        <v>10</v>
      </c>
      <c r="L1425">
        <v>2</v>
      </c>
      <c r="M1425" t="s">
        <v>24</v>
      </c>
      <c r="N1425">
        <v>3</v>
      </c>
      <c r="O1425">
        <v>3</v>
      </c>
      <c r="P1425">
        <v>9</v>
      </c>
      <c r="Q1425">
        <v>3</v>
      </c>
      <c r="R1425">
        <v>2</v>
      </c>
      <c r="S1425" t="s">
        <v>25</v>
      </c>
    </row>
    <row r="1426" spans="1:19" x14ac:dyDescent="0.25">
      <c r="A1426">
        <v>11425</v>
      </c>
      <c r="B1426">
        <v>25</v>
      </c>
      <c r="C1426" t="s">
        <v>19</v>
      </c>
      <c r="D1426" t="s">
        <v>20</v>
      </c>
      <c r="E1426" t="s">
        <v>36</v>
      </c>
      <c r="F1426" t="s">
        <v>39</v>
      </c>
      <c r="G1426" t="s">
        <v>23</v>
      </c>
      <c r="H1426">
        <v>46982</v>
      </c>
      <c r="I1426">
        <v>38197</v>
      </c>
      <c r="J1426">
        <v>18</v>
      </c>
      <c r="K1426">
        <v>8</v>
      </c>
      <c r="L1426">
        <v>3</v>
      </c>
      <c r="M1426" t="s">
        <v>24</v>
      </c>
      <c r="N1426">
        <v>2</v>
      </c>
      <c r="O1426">
        <v>34</v>
      </c>
      <c r="P1426">
        <v>32</v>
      </c>
      <c r="Q1426">
        <v>3</v>
      </c>
      <c r="R1426">
        <v>3</v>
      </c>
      <c r="S1426" t="s">
        <v>24</v>
      </c>
    </row>
    <row r="1427" spans="1:19" x14ac:dyDescent="0.25">
      <c r="A1427">
        <v>11426</v>
      </c>
      <c r="B1427">
        <v>50</v>
      </c>
      <c r="C1427" t="s">
        <v>19</v>
      </c>
      <c r="D1427" t="s">
        <v>20</v>
      </c>
      <c r="E1427" t="s">
        <v>33</v>
      </c>
      <c r="F1427" t="s">
        <v>39</v>
      </c>
      <c r="G1427" t="s">
        <v>30</v>
      </c>
      <c r="H1427">
        <v>32461</v>
      </c>
      <c r="I1427">
        <v>23359</v>
      </c>
      <c r="J1427">
        <v>9</v>
      </c>
      <c r="K1427">
        <v>8</v>
      </c>
      <c r="L1427">
        <v>3</v>
      </c>
      <c r="M1427" t="s">
        <v>24</v>
      </c>
      <c r="N1427">
        <v>3</v>
      </c>
      <c r="O1427">
        <v>24</v>
      </c>
      <c r="P1427">
        <v>45</v>
      </c>
      <c r="Q1427">
        <v>4</v>
      </c>
      <c r="R1427">
        <v>2</v>
      </c>
      <c r="S1427" t="s">
        <v>25</v>
      </c>
    </row>
    <row r="1428" spans="1:19" x14ac:dyDescent="0.25">
      <c r="A1428">
        <v>11427</v>
      </c>
      <c r="B1428">
        <v>54</v>
      </c>
      <c r="C1428" t="s">
        <v>19</v>
      </c>
      <c r="D1428" t="s">
        <v>26</v>
      </c>
      <c r="E1428" t="s">
        <v>36</v>
      </c>
      <c r="F1428" t="s">
        <v>39</v>
      </c>
      <c r="G1428" t="s">
        <v>38</v>
      </c>
      <c r="H1428">
        <v>48390</v>
      </c>
      <c r="I1428">
        <v>39268</v>
      </c>
      <c r="J1428">
        <v>15</v>
      </c>
      <c r="K1428">
        <v>1</v>
      </c>
      <c r="L1428">
        <v>4</v>
      </c>
      <c r="M1428" t="s">
        <v>25</v>
      </c>
      <c r="N1428">
        <v>3</v>
      </c>
      <c r="O1428">
        <v>35</v>
      </c>
      <c r="P1428">
        <v>51</v>
      </c>
      <c r="Q1428">
        <v>3</v>
      </c>
      <c r="R1428">
        <v>3</v>
      </c>
      <c r="S1428" t="s">
        <v>25</v>
      </c>
    </row>
    <row r="1429" spans="1:19" x14ac:dyDescent="0.25">
      <c r="A1429">
        <v>11428</v>
      </c>
      <c r="B1429">
        <v>36</v>
      </c>
      <c r="C1429" t="s">
        <v>19</v>
      </c>
      <c r="D1429" t="s">
        <v>41</v>
      </c>
      <c r="E1429" t="s">
        <v>21</v>
      </c>
      <c r="F1429" t="s">
        <v>35</v>
      </c>
      <c r="G1429" t="s">
        <v>30</v>
      </c>
      <c r="H1429">
        <v>100312</v>
      </c>
      <c r="I1429">
        <v>11739</v>
      </c>
      <c r="J1429">
        <v>19</v>
      </c>
      <c r="K1429">
        <v>5</v>
      </c>
      <c r="L1429">
        <v>2</v>
      </c>
      <c r="M1429" t="s">
        <v>25</v>
      </c>
      <c r="N1429">
        <v>3</v>
      </c>
      <c r="O1429">
        <v>3</v>
      </c>
      <c r="P1429">
        <v>50</v>
      </c>
      <c r="Q1429">
        <v>3</v>
      </c>
      <c r="R1429">
        <v>1</v>
      </c>
      <c r="S1429" t="s">
        <v>25</v>
      </c>
    </row>
    <row r="1430" spans="1:19" x14ac:dyDescent="0.25">
      <c r="A1430">
        <v>11429</v>
      </c>
      <c r="B1430">
        <v>44</v>
      </c>
      <c r="C1430" t="s">
        <v>19</v>
      </c>
      <c r="D1430" t="s">
        <v>41</v>
      </c>
      <c r="E1430" t="s">
        <v>29</v>
      </c>
      <c r="F1430" t="s">
        <v>39</v>
      </c>
      <c r="G1430" t="s">
        <v>30</v>
      </c>
      <c r="H1430">
        <v>131990</v>
      </c>
      <c r="I1430">
        <v>16834</v>
      </c>
      <c r="J1430">
        <v>18</v>
      </c>
      <c r="K1430">
        <v>14</v>
      </c>
      <c r="L1430">
        <v>2</v>
      </c>
      <c r="M1430" t="s">
        <v>25</v>
      </c>
      <c r="N1430">
        <v>3</v>
      </c>
      <c r="O1430">
        <v>38</v>
      </c>
      <c r="P1430">
        <v>28</v>
      </c>
      <c r="Q1430">
        <v>4</v>
      </c>
      <c r="R1430">
        <v>1</v>
      </c>
      <c r="S1430" t="s">
        <v>25</v>
      </c>
    </row>
    <row r="1431" spans="1:19" x14ac:dyDescent="0.25">
      <c r="A1431">
        <v>11430</v>
      </c>
      <c r="B1431">
        <v>41</v>
      </c>
      <c r="C1431" t="s">
        <v>19</v>
      </c>
      <c r="D1431" t="s">
        <v>41</v>
      </c>
      <c r="E1431" t="s">
        <v>21</v>
      </c>
      <c r="F1431" t="s">
        <v>35</v>
      </c>
      <c r="G1431" t="s">
        <v>30</v>
      </c>
      <c r="H1431">
        <v>118917</v>
      </c>
      <c r="I1431">
        <v>18321</v>
      </c>
      <c r="J1431">
        <v>11</v>
      </c>
      <c r="K1431">
        <v>14</v>
      </c>
      <c r="L1431">
        <v>4</v>
      </c>
      <c r="M1431" t="s">
        <v>25</v>
      </c>
      <c r="N1431">
        <v>4</v>
      </c>
      <c r="O1431">
        <v>36</v>
      </c>
      <c r="P1431">
        <v>18</v>
      </c>
      <c r="Q1431">
        <v>3</v>
      </c>
      <c r="R1431">
        <v>2</v>
      </c>
      <c r="S1431" t="s">
        <v>25</v>
      </c>
    </row>
    <row r="1432" spans="1:19" x14ac:dyDescent="0.25">
      <c r="A1432">
        <v>11431</v>
      </c>
      <c r="B1432">
        <v>44</v>
      </c>
      <c r="C1432" t="s">
        <v>31</v>
      </c>
      <c r="D1432" t="s">
        <v>28</v>
      </c>
      <c r="E1432" t="s">
        <v>33</v>
      </c>
      <c r="F1432" t="s">
        <v>39</v>
      </c>
      <c r="G1432" t="s">
        <v>30</v>
      </c>
      <c r="H1432">
        <v>35559</v>
      </c>
      <c r="I1432">
        <v>401</v>
      </c>
      <c r="J1432">
        <v>23</v>
      </c>
      <c r="K1432">
        <v>9</v>
      </c>
      <c r="L1432">
        <v>3</v>
      </c>
      <c r="M1432" t="s">
        <v>25</v>
      </c>
      <c r="N1432">
        <v>4</v>
      </c>
      <c r="O1432">
        <v>24</v>
      </c>
      <c r="P1432">
        <v>47</v>
      </c>
      <c r="Q1432">
        <v>2</v>
      </c>
      <c r="R1432">
        <v>4</v>
      </c>
      <c r="S1432" t="s">
        <v>25</v>
      </c>
    </row>
    <row r="1433" spans="1:19" x14ac:dyDescent="0.25">
      <c r="A1433">
        <v>11432</v>
      </c>
      <c r="B1433">
        <v>42</v>
      </c>
      <c r="C1433" t="s">
        <v>31</v>
      </c>
      <c r="D1433" t="s">
        <v>20</v>
      </c>
      <c r="E1433" t="s">
        <v>33</v>
      </c>
      <c r="F1433" t="s">
        <v>22</v>
      </c>
      <c r="G1433" t="s">
        <v>38</v>
      </c>
      <c r="H1433">
        <v>33513</v>
      </c>
      <c r="I1433">
        <v>46815</v>
      </c>
      <c r="J1433">
        <v>16</v>
      </c>
      <c r="K1433">
        <v>5</v>
      </c>
      <c r="L1433">
        <v>4</v>
      </c>
      <c r="M1433" t="s">
        <v>25</v>
      </c>
      <c r="N1433">
        <v>4</v>
      </c>
      <c r="O1433">
        <v>14</v>
      </c>
      <c r="P1433">
        <v>31</v>
      </c>
      <c r="Q1433">
        <v>4</v>
      </c>
      <c r="R1433">
        <v>3</v>
      </c>
      <c r="S1433" t="s">
        <v>25</v>
      </c>
    </row>
    <row r="1434" spans="1:19" x14ac:dyDescent="0.25">
      <c r="A1434">
        <v>11433</v>
      </c>
      <c r="B1434">
        <v>22</v>
      </c>
      <c r="C1434" t="s">
        <v>31</v>
      </c>
      <c r="D1434" t="s">
        <v>26</v>
      </c>
      <c r="E1434" t="s">
        <v>36</v>
      </c>
      <c r="F1434" t="s">
        <v>35</v>
      </c>
      <c r="G1434" t="s">
        <v>38</v>
      </c>
      <c r="H1434">
        <v>69407</v>
      </c>
      <c r="I1434">
        <v>47726</v>
      </c>
      <c r="J1434">
        <v>15</v>
      </c>
      <c r="K1434">
        <v>13</v>
      </c>
      <c r="L1434">
        <v>4</v>
      </c>
      <c r="M1434" t="s">
        <v>25</v>
      </c>
      <c r="N1434">
        <v>3</v>
      </c>
      <c r="O1434">
        <v>13</v>
      </c>
      <c r="P1434">
        <v>45</v>
      </c>
      <c r="Q1434">
        <v>4</v>
      </c>
      <c r="R1434">
        <v>3</v>
      </c>
      <c r="S1434" t="s">
        <v>25</v>
      </c>
    </row>
    <row r="1435" spans="1:19" x14ac:dyDescent="0.25">
      <c r="A1435">
        <v>11434</v>
      </c>
      <c r="B1435">
        <v>27</v>
      </c>
      <c r="C1435" t="s">
        <v>31</v>
      </c>
      <c r="D1435" t="s">
        <v>20</v>
      </c>
      <c r="E1435" t="s">
        <v>36</v>
      </c>
      <c r="F1435" t="s">
        <v>39</v>
      </c>
      <c r="G1435" t="s">
        <v>30</v>
      </c>
      <c r="H1435">
        <v>47262</v>
      </c>
      <c r="I1435">
        <v>41817</v>
      </c>
      <c r="J1435">
        <v>2</v>
      </c>
      <c r="K1435">
        <v>1</v>
      </c>
      <c r="L1435">
        <v>3</v>
      </c>
      <c r="M1435" t="s">
        <v>25</v>
      </c>
      <c r="N1435">
        <v>2</v>
      </c>
      <c r="O1435">
        <v>16</v>
      </c>
      <c r="P1435">
        <v>41</v>
      </c>
      <c r="Q1435">
        <v>3</v>
      </c>
      <c r="R1435">
        <v>4</v>
      </c>
      <c r="S1435" t="s">
        <v>25</v>
      </c>
    </row>
    <row r="1436" spans="1:19" x14ac:dyDescent="0.25">
      <c r="A1436">
        <v>11435</v>
      </c>
      <c r="B1436">
        <v>39</v>
      </c>
      <c r="C1436" t="s">
        <v>19</v>
      </c>
      <c r="D1436" t="s">
        <v>41</v>
      </c>
      <c r="E1436" t="s">
        <v>33</v>
      </c>
      <c r="F1436" t="s">
        <v>39</v>
      </c>
      <c r="G1436" t="s">
        <v>38</v>
      </c>
      <c r="H1436">
        <v>36156</v>
      </c>
      <c r="I1436">
        <v>30183</v>
      </c>
      <c r="J1436">
        <v>10</v>
      </c>
      <c r="K1436">
        <v>7</v>
      </c>
      <c r="L1436">
        <v>3</v>
      </c>
      <c r="M1436" t="s">
        <v>25</v>
      </c>
      <c r="N1436">
        <v>3</v>
      </c>
      <c r="O1436">
        <v>3</v>
      </c>
      <c r="P1436">
        <v>38</v>
      </c>
      <c r="Q1436">
        <v>1</v>
      </c>
      <c r="R1436">
        <v>4</v>
      </c>
      <c r="S1436" t="s">
        <v>25</v>
      </c>
    </row>
    <row r="1437" spans="1:19" x14ac:dyDescent="0.25">
      <c r="A1437">
        <v>11436</v>
      </c>
      <c r="B1437">
        <v>58</v>
      </c>
      <c r="C1437" t="s">
        <v>19</v>
      </c>
      <c r="D1437" t="s">
        <v>34</v>
      </c>
      <c r="E1437" t="s">
        <v>27</v>
      </c>
      <c r="F1437" t="s">
        <v>39</v>
      </c>
      <c r="G1437" t="s">
        <v>38</v>
      </c>
      <c r="H1437">
        <v>70273</v>
      </c>
      <c r="I1437">
        <v>48674</v>
      </c>
      <c r="J1437">
        <v>10</v>
      </c>
      <c r="K1437">
        <v>5</v>
      </c>
      <c r="L1437">
        <v>2</v>
      </c>
      <c r="M1437" t="s">
        <v>25</v>
      </c>
      <c r="N1437">
        <v>4</v>
      </c>
      <c r="O1437">
        <v>38</v>
      </c>
      <c r="P1437">
        <v>54</v>
      </c>
      <c r="Q1437">
        <v>1</v>
      </c>
      <c r="R1437">
        <v>2</v>
      </c>
      <c r="S1437" t="s">
        <v>25</v>
      </c>
    </row>
    <row r="1438" spans="1:19" x14ac:dyDescent="0.25">
      <c r="A1438">
        <v>11437</v>
      </c>
      <c r="B1438">
        <v>48</v>
      </c>
      <c r="C1438" t="s">
        <v>19</v>
      </c>
      <c r="D1438" t="s">
        <v>28</v>
      </c>
      <c r="E1438" t="s">
        <v>27</v>
      </c>
      <c r="F1438" t="s">
        <v>39</v>
      </c>
      <c r="G1438" t="s">
        <v>30</v>
      </c>
      <c r="H1438">
        <v>61937</v>
      </c>
      <c r="I1438">
        <v>13472</v>
      </c>
      <c r="J1438">
        <v>7</v>
      </c>
      <c r="K1438">
        <v>11</v>
      </c>
      <c r="L1438">
        <v>4</v>
      </c>
      <c r="M1438" t="s">
        <v>25</v>
      </c>
      <c r="N1438">
        <v>4</v>
      </c>
      <c r="O1438">
        <v>17</v>
      </c>
      <c r="P1438">
        <v>17</v>
      </c>
      <c r="Q1438">
        <v>4</v>
      </c>
      <c r="R1438">
        <v>4</v>
      </c>
      <c r="S1438" t="s">
        <v>25</v>
      </c>
    </row>
    <row r="1439" spans="1:19" x14ac:dyDescent="0.25">
      <c r="A1439">
        <v>11438</v>
      </c>
      <c r="B1439">
        <v>20</v>
      </c>
      <c r="C1439" t="s">
        <v>19</v>
      </c>
      <c r="D1439" t="s">
        <v>41</v>
      </c>
      <c r="E1439" t="s">
        <v>27</v>
      </c>
      <c r="F1439" t="s">
        <v>39</v>
      </c>
      <c r="G1439" t="s">
        <v>30</v>
      </c>
      <c r="H1439">
        <v>70461</v>
      </c>
      <c r="I1439">
        <v>42830</v>
      </c>
      <c r="J1439">
        <v>13</v>
      </c>
      <c r="K1439">
        <v>7</v>
      </c>
      <c r="L1439">
        <v>3</v>
      </c>
      <c r="M1439" t="s">
        <v>25</v>
      </c>
      <c r="N1439">
        <v>3</v>
      </c>
      <c r="O1439">
        <v>6</v>
      </c>
      <c r="P1439">
        <v>20</v>
      </c>
      <c r="Q1439">
        <v>1</v>
      </c>
      <c r="R1439">
        <v>4</v>
      </c>
      <c r="S1439" t="s">
        <v>25</v>
      </c>
    </row>
    <row r="1440" spans="1:19" x14ac:dyDescent="0.25">
      <c r="A1440">
        <v>11439</v>
      </c>
      <c r="B1440">
        <v>30</v>
      </c>
      <c r="C1440" t="s">
        <v>19</v>
      </c>
      <c r="D1440" t="s">
        <v>20</v>
      </c>
      <c r="E1440" t="s">
        <v>33</v>
      </c>
      <c r="F1440" t="s">
        <v>22</v>
      </c>
      <c r="G1440" t="s">
        <v>30</v>
      </c>
      <c r="H1440">
        <v>39048</v>
      </c>
      <c r="I1440">
        <v>49747</v>
      </c>
      <c r="J1440">
        <v>10</v>
      </c>
      <c r="K1440">
        <v>6</v>
      </c>
      <c r="L1440">
        <v>4</v>
      </c>
      <c r="M1440" t="s">
        <v>25</v>
      </c>
      <c r="N1440">
        <v>1</v>
      </c>
      <c r="O1440">
        <v>3</v>
      </c>
      <c r="P1440">
        <v>11</v>
      </c>
      <c r="Q1440">
        <v>1</v>
      </c>
      <c r="R1440">
        <v>2</v>
      </c>
      <c r="S1440" t="s">
        <v>25</v>
      </c>
    </row>
    <row r="1441" spans="1:19" x14ac:dyDescent="0.25">
      <c r="A1441">
        <v>11440</v>
      </c>
      <c r="B1441">
        <v>24</v>
      </c>
      <c r="C1441" t="s">
        <v>19</v>
      </c>
      <c r="D1441" t="s">
        <v>32</v>
      </c>
      <c r="E1441" t="s">
        <v>36</v>
      </c>
      <c r="F1441" t="s">
        <v>35</v>
      </c>
      <c r="G1441" t="s">
        <v>23</v>
      </c>
      <c r="H1441">
        <v>63141</v>
      </c>
      <c r="I1441">
        <v>29297</v>
      </c>
      <c r="J1441">
        <v>21</v>
      </c>
      <c r="K1441">
        <v>7</v>
      </c>
      <c r="L1441">
        <v>3</v>
      </c>
      <c r="M1441" t="s">
        <v>25</v>
      </c>
      <c r="N1441">
        <v>4</v>
      </c>
      <c r="O1441">
        <v>31</v>
      </c>
      <c r="P1441">
        <v>52</v>
      </c>
      <c r="Q1441">
        <v>2</v>
      </c>
      <c r="R1441">
        <v>1</v>
      </c>
      <c r="S1441" t="s">
        <v>25</v>
      </c>
    </row>
    <row r="1442" spans="1:19" x14ac:dyDescent="0.25">
      <c r="A1442">
        <v>11441</v>
      </c>
      <c r="B1442">
        <v>51</v>
      </c>
      <c r="C1442" t="s">
        <v>31</v>
      </c>
      <c r="D1442" t="s">
        <v>32</v>
      </c>
      <c r="E1442" t="s">
        <v>36</v>
      </c>
      <c r="F1442" t="s">
        <v>35</v>
      </c>
      <c r="G1442" t="s">
        <v>38</v>
      </c>
      <c r="H1442">
        <v>45737</v>
      </c>
      <c r="I1442">
        <v>4418</v>
      </c>
      <c r="J1442">
        <v>20</v>
      </c>
      <c r="K1442">
        <v>2</v>
      </c>
      <c r="L1442">
        <v>1</v>
      </c>
      <c r="M1442" t="s">
        <v>25</v>
      </c>
      <c r="N1442">
        <v>4</v>
      </c>
      <c r="O1442">
        <v>39</v>
      </c>
      <c r="P1442">
        <v>58</v>
      </c>
      <c r="Q1442">
        <v>3</v>
      </c>
      <c r="R1442">
        <v>1</v>
      </c>
      <c r="S1442" t="s">
        <v>25</v>
      </c>
    </row>
    <row r="1443" spans="1:19" x14ac:dyDescent="0.25">
      <c r="A1443">
        <v>11442</v>
      </c>
      <c r="B1443">
        <v>59</v>
      </c>
      <c r="C1443" t="s">
        <v>31</v>
      </c>
      <c r="D1443" t="s">
        <v>41</v>
      </c>
      <c r="E1443" t="s">
        <v>33</v>
      </c>
      <c r="F1443" t="s">
        <v>39</v>
      </c>
      <c r="G1443" t="s">
        <v>30</v>
      </c>
      <c r="H1443">
        <v>26087</v>
      </c>
      <c r="I1443">
        <v>35671</v>
      </c>
      <c r="J1443">
        <v>24</v>
      </c>
      <c r="K1443">
        <v>6</v>
      </c>
      <c r="L1443">
        <v>5</v>
      </c>
      <c r="M1443" t="s">
        <v>25</v>
      </c>
      <c r="N1443">
        <v>2</v>
      </c>
      <c r="O1443">
        <v>13</v>
      </c>
      <c r="P1443">
        <v>42</v>
      </c>
      <c r="Q1443">
        <v>3</v>
      </c>
      <c r="R1443">
        <v>3</v>
      </c>
      <c r="S1443" t="s">
        <v>25</v>
      </c>
    </row>
    <row r="1444" spans="1:19" x14ac:dyDescent="0.25">
      <c r="A1444">
        <v>11443</v>
      </c>
      <c r="B1444">
        <v>45</v>
      </c>
      <c r="C1444" t="s">
        <v>31</v>
      </c>
      <c r="D1444" t="s">
        <v>26</v>
      </c>
      <c r="E1444" t="s">
        <v>21</v>
      </c>
      <c r="F1444" t="s">
        <v>35</v>
      </c>
      <c r="G1444" t="s">
        <v>38</v>
      </c>
      <c r="H1444">
        <v>105375</v>
      </c>
      <c r="I1444">
        <v>14911</v>
      </c>
      <c r="J1444">
        <v>0</v>
      </c>
      <c r="K1444">
        <v>8</v>
      </c>
      <c r="L1444">
        <v>4</v>
      </c>
      <c r="M1444" t="s">
        <v>25</v>
      </c>
      <c r="N1444">
        <v>4</v>
      </c>
      <c r="O1444">
        <v>30</v>
      </c>
      <c r="P1444">
        <v>22</v>
      </c>
      <c r="Q1444">
        <v>4</v>
      </c>
      <c r="R1444">
        <v>2</v>
      </c>
      <c r="S1444" t="s">
        <v>25</v>
      </c>
    </row>
    <row r="1445" spans="1:19" x14ac:dyDescent="0.25">
      <c r="A1445">
        <v>11444</v>
      </c>
      <c r="B1445">
        <v>41</v>
      </c>
      <c r="C1445" t="s">
        <v>19</v>
      </c>
      <c r="D1445" t="s">
        <v>20</v>
      </c>
      <c r="E1445" t="s">
        <v>33</v>
      </c>
      <c r="F1445" t="s">
        <v>22</v>
      </c>
      <c r="G1445" t="s">
        <v>38</v>
      </c>
      <c r="H1445">
        <v>34397</v>
      </c>
      <c r="I1445">
        <v>8014</v>
      </c>
      <c r="J1445">
        <v>9</v>
      </c>
      <c r="K1445">
        <v>11</v>
      </c>
      <c r="L1445">
        <v>3</v>
      </c>
      <c r="M1445" t="s">
        <v>25</v>
      </c>
      <c r="N1445">
        <v>1</v>
      </c>
      <c r="O1445">
        <v>29</v>
      </c>
      <c r="P1445">
        <v>26</v>
      </c>
      <c r="Q1445">
        <v>3</v>
      </c>
      <c r="R1445">
        <v>4</v>
      </c>
      <c r="S1445" t="s">
        <v>25</v>
      </c>
    </row>
    <row r="1446" spans="1:19" x14ac:dyDescent="0.25">
      <c r="A1446">
        <v>11445</v>
      </c>
      <c r="B1446">
        <v>42</v>
      </c>
      <c r="C1446" t="s">
        <v>19</v>
      </c>
      <c r="D1446" t="s">
        <v>20</v>
      </c>
      <c r="E1446" t="s">
        <v>40</v>
      </c>
      <c r="F1446" t="s">
        <v>22</v>
      </c>
      <c r="G1446" t="s">
        <v>30</v>
      </c>
      <c r="H1446">
        <v>18292</v>
      </c>
      <c r="I1446">
        <v>23990</v>
      </c>
      <c r="J1446">
        <v>10</v>
      </c>
      <c r="K1446">
        <v>10</v>
      </c>
      <c r="L1446">
        <v>4</v>
      </c>
      <c r="M1446" t="s">
        <v>24</v>
      </c>
      <c r="N1446">
        <v>3</v>
      </c>
      <c r="O1446">
        <v>29</v>
      </c>
      <c r="P1446">
        <v>44</v>
      </c>
      <c r="Q1446">
        <v>1</v>
      </c>
      <c r="R1446">
        <v>2</v>
      </c>
      <c r="S1446" t="s">
        <v>25</v>
      </c>
    </row>
    <row r="1447" spans="1:19" x14ac:dyDescent="0.25">
      <c r="A1447">
        <v>11446</v>
      </c>
      <c r="B1447">
        <v>45</v>
      </c>
      <c r="C1447" t="s">
        <v>31</v>
      </c>
      <c r="D1447" t="s">
        <v>20</v>
      </c>
      <c r="E1447" t="s">
        <v>36</v>
      </c>
      <c r="F1447" t="s">
        <v>39</v>
      </c>
      <c r="G1447" t="s">
        <v>38</v>
      </c>
      <c r="H1447">
        <v>54601</v>
      </c>
      <c r="I1447">
        <v>260</v>
      </c>
      <c r="J1447">
        <v>24</v>
      </c>
      <c r="K1447">
        <v>8</v>
      </c>
      <c r="L1447">
        <v>3</v>
      </c>
      <c r="M1447" t="s">
        <v>25</v>
      </c>
      <c r="N1447">
        <v>4</v>
      </c>
      <c r="O1447">
        <v>20</v>
      </c>
      <c r="P1447">
        <v>9</v>
      </c>
      <c r="Q1447">
        <v>2</v>
      </c>
      <c r="R1447">
        <v>4</v>
      </c>
      <c r="S1447" t="s">
        <v>24</v>
      </c>
    </row>
    <row r="1448" spans="1:19" x14ac:dyDescent="0.25">
      <c r="A1448">
        <v>11447</v>
      </c>
      <c r="B1448">
        <v>51</v>
      </c>
      <c r="C1448" t="s">
        <v>19</v>
      </c>
      <c r="D1448" t="s">
        <v>20</v>
      </c>
      <c r="E1448" t="s">
        <v>36</v>
      </c>
      <c r="F1448" t="s">
        <v>39</v>
      </c>
      <c r="G1448" t="s">
        <v>38</v>
      </c>
      <c r="H1448">
        <v>52758</v>
      </c>
      <c r="I1448">
        <v>25548</v>
      </c>
      <c r="J1448">
        <v>17</v>
      </c>
      <c r="K1448">
        <v>0</v>
      </c>
      <c r="L1448">
        <v>4</v>
      </c>
      <c r="M1448" t="s">
        <v>25</v>
      </c>
      <c r="N1448">
        <v>3</v>
      </c>
      <c r="O1448">
        <v>22</v>
      </c>
      <c r="P1448">
        <v>36</v>
      </c>
      <c r="Q1448">
        <v>1</v>
      </c>
      <c r="R1448">
        <v>2</v>
      </c>
      <c r="S1448" t="s">
        <v>25</v>
      </c>
    </row>
    <row r="1449" spans="1:19" x14ac:dyDescent="0.25">
      <c r="A1449">
        <v>11448</v>
      </c>
      <c r="B1449">
        <v>25</v>
      </c>
      <c r="C1449" t="s">
        <v>31</v>
      </c>
      <c r="D1449" t="s">
        <v>41</v>
      </c>
      <c r="E1449" t="s">
        <v>21</v>
      </c>
      <c r="F1449" t="s">
        <v>35</v>
      </c>
      <c r="G1449" t="s">
        <v>38</v>
      </c>
      <c r="H1449">
        <v>129962</v>
      </c>
      <c r="I1449">
        <v>23068</v>
      </c>
      <c r="J1449">
        <v>3</v>
      </c>
      <c r="K1449">
        <v>9</v>
      </c>
      <c r="L1449">
        <v>4</v>
      </c>
      <c r="M1449" t="s">
        <v>25</v>
      </c>
      <c r="N1449">
        <v>1</v>
      </c>
      <c r="O1449">
        <v>10</v>
      </c>
      <c r="P1449">
        <v>8</v>
      </c>
      <c r="Q1449">
        <v>1</v>
      </c>
      <c r="R1449">
        <v>2</v>
      </c>
      <c r="S1449" t="s">
        <v>24</v>
      </c>
    </row>
    <row r="1450" spans="1:19" x14ac:dyDescent="0.25">
      <c r="A1450">
        <v>11449</v>
      </c>
      <c r="B1450">
        <v>38</v>
      </c>
      <c r="C1450" t="s">
        <v>19</v>
      </c>
      <c r="D1450" t="s">
        <v>20</v>
      </c>
      <c r="E1450" t="s">
        <v>33</v>
      </c>
      <c r="F1450" t="s">
        <v>39</v>
      </c>
      <c r="G1450" t="s">
        <v>30</v>
      </c>
      <c r="H1450">
        <v>27492</v>
      </c>
      <c r="I1450">
        <v>31403</v>
      </c>
      <c r="J1450">
        <v>11</v>
      </c>
      <c r="K1450">
        <v>5</v>
      </c>
      <c r="L1450">
        <v>4</v>
      </c>
      <c r="M1450" t="s">
        <v>25</v>
      </c>
      <c r="N1450">
        <v>3</v>
      </c>
      <c r="O1450">
        <v>8</v>
      </c>
      <c r="P1450">
        <v>32</v>
      </c>
      <c r="Q1450">
        <v>4</v>
      </c>
      <c r="R1450">
        <v>1</v>
      </c>
      <c r="S1450" t="s">
        <v>25</v>
      </c>
    </row>
    <row r="1451" spans="1:19" x14ac:dyDescent="0.25">
      <c r="A1451">
        <v>11450</v>
      </c>
      <c r="B1451">
        <v>59</v>
      </c>
      <c r="C1451" t="s">
        <v>31</v>
      </c>
      <c r="D1451" t="s">
        <v>20</v>
      </c>
      <c r="E1451" t="s">
        <v>36</v>
      </c>
      <c r="F1451" t="s">
        <v>22</v>
      </c>
      <c r="G1451" t="s">
        <v>30</v>
      </c>
      <c r="H1451">
        <v>61008</v>
      </c>
      <c r="I1451">
        <v>11215</v>
      </c>
      <c r="J1451">
        <v>11</v>
      </c>
      <c r="K1451">
        <v>14</v>
      </c>
      <c r="L1451">
        <v>3</v>
      </c>
      <c r="M1451" t="s">
        <v>24</v>
      </c>
      <c r="N1451">
        <v>1</v>
      </c>
      <c r="O1451">
        <v>37</v>
      </c>
      <c r="P1451">
        <v>17</v>
      </c>
      <c r="Q1451">
        <v>4</v>
      </c>
      <c r="R1451">
        <v>4</v>
      </c>
      <c r="S1451" t="s">
        <v>25</v>
      </c>
    </row>
    <row r="1452" spans="1:19" x14ac:dyDescent="0.25">
      <c r="A1452">
        <v>11451</v>
      </c>
      <c r="B1452">
        <v>24</v>
      </c>
      <c r="C1452" t="s">
        <v>19</v>
      </c>
      <c r="D1452" t="s">
        <v>28</v>
      </c>
      <c r="E1452" t="s">
        <v>40</v>
      </c>
      <c r="F1452" t="s">
        <v>35</v>
      </c>
      <c r="G1452" t="s">
        <v>38</v>
      </c>
      <c r="H1452">
        <v>11201</v>
      </c>
      <c r="I1452">
        <v>12664</v>
      </c>
      <c r="J1452">
        <v>24</v>
      </c>
      <c r="K1452">
        <v>0</v>
      </c>
      <c r="L1452">
        <v>5</v>
      </c>
      <c r="M1452" t="s">
        <v>25</v>
      </c>
      <c r="N1452">
        <v>4</v>
      </c>
      <c r="O1452">
        <v>9</v>
      </c>
      <c r="P1452">
        <v>31</v>
      </c>
      <c r="Q1452">
        <v>2</v>
      </c>
      <c r="R1452">
        <v>1</v>
      </c>
      <c r="S1452" t="s">
        <v>25</v>
      </c>
    </row>
    <row r="1453" spans="1:19" x14ac:dyDescent="0.25">
      <c r="A1453">
        <v>11452</v>
      </c>
      <c r="B1453">
        <v>23</v>
      </c>
      <c r="C1453" t="s">
        <v>19</v>
      </c>
      <c r="D1453" t="s">
        <v>41</v>
      </c>
      <c r="E1453" t="s">
        <v>33</v>
      </c>
      <c r="F1453" t="s">
        <v>39</v>
      </c>
      <c r="G1453" t="s">
        <v>38</v>
      </c>
      <c r="H1453">
        <v>35580</v>
      </c>
      <c r="I1453">
        <v>42162</v>
      </c>
      <c r="J1453">
        <v>15</v>
      </c>
      <c r="K1453">
        <v>0</v>
      </c>
      <c r="L1453">
        <v>3</v>
      </c>
      <c r="M1453" t="s">
        <v>25</v>
      </c>
      <c r="N1453">
        <v>3</v>
      </c>
      <c r="O1453">
        <v>15</v>
      </c>
      <c r="P1453">
        <v>15</v>
      </c>
      <c r="Q1453">
        <v>3</v>
      </c>
      <c r="R1453">
        <v>4</v>
      </c>
      <c r="S1453" t="s">
        <v>24</v>
      </c>
    </row>
    <row r="1454" spans="1:19" x14ac:dyDescent="0.25">
      <c r="A1454">
        <v>11453</v>
      </c>
      <c r="B1454">
        <v>37</v>
      </c>
      <c r="C1454" t="s">
        <v>19</v>
      </c>
      <c r="D1454" t="s">
        <v>20</v>
      </c>
      <c r="E1454" t="s">
        <v>36</v>
      </c>
      <c r="F1454" t="s">
        <v>35</v>
      </c>
      <c r="G1454" t="s">
        <v>38</v>
      </c>
      <c r="H1454">
        <v>67369</v>
      </c>
      <c r="I1454">
        <v>44308</v>
      </c>
      <c r="J1454">
        <v>12</v>
      </c>
      <c r="K1454">
        <v>6</v>
      </c>
      <c r="L1454">
        <v>2</v>
      </c>
      <c r="M1454" t="s">
        <v>25</v>
      </c>
      <c r="N1454">
        <v>3</v>
      </c>
      <c r="O1454">
        <v>6</v>
      </c>
      <c r="P1454">
        <v>57</v>
      </c>
      <c r="Q1454">
        <v>2</v>
      </c>
      <c r="R1454">
        <v>2</v>
      </c>
      <c r="S1454" t="s">
        <v>25</v>
      </c>
    </row>
    <row r="1455" spans="1:19" x14ac:dyDescent="0.25">
      <c r="A1455">
        <v>11454</v>
      </c>
      <c r="B1455">
        <v>54</v>
      </c>
      <c r="C1455" t="s">
        <v>19</v>
      </c>
      <c r="D1455" t="s">
        <v>20</v>
      </c>
      <c r="E1455" t="s">
        <v>36</v>
      </c>
      <c r="F1455" t="s">
        <v>22</v>
      </c>
      <c r="G1455" t="s">
        <v>38</v>
      </c>
      <c r="H1455">
        <v>64543</v>
      </c>
      <c r="I1455">
        <v>41164</v>
      </c>
      <c r="J1455">
        <v>7</v>
      </c>
      <c r="K1455">
        <v>11</v>
      </c>
      <c r="L1455">
        <v>3</v>
      </c>
      <c r="M1455" t="s">
        <v>24</v>
      </c>
      <c r="N1455">
        <v>3</v>
      </c>
      <c r="O1455">
        <v>23</v>
      </c>
      <c r="P1455">
        <v>13</v>
      </c>
      <c r="Q1455">
        <v>3</v>
      </c>
      <c r="R1455">
        <v>3</v>
      </c>
      <c r="S1455" t="s">
        <v>25</v>
      </c>
    </row>
    <row r="1456" spans="1:19" x14ac:dyDescent="0.25">
      <c r="A1456">
        <v>11455</v>
      </c>
      <c r="B1456">
        <v>32</v>
      </c>
      <c r="C1456" t="s">
        <v>31</v>
      </c>
      <c r="D1456" t="s">
        <v>41</v>
      </c>
      <c r="E1456" t="s">
        <v>27</v>
      </c>
      <c r="F1456" t="s">
        <v>37</v>
      </c>
      <c r="G1456" t="s">
        <v>30</v>
      </c>
      <c r="H1456">
        <v>79906</v>
      </c>
      <c r="I1456">
        <v>25130</v>
      </c>
      <c r="J1456">
        <v>17</v>
      </c>
      <c r="K1456">
        <v>1</v>
      </c>
      <c r="L1456">
        <v>4</v>
      </c>
      <c r="M1456" t="s">
        <v>25</v>
      </c>
      <c r="N1456">
        <v>2</v>
      </c>
      <c r="O1456">
        <v>10</v>
      </c>
      <c r="P1456">
        <v>12</v>
      </c>
      <c r="Q1456">
        <v>2</v>
      </c>
      <c r="R1456">
        <v>2</v>
      </c>
      <c r="S1456" t="s">
        <v>25</v>
      </c>
    </row>
    <row r="1457" spans="1:19" x14ac:dyDescent="0.25">
      <c r="A1457">
        <v>11456</v>
      </c>
      <c r="B1457">
        <v>56</v>
      </c>
      <c r="C1457" t="s">
        <v>31</v>
      </c>
      <c r="D1457" t="s">
        <v>34</v>
      </c>
      <c r="E1457" t="s">
        <v>27</v>
      </c>
      <c r="F1457" t="s">
        <v>22</v>
      </c>
      <c r="G1457" t="s">
        <v>30</v>
      </c>
      <c r="H1457">
        <v>89493</v>
      </c>
      <c r="I1457">
        <v>48544</v>
      </c>
      <c r="J1457">
        <v>0</v>
      </c>
      <c r="K1457">
        <v>6</v>
      </c>
      <c r="L1457">
        <v>3</v>
      </c>
      <c r="M1457" t="s">
        <v>25</v>
      </c>
      <c r="N1457">
        <v>3</v>
      </c>
      <c r="O1457">
        <v>20</v>
      </c>
      <c r="P1457">
        <v>51</v>
      </c>
      <c r="Q1457">
        <v>3</v>
      </c>
      <c r="R1457">
        <v>3</v>
      </c>
      <c r="S1457" t="s">
        <v>25</v>
      </c>
    </row>
    <row r="1458" spans="1:19" x14ac:dyDescent="0.25">
      <c r="A1458">
        <v>11457</v>
      </c>
      <c r="B1458">
        <v>28</v>
      </c>
      <c r="C1458" t="s">
        <v>19</v>
      </c>
      <c r="D1458" t="s">
        <v>20</v>
      </c>
      <c r="E1458" t="s">
        <v>33</v>
      </c>
      <c r="F1458" t="s">
        <v>37</v>
      </c>
      <c r="G1458" t="s">
        <v>23</v>
      </c>
      <c r="H1458">
        <v>37148</v>
      </c>
      <c r="I1458">
        <v>46885</v>
      </c>
      <c r="J1458">
        <v>3</v>
      </c>
      <c r="K1458">
        <v>5</v>
      </c>
      <c r="L1458">
        <v>3</v>
      </c>
      <c r="M1458" t="s">
        <v>24</v>
      </c>
      <c r="N1458">
        <v>3</v>
      </c>
      <c r="O1458">
        <v>4</v>
      </c>
      <c r="P1458">
        <v>29</v>
      </c>
      <c r="Q1458">
        <v>3</v>
      </c>
      <c r="R1458">
        <v>2</v>
      </c>
      <c r="S1458" t="s">
        <v>25</v>
      </c>
    </row>
    <row r="1459" spans="1:19" x14ac:dyDescent="0.25">
      <c r="A1459">
        <v>11458</v>
      </c>
      <c r="B1459">
        <v>41</v>
      </c>
      <c r="C1459" t="s">
        <v>31</v>
      </c>
      <c r="D1459" t="s">
        <v>28</v>
      </c>
      <c r="E1459" t="s">
        <v>36</v>
      </c>
      <c r="F1459" t="s">
        <v>35</v>
      </c>
      <c r="G1459" t="s">
        <v>38</v>
      </c>
      <c r="H1459">
        <v>60865</v>
      </c>
      <c r="I1459">
        <v>46662</v>
      </c>
      <c r="J1459">
        <v>17</v>
      </c>
      <c r="K1459">
        <v>10</v>
      </c>
      <c r="L1459">
        <v>4</v>
      </c>
      <c r="M1459" t="s">
        <v>24</v>
      </c>
      <c r="N1459">
        <v>4</v>
      </c>
      <c r="O1459">
        <v>24</v>
      </c>
      <c r="P1459">
        <v>24</v>
      </c>
      <c r="Q1459">
        <v>3</v>
      </c>
      <c r="R1459">
        <v>2</v>
      </c>
      <c r="S1459" t="s">
        <v>25</v>
      </c>
    </row>
    <row r="1460" spans="1:19" x14ac:dyDescent="0.25">
      <c r="A1460">
        <v>11459</v>
      </c>
      <c r="B1460">
        <v>30</v>
      </c>
      <c r="C1460" t="s">
        <v>19</v>
      </c>
      <c r="D1460" t="s">
        <v>26</v>
      </c>
      <c r="E1460" t="s">
        <v>21</v>
      </c>
      <c r="F1460" t="s">
        <v>35</v>
      </c>
      <c r="G1460" t="s">
        <v>38</v>
      </c>
      <c r="H1460">
        <v>119473</v>
      </c>
      <c r="I1460">
        <v>4266</v>
      </c>
      <c r="J1460">
        <v>17</v>
      </c>
      <c r="K1460">
        <v>9</v>
      </c>
      <c r="L1460">
        <v>3</v>
      </c>
      <c r="M1460" t="s">
        <v>25</v>
      </c>
      <c r="N1460">
        <v>3</v>
      </c>
      <c r="O1460">
        <v>1</v>
      </c>
      <c r="P1460">
        <v>11</v>
      </c>
      <c r="Q1460">
        <v>4</v>
      </c>
      <c r="R1460">
        <v>2</v>
      </c>
      <c r="S1460" t="s">
        <v>25</v>
      </c>
    </row>
    <row r="1461" spans="1:19" x14ac:dyDescent="0.25">
      <c r="A1461">
        <v>11460</v>
      </c>
      <c r="B1461">
        <v>37</v>
      </c>
      <c r="C1461" t="s">
        <v>19</v>
      </c>
      <c r="D1461" t="s">
        <v>32</v>
      </c>
      <c r="E1461" t="s">
        <v>33</v>
      </c>
      <c r="F1461" t="s">
        <v>39</v>
      </c>
      <c r="G1461" t="s">
        <v>38</v>
      </c>
      <c r="H1461">
        <v>38208</v>
      </c>
      <c r="I1461">
        <v>11727</v>
      </c>
      <c r="J1461">
        <v>13</v>
      </c>
      <c r="K1461">
        <v>7</v>
      </c>
      <c r="L1461">
        <v>2</v>
      </c>
      <c r="M1461" t="s">
        <v>25</v>
      </c>
      <c r="N1461">
        <v>2</v>
      </c>
      <c r="O1461">
        <v>30</v>
      </c>
      <c r="P1461">
        <v>48</v>
      </c>
      <c r="Q1461">
        <v>1</v>
      </c>
      <c r="R1461">
        <v>3</v>
      </c>
      <c r="S1461" t="s">
        <v>24</v>
      </c>
    </row>
    <row r="1462" spans="1:19" x14ac:dyDescent="0.25">
      <c r="A1462">
        <v>11461</v>
      </c>
      <c r="B1462">
        <v>23</v>
      </c>
      <c r="C1462" t="s">
        <v>31</v>
      </c>
      <c r="D1462" t="s">
        <v>32</v>
      </c>
      <c r="E1462" t="s">
        <v>33</v>
      </c>
      <c r="F1462" t="s">
        <v>35</v>
      </c>
      <c r="G1462" t="s">
        <v>38</v>
      </c>
      <c r="H1462">
        <v>35885</v>
      </c>
      <c r="I1462">
        <v>38343</v>
      </c>
      <c r="J1462">
        <v>22</v>
      </c>
      <c r="K1462">
        <v>3</v>
      </c>
      <c r="L1462">
        <v>4</v>
      </c>
      <c r="M1462" t="s">
        <v>25</v>
      </c>
      <c r="N1462">
        <v>2</v>
      </c>
      <c r="O1462">
        <v>15</v>
      </c>
      <c r="P1462">
        <v>39</v>
      </c>
      <c r="Q1462">
        <v>2</v>
      </c>
      <c r="R1462">
        <v>3</v>
      </c>
      <c r="S1462" t="s">
        <v>25</v>
      </c>
    </row>
    <row r="1463" spans="1:19" x14ac:dyDescent="0.25">
      <c r="A1463">
        <v>11462</v>
      </c>
      <c r="B1463">
        <v>24</v>
      </c>
      <c r="C1463" t="s">
        <v>19</v>
      </c>
      <c r="D1463" t="s">
        <v>20</v>
      </c>
      <c r="E1463" t="s">
        <v>36</v>
      </c>
      <c r="F1463" t="s">
        <v>35</v>
      </c>
      <c r="G1463" t="s">
        <v>30</v>
      </c>
      <c r="H1463">
        <v>49257</v>
      </c>
      <c r="I1463">
        <v>29619</v>
      </c>
      <c r="J1463">
        <v>12</v>
      </c>
      <c r="K1463">
        <v>4</v>
      </c>
      <c r="L1463">
        <v>4</v>
      </c>
      <c r="M1463" t="s">
        <v>25</v>
      </c>
      <c r="N1463">
        <v>4</v>
      </c>
      <c r="O1463">
        <v>32</v>
      </c>
      <c r="P1463">
        <v>16</v>
      </c>
      <c r="Q1463">
        <v>4</v>
      </c>
      <c r="R1463">
        <v>3</v>
      </c>
      <c r="S1463" t="s">
        <v>25</v>
      </c>
    </row>
    <row r="1464" spans="1:19" x14ac:dyDescent="0.25">
      <c r="A1464">
        <v>11463</v>
      </c>
      <c r="B1464">
        <v>54</v>
      </c>
      <c r="C1464" t="s">
        <v>19</v>
      </c>
      <c r="D1464" t="s">
        <v>41</v>
      </c>
      <c r="E1464" t="s">
        <v>33</v>
      </c>
      <c r="F1464" t="s">
        <v>37</v>
      </c>
      <c r="G1464" t="s">
        <v>30</v>
      </c>
      <c r="H1464">
        <v>26665</v>
      </c>
      <c r="I1464">
        <v>16520</v>
      </c>
      <c r="J1464">
        <v>19</v>
      </c>
      <c r="K1464">
        <v>14</v>
      </c>
      <c r="L1464">
        <v>3</v>
      </c>
      <c r="M1464" t="s">
        <v>25</v>
      </c>
      <c r="N1464">
        <v>4</v>
      </c>
      <c r="O1464">
        <v>31</v>
      </c>
      <c r="P1464">
        <v>20</v>
      </c>
      <c r="Q1464">
        <v>4</v>
      </c>
      <c r="R1464">
        <v>1</v>
      </c>
      <c r="S1464" t="s">
        <v>25</v>
      </c>
    </row>
    <row r="1465" spans="1:19" x14ac:dyDescent="0.25">
      <c r="A1465">
        <v>11464</v>
      </c>
      <c r="B1465">
        <v>28</v>
      </c>
      <c r="C1465" t="s">
        <v>19</v>
      </c>
      <c r="D1465" t="s">
        <v>20</v>
      </c>
      <c r="E1465" t="s">
        <v>36</v>
      </c>
      <c r="F1465" t="s">
        <v>35</v>
      </c>
      <c r="G1465" t="s">
        <v>30</v>
      </c>
      <c r="H1465">
        <v>46795</v>
      </c>
      <c r="I1465">
        <v>31716</v>
      </c>
      <c r="J1465">
        <v>3</v>
      </c>
      <c r="K1465">
        <v>9</v>
      </c>
      <c r="L1465">
        <v>3</v>
      </c>
      <c r="M1465" t="s">
        <v>24</v>
      </c>
      <c r="N1465">
        <v>2</v>
      </c>
      <c r="O1465">
        <v>29</v>
      </c>
      <c r="P1465">
        <v>57</v>
      </c>
      <c r="Q1465">
        <v>3</v>
      </c>
      <c r="R1465">
        <v>3</v>
      </c>
      <c r="S1465" t="s">
        <v>25</v>
      </c>
    </row>
    <row r="1466" spans="1:19" x14ac:dyDescent="0.25">
      <c r="A1466">
        <v>11465</v>
      </c>
      <c r="B1466">
        <v>44</v>
      </c>
      <c r="C1466" t="s">
        <v>19</v>
      </c>
      <c r="D1466" t="s">
        <v>41</v>
      </c>
      <c r="E1466" t="s">
        <v>21</v>
      </c>
      <c r="F1466" t="s">
        <v>22</v>
      </c>
      <c r="G1466" t="s">
        <v>38</v>
      </c>
      <c r="H1466">
        <v>96462</v>
      </c>
      <c r="I1466">
        <v>7620</v>
      </c>
      <c r="J1466">
        <v>20</v>
      </c>
      <c r="K1466">
        <v>14</v>
      </c>
      <c r="L1466">
        <v>3</v>
      </c>
      <c r="M1466" t="s">
        <v>25</v>
      </c>
      <c r="N1466">
        <v>4</v>
      </c>
      <c r="O1466">
        <v>18</v>
      </c>
      <c r="P1466">
        <v>12</v>
      </c>
      <c r="Q1466">
        <v>2</v>
      </c>
      <c r="R1466">
        <v>3</v>
      </c>
      <c r="S1466" t="s">
        <v>25</v>
      </c>
    </row>
    <row r="1467" spans="1:19" x14ac:dyDescent="0.25">
      <c r="A1467">
        <v>11466</v>
      </c>
      <c r="B1467">
        <v>35</v>
      </c>
      <c r="C1467" t="s">
        <v>19</v>
      </c>
      <c r="D1467" t="s">
        <v>41</v>
      </c>
      <c r="E1467" t="s">
        <v>36</v>
      </c>
      <c r="F1467" t="s">
        <v>22</v>
      </c>
      <c r="G1467" t="s">
        <v>30</v>
      </c>
      <c r="H1467">
        <v>61798</v>
      </c>
      <c r="I1467">
        <v>8634</v>
      </c>
      <c r="J1467">
        <v>8</v>
      </c>
      <c r="K1467">
        <v>7</v>
      </c>
      <c r="L1467">
        <v>4</v>
      </c>
      <c r="M1467" t="s">
        <v>24</v>
      </c>
      <c r="N1467">
        <v>3</v>
      </c>
      <c r="O1467">
        <v>15</v>
      </c>
      <c r="P1467">
        <v>49</v>
      </c>
      <c r="Q1467">
        <v>4</v>
      </c>
      <c r="R1467">
        <v>1</v>
      </c>
      <c r="S1467" t="s">
        <v>25</v>
      </c>
    </row>
    <row r="1468" spans="1:19" x14ac:dyDescent="0.25">
      <c r="A1468">
        <v>11467</v>
      </c>
      <c r="B1468">
        <v>28</v>
      </c>
      <c r="C1468" t="s">
        <v>19</v>
      </c>
      <c r="D1468" t="s">
        <v>26</v>
      </c>
      <c r="E1468" t="s">
        <v>21</v>
      </c>
      <c r="F1468" t="s">
        <v>35</v>
      </c>
      <c r="G1468" t="s">
        <v>30</v>
      </c>
      <c r="H1468">
        <v>90645</v>
      </c>
      <c r="I1468">
        <v>13908</v>
      </c>
      <c r="J1468">
        <v>13</v>
      </c>
      <c r="K1468">
        <v>7</v>
      </c>
      <c r="L1468">
        <v>4</v>
      </c>
      <c r="M1468" t="s">
        <v>24</v>
      </c>
      <c r="N1468">
        <v>3</v>
      </c>
      <c r="O1468">
        <v>11</v>
      </c>
      <c r="P1468">
        <v>32</v>
      </c>
      <c r="Q1468">
        <v>3</v>
      </c>
      <c r="R1468">
        <v>4</v>
      </c>
      <c r="S1468" t="s">
        <v>25</v>
      </c>
    </row>
    <row r="1469" spans="1:19" x14ac:dyDescent="0.25">
      <c r="A1469">
        <v>11468</v>
      </c>
      <c r="B1469">
        <v>31</v>
      </c>
      <c r="C1469" t="s">
        <v>19</v>
      </c>
      <c r="D1469" t="s">
        <v>28</v>
      </c>
      <c r="E1469" t="s">
        <v>40</v>
      </c>
      <c r="F1469" t="s">
        <v>39</v>
      </c>
      <c r="G1469" t="s">
        <v>30</v>
      </c>
      <c r="H1469">
        <v>13801</v>
      </c>
      <c r="I1469">
        <v>43855</v>
      </c>
      <c r="J1469">
        <v>24</v>
      </c>
      <c r="K1469">
        <v>14</v>
      </c>
      <c r="L1469">
        <v>3</v>
      </c>
      <c r="M1469" t="s">
        <v>25</v>
      </c>
      <c r="N1469">
        <v>1</v>
      </c>
      <c r="O1469">
        <v>24</v>
      </c>
      <c r="P1469">
        <v>22</v>
      </c>
      <c r="Q1469">
        <v>4</v>
      </c>
      <c r="R1469">
        <v>3</v>
      </c>
      <c r="S1469" t="s">
        <v>25</v>
      </c>
    </row>
    <row r="1470" spans="1:19" x14ac:dyDescent="0.25">
      <c r="A1470">
        <v>11469</v>
      </c>
      <c r="B1470">
        <v>49</v>
      </c>
      <c r="C1470" t="s">
        <v>19</v>
      </c>
      <c r="D1470" t="s">
        <v>20</v>
      </c>
      <c r="E1470" t="s">
        <v>27</v>
      </c>
      <c r="F1470" t="s">
        <v>39</v>
      </c>
      <c r="G1470" t="s">
        <v>30</v>
      </c>
      <c r="H1470">
        <v>87886</v>
      </c>
      <c r="I1470">
        <v>25391</v>
      </c>
      <c r="J1470">
        <v>22</v>
      </c>
      <c r="K1470">
        <v>11</v>
      </c>
      <c r="L1470">
        <v>4</v>
      </c>
      <c r="M1470" t="s">
        <v>25</v>
      </c>
      <c r="N1470">
        <v>1</v>
      </c>
      <c r="O1470">
        <v>23</v>
      </c>
      <c r="P1470">
        <v>35</v>
      </c>
      <c r="Q1470">
        <v>2</v>
      </c>
      <c r="R1470">
        <v>4</v>
      </c>
      <c r="S1470" t="s">
        <v>25</v>
      </c>
    </row>
    <row r="1471" spans="1:19" x14ac:dyDescent="0.25">
      <c r="A1471">
        <v>11470</v>
      </c>
      <c r="B1471">
        <v>47</v>
      </c>
      <c r="C1471" t="s">
        <v>19</v>
      </c>
      <c r="D1471" t="s">
        <v>20</v>
      </c>
      <c r="E1471" t="s">
        <v>36</v>
      </c>
      <c r="F1471" t="s">
        <v>39</v>
      </c>
      <c r="G1471" t="s">
        <v>38</v>
      </c>
      <c r="H1471">
        <v>59466</v>
      </c>
      <c r="I1471">
        <v>37752</v>
      </c>
      <c r="J1471">
        <v>1</v>
      </c>
      <c r="K1471">
        <v>14</v>
      </c>
      <c r="L1471">
        <v>3</v>
      </c>
      <c r="M1471" t="s">
        <v>25</v>
      </c>
      <c r="N1471">
        <v>1</v>
      </c>
      <c r="O1471">
        <v>37</v>
      </c>
      <c r="P1471">
        <v>8</v>
      </c>
      <c r="Q1471">
        <v>3</v>
      </c>
      <c r="R1471">
        <v>2</v>
      </c>
      <c r="S1471" t="s">
        <v>25</v>
      </c>
    </row>
    <row r="1472" spans="1:19" x14ac:dyDescent="0.25">
      <c r="A1472">
        <v>11471</v>
      </c>
      <c r="B1472">
        <v>47</v>
      </c>
      <c r="C1472" t="s">
        <v>19</v>
      </c>
      <c r="D1472" t="s">
        <v>20</v>
      </c>
      <c r="E1472" t="s">
        <v>27</v>
      </c>
      <c r="F1472" t="s">
        <v>35</v>
      </c>
      <c r="G1472" t="s">
        <v>38</v>
      </c>
      <c r="H1472">
        <v>87873</v>
      </c>
      <c r="I1472">
        <v>27722</v>
      </c>
      <c r="J1472">
        <v>17</v>
      </c>
      <c r="K1472">
        <v>1</v>
      </c>
      <c r="L1472">
        <v>4</v>
      </c>
      <c r="M1472" t="s">
        <v>24</v>
      </c>
      <c r="N1472">
        <v>3</v>
      </c>
      <c r="O1472">
        <v>20</v>
      </c>
      <c r="P1472">
        <v>15</v>
      </c>
      <c r="Q1472">
        <v>3</v>
      </c>
      <c r="R1472">
        <v>3</v>
      </c>
      <c r="S1472" t="s">
        <v>25</v>
      </c>
    </row>
    <row r="1473" spans="1:19" x14ac:dyDescent="0.25">
      <c r="A1473">
        <v>11472</v>
      </c>
      <c r="B1473">
        <v>41</v>
      </c>
      <c r="C1473" t="s">
        <v>19</v>
      </c>
      <c r="D1473" t="s">
        <v>41</v>
      </c>
      <c r="E1473" t="s">
        <v>36</v>
      </c>
      <c r="F1473" t="s">
        <v>39</v>
      </c>
      <c r="G1473" t="s">
        <v>38</v>
      </c>
      <c r="H1473">
        <v>69761</v>
      </c>
      <c r="I1473">
        <v>41343</v>
      </c>
      <c r="J1473">
        <v>9</v>
      </c>
      <c r="K1473">
        <v>12</v>
      </c>
      <c r="L1473">
        <v>5</v>
      </c>
      <c r="M1473" t="s">
        <v>24</v>
      </c>
      <c r="N1473">
        <v>4</v>
      </c>
      <c r="O1473">
        <v>38</v>
      </c>
      <c r="P1473">
        <v>57</v>
      </c>
      <c r="Q1473">
        <v>4</v>
      </c>
      <c r="R1473">
        <v>2</v>
      </c>
      <c r="S1473" t="s">
        <v>25</v>
      </c>
    </row>
    <row r="1474" spans="1:19" x14ac:dyDescent="0.25">
      <c r="A1474">
        <v>11473</v>
      </c>
      <c r="B1474">
        <v>54</v>
      </c>
      <c r="C1474" t="s">
        <v>19</v>
      </c>
      <c r="D1474" t="s">
        <v>34</v>
      </c>
      <c r="E1474" t="s">
        <v>27</v>
      </c>
      <c r="F1474" t="s">
        <v>22</v>
      </c>
      <c r="G1474" t="s">
        <v>30</v>
      </c>
      <c r="H1474">
        <v>74830</v>
      </c>
      <c r="I1474">
        <v>41398</v>
      </c>
      <c r="J1474">
        <v>17</v>
      </c>
      <c r="K1474">
        <v>7</v>
      </c>
      <c r="L1474">
        <v>4</v>
      </c>
      <c r="M1474" t="s">
        <v>25</v>
      </c>
      <c r="N1474">
        <v>4</v>
      </c>
      <c r="O1474">
        <v>7</v>
      </c>
      <c r="P1474">
        <v>57</v>
      </c>
      <c r="Q1474">
        <v>2</v>
      </c>
      <c r="R1474">
        <v>3</v>
      </c>
      <c r="S1474" t="s">
        <v>25</v>
      </c>
    </row>
    <row r="1475" spans="1:19" x14ac:dyDescent="0.25">
      <c r="A1475">
        <v>11474</v>
      </c>
      <c r="B1475">
        <v>51</v>
      </c>
      <c r="C1475" t="s">
        <v>19</v>
      </c>
      <c r="D1475" t="s">
        <v>32</v>
      </c>
      <c r="E1475" t="s">
        <v>36</v>
      </c>
      <c r="F1475" t="s">
        <v>35</v>
      </c>
      <c r="G1475" t="s">
        <v>30</v>
      </c>
      <c r="H1475">
        <v>67469</v>
      </c>
      <c r="I1475">
        <v>4728</v>
      </c>
      <c r="J1475">
        <v>10</v>
      </c>
      <c r="K1475">
        <v>1</v>
      </c>
      <c r="L1475">
        <v>3</v>
      </c>
      <c r="M1475" t="s">
        <v>24</v>
      </c>
      <c r="N1475">
        <v>4</v>
      </c>
      <c r="O1475">
        <v>34</v>
      </c>
      <c r="P1475">
        <v>41</v>
      </c>
      <c r="Q1475">
        <v>4</v>
      </c>
      <c r="R1475">
        <v>2</v>
      </c>
      <c r="S1475" t="s">
        <v>25</v>
      </c>
    </row>
    <row r="1476" spans="1:19" x14ac:dyDescent="0.25">
      <c r="A1476">
        <v>11475</v>
      </c>
      <c r="B1476">
        <v>22</v>
      </c>
      <c r="C1476" t="s">
        <v>19</v>
      </c>
      <c r="D1476" t="s">
        <v>26</v>
      </c>
      <c r="E1476" t="s">
        <v>36</v>
      </c>
      <c r="F1476" t="s">
        <v>22</v>
      </c>
      <c r="G1476" t="s">
        <v>38</v>
      </c>
      <c r="H1476">
        <v>66249</v>
      </c>
      <c r="I1476">
        <v>40245</v>
      </c>
      <c r="J1476">
        <v>18</v>
      </c>
      <c r="K1476">
        <v>2</v>
      </c>
      <c r="L1476">
        <v>4</v>
      </c>
      <c r="M1476" t="s">
        <v>25</v>
      </c>
      <c r="N1476">
        <v>4</v>
      </c>
      <c r="O1476">
        <v>11</v>
      </c>
      <c r="P1476">
        <v>15</v>
      </c>
      <c r="Q1476">
        <v>1</v>
      </c>
      <c r="R1476">
        <v>1</v>
      </c>
      <c r="S1476" t="s">
        <v>25</v>
      </c>
    </row>
    <row r="1477" spans="1:19" x14ac:dyDescent="0.25">
      <c r="A1477">
        <v>11476</v>
      </c>
      <c r="B1477">
        <v>55</v>
      </c>
      <c r="C1477" t="s">
        <v>19</v>
      </c>
      <c r="D1477" t="s">
        <v>41</v>
      </c>
      <c r="E1477" t="s">
        <v>33</v>
      </c>
      <c r="F1477" t="s">
        <v>22</v>
      </c>
      <c r="G1477" t="s">
        <v>23</v>
      </c>
      <c r="H1477">
        <v>28511</v>
      </c>
      <c r="I1477">
        <v>44552</v>
      </c>
      <c r="J1477">
        <v>19</v>
      </c>
      <c r="K1477">
        <v>9</v>
      </c>
      <c r="L1477">
        <v>2</v>
      </c>
      <c r="M1477" t="s">
        <v>25</v>
      </c>
      <c r="N1477">
        <v>1</v>
      </c>
      <c r="O1477">
        <v>33</v>
      </c>
      <c r="P1477">
        <v>9</v>
      </c>
      <c r="Q1477">
        <v>2</v>
      </c>
      <c r="R1477">
        <v>3</v>
      </c>
      <c r="S1477" t="s">
        <v>24</v>
      </c>
    </row>
    <row r="1478" spans="1:19" x14ac:dyDescent="0.25">
      <c r="A1478">
        <v>11477</v>
      </c>
      <c r="B1478">
        <v>34</v>
      </c>
      <c r="C1478" t="s">
        <v>19</v>
      </c>
      <c r="D1478" t="s">
        <v>20</v>
      </c>
      <c r="E1478" t="s">
        <v>33</v>
      </c>
      <c r="F1478" t="s">
        <v>35</v>
      </c>
      <c r="G1478" t="s">
        <v>23</v>
      </c>
      <c r="H1478">
        <v>25933</v>
      </c>
      <c r="I1478">
        <v>22851</v>
      </c>
      <c r="J1478">
        <v>2</v>
      </c>
      <c r="K1478">
        <v>2</v>
      </c>
      <c r="L1478">
        <v>3</v>
      </c>
      <c r="M1478" t="s">
        <v>25</v>
      </c>
      <c r="N1478">
        <v>3</v>
      </c>
      <c r="O1478">
        <v>25</v>
      </c>
      <c r="P1478">
        <v>37</v>
      </c>
      <c r="Q1478">
        <v>3</v>
      </c>
      <c r="R1478">
        <v>3</v>
      </c>
      <c r="S1478" t="s">
        <v>25</v>
      </c>
    </row>
    <row r="1479" spans="1:19" x14ac:dyDescent="0.25">
      <c r="A1479">
        <v>11478</v>
      </c>
      <c r="B1479">
        <v>37</v>
      </c>
      <c r="C1479" t="s">
        <v>31</v>
      </c>
      <c r="D1479" t="s">
        <v>26</v>
      </c>
      <c r="E1479" t="s">
        <v>21</v>
      </c>
      <c r="F1479" t="s">
        <v>22</v>
      </c>
      <c r="G1479" t="s">
        <v>38</v>
      </c>
      <c r="H1479">
        <v>113876</v>
      </c>
      <c r="I1479">
        <v>38095</v>
      </c>
      <c r="J1479">
        <v>7</v>
      </c>
      <c r="K1479">
        <v>6</v>
      </c>
      <c r="L1479">
        <v>2</v>
      </c>
      <c r="M1479" t="s">
        <v>25</v>
      </c>
      <c r="N1479">
        <v>2</v>
      </c>
      <c r="O1479">
        <v>27</v>
      </c>
      <c r="P1479">
        <v>56</v>
      </c>
      <c r="Q1479">
        <v>4</v>
      </c>
      <c r="R1479">
        <v>1</v>
      </c>
      <c r="S1479" t="s">
        <v>25</v>
      </c>
    </row>
    <row r="1480" spans="1:19" x14ac:dyDescent="0.25">
      <c r="A1480">
        <v>11479</v>
      </c>
      <c r="B1480">
        <v>43</v>
      </c>
      <c r="C1480" t="s">
        <v>19</v>
      </c>
      <c r="D1480" t="s">
        <v>32</v>
      </c>
      <c r="E1480" t="s">
        <v>36</v>
      </c>
      <c r="F1480" t="s">
        <v>39</v>
      </c>
      <c r="G1480" t="s">
        <v>30</v>
      </c>
      <c r="H1480">
        <v>48082</v>
      </c>
      <c r="I1480">
        <v>2801</v>
      </c>
      <c r="J1480">
        <v>15</v>
      </c>
      <c r="K1480">
        <v>5</v>
      </c>
      <c r="L1480">
        <v>4</v>
      </c>
      <c r="M1480" t="s">
        <v>24</v>
      </c>
      <c r="N1480">
        <v>1</v>
      </c>
      <c r="O1480">
        <v>15</v>
      </c>
      <c r="P1480">
        <v>37</v>
      </c>
      <c r="Q1480">
        <v>2</v>
      </c>
      <c r="R1480">
        <v>1</v>
      </c>
      <c r="S1480" t="s">
        <v>25</v>
      </c>
    </row>
    <row r="1481" spans="1:19" x14ac:dyDescent="0.25">
      <c r="A1481">
        <v>11480</v>
      </c>
      <c r="B1481">
        <v>22</v>
      </c>
      <c r="C1481" t="s">
        <v>19</v>
      </c>
      <c r="D1481" t="s">
        <v>41</v>
      </c>
      <c r="E1481" t="s">
        <v>27</v>
      </c>
      <c r="F1481" t="s">
        <v>22</v>
      </c>
      <c r="G1481" t="s">
        <v>30</v>
      </c>
      <c r="H1481">
        <v>74223</v>
      </c>
      <c r="I1481">
        <v>2397</v>
      </c>
      <c r="J1481">
        <v>13</v>
      </c>
      <c r="K1481">
        <v>3</v>
      </c>
      <c r="L1481">
        <v>5</v>
      </c>
      <c r="M1481" t="s">
        <v>25</v>
      </c>
      <c r="N1481">
        <v>4</v>
      </c>
      <c r="O1481">
        <v>31</v>
      </c>
      <c r="P1481">
        <v>56</v>
      </c>
      <c r="Q1481">
        <v>2</v>
      </c>
      <c r="R1481">
        <v>3</v>
      </c>
      <c r="S1481" t="s">
        <v>25</v>
      </c>
    </row>
    <row r="1482" spans="1:19" x14ac:dyDescent="0.25">
      <c r="A1482">
        <v>11481</v>
      </c>
      <c r="B1482">
        <v>43</v>
      </c>
      <c r="C1482" t="s">
        <v>19</v>
      </c>
      <c r="D1482" t="s">
        <v>34</v>
      </c>
      <c r="E1482" t="s">
        <v>36</v>
      </c>
      <c r="F1482" t="s">
        <v>22</v>
      </c>
      <c r="G1482" t="s">
        <v>38</v>
      </c>
      <c r="H1482">
        <v>65045</v>
      </c>
      <c r="I1482">
        <v>3515</v>
      </c>
      <c r="J1482">
        <v>18</v>
      </c>
      <c r="K1482">
        <v>2</v>
      </c>
      <c r="L1482">
        <v>4</v>
      </c>
      <c r="M1482" t="s">
        <v>25</v>
      </c>
      <c r="N1482">
        <v>4</v>
      </c>
      <c r="O1482">
        <v>33</v>
      </c>
      <c r="P1482">
        <v>42</v>
      </c>
      <c r="Q1482">
        <v>3</v>
      </c>
      <c r="R1482">
        <v>3</v>
      </c>
      <c r="S1482" t="s">
        <v>25</v>
      </c>
    </row>
    <row r="1483" spans="1:19" x14ac:dyDescent="0.25">
      <c r="A1483">
        <v>11482</v>
      </c>
      <c r="B1483">
        <v>23</v>
      </c>
      <c r="C1483" t="s">
        <v>19</v>
      </c>
      <c r="D1483" t="s">
        <v>20</v>
      </c>
      <c r="E1483" t="s">
        <v>27</v>
      </c>
      <c r="F1483" t="s">
        <v>22</v>
      </c>
      <c r="G1483" t="s">
        <v>30</v>
      </c>
      <c r="H1483">
        <v>82847</v>
      </c>
      <c r="I1483">
        <v>15797</v>
      </c>
      <c r="J1483">
        <v>1</v>
      </c>
      <c r="K1483">
        <v>7</v>
      </c>
      <c r="L1483">
        <v>3</v>
      </c>
      <c r="M1483" t="s">
        <v>25</v>
      </c>
      <c r="N1483">
        <v>3</v>
      </c>
      <c r="O1483">
        <v>37</v>
      </c>
      <c r="P1483">
        <v>46</v>
      </c>
      <c r="Q1483">
        <v>2</v>
      </c>
      <c r="R1483">
        <v>3</v>
      </c>
      <c r="S1483" t="s">
        <v>25</v>
      </c>
    </row>
    <row r="1484" spans="1:19" x14ac:dyDescent="0.25">
      <c r="A1484">
        <v>11483</v>
      </c>
      <c r="B1484">
        <v>28</v>
      </c>
      <c r="C1484" t="s">
        <v>19</v>
      </c>
      <c r="D1484" t="s">
        <v>20</v>
      </c>
      <c r="E1484" t="s">
        <v>27</v>
      </c>
      <c r="F1484" t="s">
        <v>39</v>
      </c>
      <c r="G1484" t="s">
        <v>30</v>
      </c>
      <c r="H1484">
        <v>68938</v>
      </c>
      <c r="I1484">
        <v>208</v>
      </c>
      <c r="J1484">
        <v>20</v>
      </c>
      <c r="K1484">
        <v>1</v>
      </c>
      <c r="L1484">
        <v>5</v>
      </c>
      <c r="M1484" t="s">
        <v>25</v>
      </c>
      <c r="N1484">
        <v>3</v>
      </c>
      <c r="O1484">
        <v>26</v>
      </c>
      <c r="P1484">
        <v>49</v>
      </c>
      <c r="Q1484">
        <v>2</v>
      </c>
      <c r="R1484">
        <v>3</v>
      </c>
      <c r="S1484" t="s">
        <v>25</v>
      </c>
    </row>
    <row r="1485" spans="1:19" x14ac:dyDescent="0.25">
      <c r="A1485">
        <v>11484</v>
      </c>
      <c r="B1485">
        <v>46</v>
      </c>
      <c r="C1485" t="s">
        <v>19</v>
      </c>
      <c r="D1485" t="s">
        <v>32</v>
      </c>
      <c r="E1485" t="s">
        <v>36</v>
      </c>
      <c r="F1485" t="s">
        <v>22</v>
      </c>
      <c r="G1485" t="s">
        <v>38</v>
      </c>
      <c r="H1485">
        <v>68051</v>
      </c>
      <c r="I1485">
        <v>20827</v>
      </c>
      <c r="J1485">
        <v>12</v>
      </c>
      <c r="K1485">
        <v>12</v>
      </c>
      <c r="L1485">
        <v>3</v>
      </c>
      <c r="M1485" t="s">
        <v>25</v>
      </c>
      <c r="N1485">
        <v>3</v>
      </c>
      <c r="O1485">
        <v>29</v>
      </c>
      <c r="P1485">
        <v>38</v>
      </c>
      <c r="Q1485">
        <v>4</v>
      </c>
      <c r="R1485">
        <v>2</v>
      </c>
      <c r="S1485" t="s">
        <v>25</v>
      </c>
    </row>
    <row r="1486" spans="1:19" x14ac:dyDescent="0.25">
      <c r="A1486">
        <v>11485</v>
      </c>
      <c r="B1486">
        <v>31</v>
      </c>
      <c r="C1486" t="s">
        <v>19</v>
      </c>
      <c r="D1486" t="s">
        <v>20</v>
      </c>
      <c r="E1486" t="s">
        <v>36</v>
      </c>
      <c r="F1486" t="s">
        <v>35</v>
      </c>
      <c r="G1486" t="s">
        <v>38</v>
      </c>
      <c r="H1486">
        <v>69526</v>
      </c>
      <c r="I1486">
        <v>24288</v>
      </c>
      <c r="J1486">
        <v>18</v>
      </c>
      <c r="K1486">
        <v>11</v>
      </c>
      <c r="L1486">
        <v>4</v>
      </c>
      <c r="M1486" t="s">
        <v>25</v>
      </c>
      <c r="N1486">
        <v>2</v>
      </c>
      <c r="O1486">
        <v>37</v>
      </c>
      <c r="P1486">
        <v>23</v>
      </c>
      <c r="Q1486">
        <v>4</v>
      </c>
      <c r="R1486">
        <v>2</v>
      </c>
      <c r="S1486" t="s">
        <v>25</v>
      </c>
    </row>
    <row r="1487" spans="1:19" x14ac:dyDescent="0.25">
      <c r="A1487">
        <v>11486</v>
      </c>
      <c r="B1487">
        <v>52</v>
      </c>
      <c r="C1487" t="s">
        <v>19</v>
      </c>
      <c r="D1487" t="s">
        <v>32</v>
      </c>
      <c r="E1487" t="s">
        <v>21</v>
      </c>
      <c r="F1487" t="s">
        <v>39</v>
      </c>
      <c r="G1487" t="s">
        <v>30</v>
      </c>
      <c r="H1487">
        <v>91591</v>
      </c>
      <c r="I1487">
        <v>38746</v>
      </c>
      <c r="J1487">
        <v>5</v>
      </c>
      <c r="K1487">
        <v>9</v>
      </c>
      <c r="L1487">
        <v>3</v>
      </c>
      <c r="M1487" t="s">
        <v>25</v>
      </c>
      <c r="N1487">
        <v>3</v>
      </c>
      <c r="O1487">
        <v>21</v>
      </c>
      <c r="P1487">
        <v>58</v>
      </c>
      <c r="Q1487">
        <v>4</v>
      </c>
      <c r="R1487">
        <v>4</v>
      </c>
      <c r="S1487" t="s">
        <v>25</v>
      </c>
    </row>
    <row r="1488" spans="1:19" x14ac:dyDescent="0.25">
      <c r="A1488">
        <v>11487</v>
      </c>
      <c r="B1488">
        <v>38</v>
      </c>
      <c r="C1488" t="s">
        <v>19</v>
      </c>
      <c r="D1488" t="s">
        <v>26</v>
      </c>
      <c r="E1488" t="s">
        <v>33</v>
      </c>
      <c r="F1488" t="s">
        <v>37</v>
      </c>
      <c r="G1488" t="s">
        <v>23</v>
      </c>
      <c r="H1488">
        <v>28088</v>
      </c>
      <c r="I1488">
        <v>23625</v>
      </c>
      <c r="J1488">
        <v>17</v>
      </c>
      <c r="K1488">
        <v>9</v>
      </c>
      <c r="L1488">
        <v>3</v>
      </c>
      <c r="M1488" t="s">
        <v>24</v>
      </c>
      <c r="N1488">
        <v>3</v>
      </c>
      <c r="O1488">
        <v>5</v>
      </c>
      <c r="P1488">
        <v>34</v>
      </c>
      <c r="Q1488">
        <v>2</v>
      </c>
      <c r="R1488">
        <v>4</v>
      </c>
      <c r="S1488" t="s">
        <v>25</v>
      </c>
    </row>
    <row r="1489" spans="1:19" x14ac:dyDescent="0.25">
      <c r="A1489">
        <v>11488</v>
      </c>
      <c r="B1489">
        <v>23</v>
      </c>
      <c r="C1489" t="s">
        <v>31</v>
      </c>
      <c r="D1489" t="s">
        <v>34</v>
      </c>
      <c r="E1489" t="s">
        <v>36</v>
      </c>
      <c r="F1489" t="s">
        <v>39</v>
      </c>
      <c r="G1489" t="s">
        <v>30</v>
      </c>
      <c r="H1489">
        <v>53640</v>
      </c>
      <c r="I1489">
        <v>22378</v>
      </c>
      <c r="J1489">
        <v>12</v>
      </c>
      <c r="K1489">
        <v>10</v>
      </c>
      <c r="L1489">
        <v>3</v>
      </c>
      <c r="M1489" t="s">
        <v>25</v>
      </c>
      <c r="N1489">
        <v>4</v>
      </c>
      <c r="O1489">
        <v>32</v>
      </c>
      <c r="P1489">
        <v>54</v>
      </c>
      <c r="Q1489">
        <v>3</v>
      </c>
      <c r="R1489">
        <v>4</v>
      </c>
      <c r="S1489" t="s">
        <v>25</v>
      </c>
    </row>
    <row r="1490" spans="1:19" x14ac:dyDescent="0.25">
      <c r="A1490">
        <v>11489</v>
      </c>
      <c r="B1490">
        <v>20</v>
      </c>
      <c r="C1490" t="s">
        <v>31</v>
      </c>
      <c r="D1490" t="s">
        <v>20</v>
      </c>
      <c r="E1490" t="s">
        <v>36</v>
      </c>
      <c r="F1490" t="s">
        <v>22</v>
      </c>
      <c r="G1490" t="s">
        <v>30</v>
      </c>
      <c r="H1490">
        <v>50178</v>
      </c>
      <c r="I1490">
        <v>23689</v>
      </c>
      <c r="J1490">
        <v>6</v>
      </c>
      <c r="K1490">
        <v>6</v>
      </c>
      <c r="L1490">
        <v>4</v>
      </c>
      <c r="M1490" t="s">
        <v>24</v>
      </c>
      <c r="N1490">
        <v>3</v>
      </c>
      <c r="O1490">
        <v>5</v>
      </c>
      <c r="P1490">
        <v>17</v>
      </c>
      <c r="Q1490">
        <v>3</v>
      </c>
      <c r="R1490">
        <v>2</v>
      </c>
      <c r="S1490" t="s">
        <v>25</v>
      </c>
    </row>
    <row r="1491" spans="1:19" x14ac:dyDescent="0.25">
      <c r="A1491">
        <v>11490</v>
      </c>
      <c r="B1491">
        <v>32</v>
      </c>
      <c r="C1491" t="s">
        <v>19</v>
      </c>
      <c r="D1491" t="s">
        <v>26</v>
      </c>
      <c r="E1491" t="s">
        <v>27</v>
      </c>
      <c r="F1491" t="s">
        <v>35</v>
      </c>
      <c r="G1491" t="s">
        <v>30</v>
      </c>
      <c r="H1491">
        <v>69302</v>
      </c>
      <c r="I1491">
        <v>27696</v>
      </c>
      <c r="J1491">
        <v>18</v>
      </c>
      <c r="K1491">
        <v>8</v>
      </c>
      <c r="L1491">
        <v>5</v>
      </c>
      <c r="M1491" t="s">
        <v>25</v>
      </c>
      <c r="N1491">
        <v>1</v>
      </c>
      <c r="O1491">
        <v>35</v>
      </c>
      <c r="P1491">
        <v>15</v>
      </c>
      <c r="Q1491">
        <v>1</v>
      </c>
      <c r="R1491">
        <v>1</v>
      </c>
      <c r="S1491" t="s">
        <v>24</v>
      </c>
    </row>
    <row r="1492" spans="1:19" x14ac:dyDescent="0.25">
      <c r="A1492">
        <v>11491</v>
      </c>
      <c r="B1492">
        <v>59</v>
      </c>
      <c r="C1492" t="s">
        <v>19</v>
      </c>
      <c r="D1492" t="s">
        <v>34</v>
      </c>
      <c r="E1492" t="s">
        <v>36</v>
      </c>
      <c r="F1492" t="s">
        <v>39</v>
      </c>
      <c r="G1492" t="s">
        <v>38</v>
      </c>
      <c r="H1492">
        <v>64924</v>
      </c>
      <c r="I1492">
        <v>23161</v>
      </c>
      <c r="J1492">
        <v>23</v>
      </c>
      <c r="K1492">
        <v>8</v>
      </c>
      <c r="L1492">
        <v>3</v>
      </c>
      <c r="M1492" t="s">
        <v>25</v>
      </c>
      <c r="N1492">
        <v>3</v>
      </c>
      <c r="O1492">
        <v>5</v>
      </c>
      <c r="P1492">
        <v>42</v>
      </c>
      <c r="Q1492">
        <v>1</v>
      </c>
      <c r="R1492">
        <v>1</v>
      </c>
      <c r="S1492" t="s">
        <v>24</v>
      </c>
    </row>
    <row r="1493" spans="1:19" x14ac:dyDescent="0.25">
      <c r="A1493">
        <v>11492</v>
      </c>
      <c r="B1493">
        <v>31</v>
      </c>
      <c r="C1493" t="s">
        <v>31</v>
      </c>
      <c r="D1493" t="s">
        <v>32</v>
      </c>
      <c r="E1493" t="s">
        <v>40</v>
      </c>
      <c r="F1493" t="s">
        <v>22</v>
      </c>
      <c r="G1493" t="s">
        <v>30</v>
      </c>
      <c r="H1493">
        <v>16332</v>
      </c>
      <c r="I1493">
        <v>45585</v>
      </c>
      <c r="J1493">
        <v>11</v>
      </c>
      <c r="K1493">
        <v>10</v>
      </c>
      <c r="L1493">
        <v>4</v>
      </c>
      <c r="M1493" t="s">
        <v>25</v>
      </c>
      <c r="N1493">
        <v>3</v>
      </c>
      <c r="O1493">
        <v>2</v>
      </c>
      <c r="P1493">
        <v>20</v>
      </c>
      <c r="Q1493">
        <v>1</v>
      </c>
      <c r="R1493">
        <v>2</v>
      </c>
      <c r="S1493" t="s">
        <v>25</v>
      </c>
    </row>
    <row r="1494" spans="1:19" x14ac:dyDescent="0.25">
      <c r="A1494">
        <v>11493</v>
      </c>
      <c r="B1494">
        <v>36</v>
      </c>
      <c r="C1494" t="s">
        <v>19</v>
      </c>
      <c r="D1494" t="s">
        <v>32</v>
      </c>
      <c r="E1494" t="s">
        <v>21</v>
      </c>
      <c r="F1494" t="s">
        <v>39</v>
      </c>
      <c r="G1494" t="s">
        <v>38</v>
      </c>
      <c r="H1494">
        <v>123405</v>
      </c>
      <c r="I1494">
        <v>35138</v>
      </c>
      <c r="J1494">
        <v>4</v>
      </c>
      <c r="K1494">
        <v>3</v>
      </c>
      <c r="L1494">
        <v>2</v>
      </c>
      <c r="M1494" t="s">
        <v>25</v>
      </c>
      <c r="N1494">
        <v>4</v>
      </c>
      <c r="O1494">
        <v>29</v>
      </c>
      <c r="P1494">
        <v>8</v>
      </c>
      <c r="Q1494">
        <v>3</v>
      </c>
      <c r="R1494">
        <v>1</v>
      </c>
      <c r="S1494" t="s">
        <v>25</v>
      </c>
    </row>
    <row r="1495" spans="1:19" x14ac:dyDescent="0.25">
      <c r="A1495">
        <v>11494</v>
      </c>
      <c r="B1495">
        <v>56</v>
      </c>
      <c r="C1495" t="s">
        <v>19</v>
      </c>
      <c r="D1495" t="s">
        <v>41</v>
      </c>
      <c r="E1495" t="s">
        <v>36</v>
      </c>
      <c r="F1495" t="s">
        <v>39</v>
      </c>
      <c r="G1495" t="s">
        <v>30</v>
      </c>
      <c r="H1495">
        <v>66936</v>
      </c>
      <c r="I1495">
        <v>35190</v>
      </c>
      <c r="J1495">
        <v>3</v>
      </c>
      <c r="K1495">
        <v>7</v>
      </c>
      <c r="L1495">
        <v>3</v>
      </c>
      <c r="M1495" t="s">
        <v>25</v>
      </c>
      <c r="N1495">
        <v>4</v>
      </c>
      <c r="O1495">
        <v>38</v>
      </c>
      <c r="P1495">
        <v>20</v>
      </c>
      <c r="Q1495">
        <v>2</v>
      </c>
      <c r="R1495">
        <v>3</v>
      </c>
      <c r="S1495" t="s">
        <v>25</v>
      </c>
    </row>
    <row r="1496" spans="1:19" x14ac:dyDescent="0.25">
      <c r="A1496">
        <v>11495</v>
      </c>
      <c r="B1496">
        <v>59</v>
      </c>
      <c r="C1496" t="s">
        <v>19</v>
      </c>
      <c r="D1496" t="s">
        <v>41</v>
      </c>
      <c r="E1496" t="s">
        <v>40</v>
      </c>
      <c r="F1496" t="s">
        <v>22</v>
      </c>
      <c r="G1496" t="s">
        <v>30</v>
      </c>
      <c r="H1496">
        <v>10256</v>
      </c>
      <c r="I1496">
        <v>36111</v>
      </c>
      <c r="J1496">
        <v>21</v>
      </c>
      <c r="K1496">
        <v>14</v>
      </c>
      <c r="L1496">
        <v>3</v>
      </c>
      <c r="M1496" t="s">
        <v>25</v>
      </c>
      <c r="N1496">
        <v>3</v>
      </c>
      <c r="O1496">
        <v>4</v>
      </c>
      <c r="P1496">
        <v>55</v>
      </c>
      <c r="Q1496">
        <v>3</v>
      </c>
      <c r="R1496">
        <v>4</v>
      </c>
      <c r="S1496" t="s">
        <v>25</v>
      </c>
    </row>
    <row r="1497" spans="1:19" x14ac:dyDescent="0.25">
      <c r="A1497">
        <v>11496</v>
      </c>
      <c r="B1497">
        <v>45</v>
      </c>
      <c r="C1497" t="s">
        <v>19</v>
      </c>
      <c r="D1497" t="s">
        <v>20</v>
      </c>
      <c r="E1497" t="s">
        <v>36</v>
      </c>
      <c r="F1497" t="s">
        <v>39</v>
      </c>
      <c r="G1497" t="s">
        <v>38</v>
      </c>
      <c r="H1497">
        <v>58011</v>
      </c>
      <c r="I1497">
        <v>42638</v>
      </c>
      <c r="J1497">
        <v>19</v>
      </c>
      <c r="K1497">
        <v>8</v>
      </c>
      <c r="L1497">
        <v>5</v>
      </c>
      <c r="M1497" t="s">
        <v>24</v>
      </c>
      <c r="N1497">
        <v>3</v>
      </c>
      <c r="O1497">
        <v>35</v>
      </c>
      <c r="P1497">
        <v>27</v>
      </c>
      <c r="Q1497">
        <v>4</v>
      </c>
      <c r="R1497">
        <v>3</v>
      </c>
      <c r="S1497" t="s">
        <v>25</v>
      </c>
    </row>
    <row r="1498" spans="1:19" x14ac:dyDescent="0.25">
      <c r="A1498">
        <v>11497</v>
      </c>
      <c r="B1498">
        <v>39</v>
      </c>
      <c r="C1498" t="s">
        <v>31</v>
      </c>
      <c r="D1498" t="s">
        <v>32</v>
      </c>
      <c r="E1498" t="s">
        <v>33</v>
      </c>
      <c r="F1498" t="s">
        <v>35</v>
      </c>
      <c r="G1498" t="s">
        <v>38</v>
      </c>
      <c r="H1498">
        <v>42205</v>
      </c>
      <c r="I1498">
        <v>43002</v>
      </c>
      <c r="J1498">
        <v>1</v>
      </c>
      <c r="K1498">
        <v>1</v>
      </c>
      <c r="L1498">
        <v>5</v>
      </c>
      <c r="M1498" t="s">
        <v>25</v>
      </c>
      <c r="N1498">
        <v>4</v>
      </c>
      <c r="O1498">
        <v>26</v>
      </c>
      <c r="P1498">
        <v>16</v>
      </c>
      <c r="Q1498">
        <v>3</v>
      </c>
      <c r="R1498">
        <v>2</v>
      </c>
      <c r="S1498" t="s">
        <v>25</v>
      </c>
    </row>
    <row r="1499" spans="1:19" x14ac:dyDescent="0.25">
      <c r="A1499">
        <v>11498</v>
      </c>
      <c r="B1499">
        <v>29</v>
      </c>
      <c r="C1499" t="s">
        <v>19</v>
      </c>
      <c r="D1499" t="s">
        <v>20</v>
      </c>
      <c r="E1499" t="s">
        <v>36</v>
      </c>
      <c r="F1499" t="s">
        <v>37</v>
      </c>
      <c r="G1499" t="s">
        <v>30</v>
      </c>
      <c r="H1499">
        <v>50560</v>
      </c>
      <c r="I1499">
        <v>49898</v>
      </c>
      <c r="J1499">
        <v>21</v>
      </c>
      <c r="K1499">
        <v>10</v>
      </c>
      <c r="L1499">
        <v>3</v>
      </c>
      <c r="M1499" t="s">
        <v>25</v>
      </c>
      <c r="N1499">
        <v>4</v>
      </c>
      <c r="O1499">
        <v>23</v>
      </c>
      <c r="P1499">
        <v>58</v>
      </c>
      <c r="Q1499">
        <v>2</v>
      </c>
      <c r="R1499">
        <v>3</v>
      </c>
      <c r="S1499" t="s">
        <v>25</v>
      </c>
    </row>
    <row r="1500" spans="1:19" x14ac:dyDescent="0.25">
      <c r="A1500">
        <v>11499</v>
      </c>
      <c r="B1500">
        <v>22</v>
      </c>
      <c r="C1500" t="s">
        <v>19</v>
      </c>
      <c r="D1500" t="s">
        <v>20</v>
      </c>
      <c r="E1500" t="s">
        <v>36</v>
      </c>
      <c r="F1500" t="s">
        <v>39</v>
      </c>
      <c r="G1500" t="s">
        <v>38</v>
      </c>
      <c r="H1500">
        <v>50241</v>
      </c>
      <c r="I1500">
        <v>13648</v>
      </c>
      <c r="J1500">
        <v>7</v>
      </c>
      <c r="K1500">
        <v>0</v>
      </c>
      <c r="L1500">
        <v>3</v>
      </c>
      <c r="M1500" t="s">
        <v>24</v>
      </c>
      <c r="N1500">
        <v>4</v>
      </c>
      <c r="O1500">
        <v>25</v>
      </c>
      <c r="P1500">
        <v>12</v>
      </c>
      <c r="Q1500">
        <v>3</v>
      </c>
      <c r="R1500">
        <v>3</v>
      </c>
      <c r="S1500" t="s">
        <v>25</v>
      </c>
    </row>
    <row r="1501" spans="1:19" x14ac:dyDescent="0.25">
      <c r="A1501">
        <v>11500</v>
      </c>
      <c r="B1501">
        <v>57</v>
      </c>
      <c r="C1501" t="s">
        <v>19</v>
      </c>
      <c r="D1501" t="s">
        <v>41</v>
      </c>
      <c r="E1501" t="s">
        <v>27</v>
      </c>
      <c r="F1501" t="s">
        <v>39</v>
      </c>
      <c r="G1501" t="s">
        <v>30</v>
      </c>
      <c r="H1501">
        <v>69184</v>
      </c>
      <c r="I1501">
        <v>44802</v>
      </c>
      <c r="J1501">
        <v>21</v>
      </c>
      <c r="K1501">
        <v>3</v>
      </c>
      <c r="L1501">
        <v>3</v>
      </c>
      <c r="M1501" t="s">
        <v>25</v>
      </c>
      <c r="N1501">
        <v>1</v>
      </c>
      <c r="O1501">
        <v>37</v>
      </c>
      <c r="P1501">
        <v>28</v>
      </c>
      <c r="Q1501">
        <v>3</v>
      </c>
      <c r="R1501">
        <v>2</v>
      </c>
      <c r="S1501" t="s">
        <v>25</v>
      </c>
    </row>
    <row r="1502" spans="1:19" x14ac:dyDescent="0.25">
      <c r="A1502">
        <v>11501</v>
      </c>
      <c r="B1502">
        <v>44</v>
      </c>
      <c r="C1502" t="s">
        <v>19</v>
      </c>
      <c r="D1502" t="s">
        <v>20</v>
      </c>
      <c r="E1502" t="s">
        <v>33</v>
      </c>
      <c r="F1502" t="s">
        <v>39</v>
      </c>
      <c r="G1502" t="s">
        <v>23</v>
      </c>
      <c r="H1502">
        <v>36699</v>
      </c>
      <c r="I1502">
        <v>13187</v>
      </c>
      <c r="J1502">
        <v>24</v>
      </c>
      <c r="K1502">
        <v>14</v>
      </c>
      <c r="L1502">
        <v>3</v>
      </c>
      <c r="M1502" t="s">
        <v>24</v>
      </c>
      <c r="N1502">
        <v>1</v>
      </c>
      <c r="O1502">
        <v>16</v>
      </c>
      <c r="P1502">
        <v>27</v>
      </c>
      <c r="Q1502">
        <v>4</v>
      </c>
      <c r="R1502">
        <v>3</v>
      </c>
      <c r="S1502" t="s">
        <v>25</v>
      </c>
    </row>
    <row r="1503" spans="1:19" x14ac:dyDescent="0.25">
      <c r="A1503">
        <v>11502</v>
      </c>
      <c r="B1503">
        <v>32</v>
      </c>
      <c r="C1503" t="s">
        <v>19</v>
      </c>
      <c r="D1503" t="s">
        <v>20</v>
      </c>
      <c r="E1503" t="s">
        <v>33</v>
      </c>
      <c r="F1503" t="s">
        <v>39</v>
      </c>
      <c r="G1503" t="s">
        <v>23</v>
      </c>
      <c r="H1503">
        <v>28686</v>
      </c>
      <c r="I1503">
        <v>47595</v>
      </c>
      <c r="J1503">
        <v>10</v>
      </c>
      <c r="K1503">
        <v>0</v>
      </c>
      <c r="L1503">
        <v>3</v>
      </c>
      <c r="M1503" t="s">
        <v>25</v>
      </c>
      <c r="N1503">
        <v>4</v>
      </c>
      <c r="O1503">
        <v>37</v>
      </c>
      <c r="P1503">
        <v>7</v>
      </c>
      <c r="Q1503">
        <v>4</v>
      </c>
      <c r="R1503">
        <v>3</v>
      </c>
      <c r="S1503" t="s">
        <v>25</v>
      </c>
    </row>
    <row r="1504" spans="1:19" x14ac:dyDescent="0.25">
      <c r="A1504">
        <v>11503</v>
      </c>
      <c r="B1504">
        <v>38</v>
      </c>
      <c r="C1504" t="s">
        <v>19</v>
      </c>
      <c r="D1504" t="s">
        <v>32</v>
      </c>
      <c r="E1504" t="s">
        <v>36</v>
      </c>
      <c r="F1504" t="s">
        <v>35</v>
      </c>
      <c r="G1504" t="s">
        <v>30</v>
      </c>
      <c r="H1504">
        <v>66407</v>
      </c>
      <c r="I1504">
        <v>5160</v>
      </c>
      <c r="J1504">
        <v>12</v>
      </c>
      <c r="K1504">
        <v>11</v>
      </c>
      <c r="L1504">
        <v>2</v>
      </c>
      <c r="M1504" t="s">
        <v>25</v>
      </c>
      <c r="N1504">
        <v>1</v>
      </c>
      <c r="O1504">
        <v>8</v>
      </c>
      <c r="P1504">
        <v>59</v>
      </c>
      <c r="Q1504">
        <v>1</v>
      </c>
      <c r="R1504">
        <v>4</v>
      </c>
      <c r="S1504" t="s">
        <v>25</v>
      </c>
    </row>
    <row r="1505" spans="1:19" x14ac:dyDescent="0.25">
      <c r="A1505">
        <v>11504</v>
      </c>
      <c r="B1505">
        <v>27</v>
      </c>
      <c r="C1505" t="s">
        <v>31</v>
      </c>
      <c r="D1505" t="s">
        <v>41</v>
      </c>
      <c r="E1505" t="s">
        <v>33</v>
      </c>
      <c r="F1505" t="s">
        <v>35</v>
      </c>
      <c r="G1505" t="s">
        <v>30</v>
      </c>
      <c r="H1505">
        <v>26153</v>
      </c>
      <c r="I1505">
        <v>7536</v>
      </c>
      <c r="J1505">
        <v>8</v>
      </c>
      <c r="K1505">
        <v>4</v>
      </c>
      <c r="L1505">
        <v>4</v>
      </c>
      <c r="M1505" t="s">
        <v>25</v>
      </c>
      <c r="N1505">
        <v>3</v>
      </c>
      <c r="O1505">
        <v>31</v>
      </c>
      <c r="P1505">
        <v>40</v>
      </c>
      <c r="Q1505">
        <v>4</v>
      </c>
      <c r="R1505">
        <v>4</v>
      </c>
      <c r="S1505" t="s">
        <v>25</v>
      </c>
    </row>
    <row r="1506" spans="1:19" x14ac:dyDescent="0.25">
      <c r="A1506">
        <v>11505</v>
      </c>
      <c r="B1506">
        <v>35</v>
      </c>
      <c r="C1506" t="s">
        <v>19</v>
      </c>
      <c r="D1506" t="s">
        <v>28</v>
      </c>
      <c r="E1506" t="s">
        <v>27</v>
      </c>
      <c r="F1506" t="s">
        <v>35</v>
      </c>
      <c r="G1506" t="s">
        <v>38</v>
      </c>
      <c r="H1506">
        <v>75018</v>
      </c>
      <c r="I1506">
        <v>6574</v>
      </c>
      <c r="J1506">
        <v>4</v>
      </c>
      <c r="K1506">
        <v>2</v>
      </c>
      <c r="L1506">
        <v>4</v>
      </c>
      <c r="M1506" t="s">
        <v>25</v>
      </c>
      <c r="N1506">
        <v>4</v>
      </c>
      <c r="O1506">
        <v>20</v>
      </c>
      <c r="P1506">
        <v>42</v>
      </c>
      <c r="Q1506">
        <v>3</v>
      </c>
      <c r="R1506">
        <v>3</v>
      </c>
      <c r="S1506" t="s">
        <v>25</v>
      </c>
    </row>
    <row r="1507" spans="1:19" x14ac:dyDescent="0.25">
      <c r="A1507">
        <v>11506</v>
      </c>
      <c r="B1507">
        <v>24</v>
      </c>
      <c r="C1507" t="s">
        <v>19</v>
      </c>
      <c r="D1507" t="s">
        <v>41</v>
      </c>
      <c r="E1507" t="s">
        <v>27</v>
      </c>
      <c r="F1507" t="s">
        <v>39</v>
      </c>
      <c r="G1507" t="s">
        <v>38</v>
      </c>
      <c r="H1507">
        <v>87417</v>
      </c>
      <c r="I1507">
        <v>4876</v>
      </c>
      <c r="J1507">
        <v>8</v>
      </c>
      <c r="K1507">
        <v>10</v>
      </c>
      <c r="L1507">
        <v>3</v>
      </c>
      <c r="M1507" t="s">
        <v>25</v>
      </c>
      <c r="N1507">
        <v>3</v>
      </c>
      <c r="O1507">
        <v>29</v>
      </c>
      <c r="P1507">
        <v>19</v>
      </c>
      <c r="Q1507">
        <v>4</v>
      </c>
      <c r="R1507">
        <v>3</v>
      </c>
      <c r="S1507" t="s">
        <v>25</v>
      </c>
    </row>
    <row r="1508" spans="1:19" x14ac:dyDescent="0.25">
      <c r="A1508">
        <v>11507</v>
      </c>
      <c r="B1508">
        <v>20</v>
      </c>
      <c r="C1508" t="s">
        <v>19</v>
      </c>
      <c r="D1508" t="s">
        <v>20</v>
      </c>
      <c r="E1508" t="s">
        <v>27</v>
      </c>
      <c r="F1508" t="s">
        <v>39</v>
      </c>
      <c r="G1508" t="s">
        <v>30</v>
      </c>
      <c r="H1508">
        <v>83327</v>
      </c>
      <c r="I1508">
        <v>2978</v>
      </c>
      <c r="J1508">
        <v>12</v>
      </c>
      <c r="K1508">
        <v>5</v>
      </c>
      <c r="L1508">
        <v>2</v>
      </c>
      <c r="M1508" t="s">
        <v>25</v>
      </c>
      <c r="N1508">
        <v>2</v>
      </c>
      <c r="O1508">
        <v>3</v>
      </c>
      <c r="P1508">
        <v>41</v>
      </c>
      <c r="Q1508">
        <v>1</v>
      </c>
      <c r="R1508">
        <v>1</v>
      </c>
      <c r="S1508" t="s">
        <v>24</v>
      </c>
    </row>
    <row r="1509" spans="1:19" x14ac:dyDescent="0.25">
      <c r="A1509">
        <v>11508</v>
      </c>
      <c r="B1509">
        <v>33</v>
      </c>
      <c r="C1509" t="s">
        <v>19</v>
      </c>
      <c r="D1509" t="s">
        <v>20</v>
      </c>
      <c r="E1509" t="s">
        <v>29</v>
      </c>
      <c r="F1509" t="s">
        <v>37</v>
      </c>
      <c r="G1509" t="s">
        <v>30</v>
      </c>
      <c r="H1509">
        <v>161482</v>
      </c>
      <c r="I1509">
        <v>10281</v>
      </c>
      <c r="J1509">
        <v>10</v>
      </c>
      <c r="K1509">
        <v>13</v>
      </c>
      <c r="L1509">
        <v>3</v>
      </c>
      <c r="M1509" t="s">
        <v>25</v>
      </c>
      <c r="N1509">
        <v>2</v>
      </c>
      <c r="O1509">
        <v>21</v>
      </c>
      <c r="P1509">
        <v>41</v>
      </c>
      <c r="Q1509">
        <v>4</v>
      </c>
      <c r="R1509">
        <v>2</v>
      </c>
      <c r="S1509" t="s">
        <v>25</v>
      </c>
    </row>
    <row r="1510" spans="1:19" x14ac:dyDescent="0.25">
      <c r="A1510">
        <v>11509</v>
      </c>
      <c r="B1510">
        <v>28</v>
      </c>
      <c r="C1510" t="s">
        <v>19</v>
      </c>
      <c r="D1510" t="s">
        <v>41</v>
      </c>
      <c r="E1510" t="s">
        <v>40</v>
      </c>
      <c r="F1510" t="s">
        <v>35</v>
      </c>
      <c r="G1510" t="s">
        <v>30</v>
      </c>
      <c r="H1510">
        <v>13874</v>
      </c>
      <c r="I1510">
        <v>20924</v>
      </c>
      <c r="J1510">
        <v>8</v>
      </c>
      <c r="K1510">
        <v>12</v>
      </c>
      <c r="L1510">
        <v>5</v>
      </c>
      <c r="M1510" t="s">
        <v>25</v>
      </c>
      <c r="N1510">
        <v>3</v>
      </c>
      <c r="O1510">
        <v>18</v>
      </c>
      <c r="P1510">
        <v>49</v>
      </c>
      <c r="Q1510">
        <v>4</v>
      </c>
      <c r="R1510">
        <v>2</v>
      </c>
      <c r="S1510" t="s">
        <v>25</v>
      </c>
    </row>
    <row r="1511" spans="1:19" x14ac:dyDescent="0.25">
      <c r="A1511">
        <v>11510</v>
      </c>
      <c r="B1511">
        <v>36</v>
      </c>
      <c r="C1511" t="s">
        <v>19</v>
      </c>
      <c r="D1511" t="s">
        <v>20</v>
      </c>
      <c r="E1511" t="s">
        <v>33</v>
      </c>
      <c r="F1511" t="s">
        <v>39</v>
      </c>
      <c r="G1511" t="s">
        <v>30</v>
      </c>
      <c r="H1511">
        <v>26028</v>
      </c>
      <c r="I1511">
        <v>33818</v>
      </c>
      <c r="J1511">
        <v>6</v>
      </c>
      <c r="K1511">
        <v>6</v>
      </c>
      <c r="L1511">
        <v>3</v>
      </c>
      <c r="M1511" t="s">
        <v>24</v>
      </c>
      <c r="N1511">
        <v>1</v>
      </c>
      <c r="O1511">
        <v>7</v>
      </c>
      <c r="P1511">
        <v>26</v>
      </c>
      <c r="Q1511">
        <v>2</v>
      </c>
      <c r="R1511">
        <v>1</v>
      </c>
      <c r="S1511" t="s">
        <v>24</v>
      </c>
    </row>
    <row r="1512" spans="1:19" x14ac:dyDescent="0.25">
      <c r="A1512">
        <v>11511</v>
      </c>
      <c r="B1512">
        <v>25</v>
      </c>
      <c r="C1512" t="s">
        <v>19</v>
      </c>
      <c r="D1512" t="s">
        <v>20</v>
      </c>
      <c r="E1512" t="s">
        <v>33</v>
      </c>
      <c r="F1512" t="s">
        <v>39</v>
      </c>
      <c r="G1512" t="s">
        <v>30</v>
      </c>
      <c r="H1512">
        <v>29453</v>
      </c>
      <c r="I1512">
        <v>4177</v>
      </c>
      <c r="J1512">
        <v>5</v>
      </c>
      <c r="K1512">
        <v>8</v>
      </c>
      <c r="L1512">
        <v>3</v>
      </c>
      <c r="M1512" t="s">
        <v>24</v>
      </c>
      <c r="N1512">
        <v>4</v>
      </c>
      <c r="O1512">
        <v>30</v>
      </c>
      <c r="P1512">
        <v>17</v>
      </c>
      <c r="Q1512">
        <v>2</v>
      </c>
      <c r="R1512">
        <v>1</v>
      </c>
      <c r="S1512" t="s">
        <v>25</v>
      </c>
    </row>
    <row r="1513" spans="1:19" x14ac:dyDescent="0.25">
      <c r="A1513">
        <v>11512</v>
      </c>
      <c r="B1513">
        <v>35</v>
      </c>
      <c r="C1513" t="s">
        <v>19</v>
      </c>
      <c r="D1513" t="s">
        <v>41</v>
      </c>
      <c r="E1513" t="s">
        <v>36</v>
      </c>
      <c r="F1513" t="s">
        <v>35</v>
      </c>
      <c r="G1513" t="s">
        <v>38</v>
      </c>
      <c r="H1513">
        <v>58562</v>
      </c>
      <c r="I1513">
        <v>9609</v>
      </c>
      <c r="J1513">
        <v>14</v>
      </c>
      <c r="K1513">
        <v>2</v>
      </c>
      <c r="L1513">
        <v>3</v>
      </c>
      <c r="M1513" t="s">
        <v>25</v>
      </c>
      <c r="N1513">
        <v>3</v>
      </c>
      <c r="O1513">
        <v>13</v>
      </c>
      <c r="P1513">
        <v>49</v>
      </c>
      <c r="Q1513">
        <v>3</v>
      </c>
      <c r="R1513">
        <v>3</v>
      </c>
      <c r="S1513" t="s">
        <v>25</v>
      </c>
    </row>
    <row r="1514" spans="1:19" x14ac:dyDescent="0.25">
      <c r="A1514">
        <v>11513</v>
      </c>
      <c r="B1514">
        <v>48</v>
      </c>
      <c r="C1514" t="s">
        <v>19</v>
      </c>
      <c r="D1514" t="s">
        <v>32</v>
      </c>
      <c r="E1514" t="s">
        <v>36</v>
      </c>
      <c r="F1514" t="s">
        <v>39</v>
      </c>
      <c r="G1514" t="s">
        <v>30</v>
      </c>
      <c r="H1514">
        <v>51844</v>
      </c>
      <c r="I1514">
        <v>46922</v>
      </c>
      <c r="J1514">
        <v>16</v>
      </c>
      <c r="K1514">
        <v>7</v>
      </c>
      <c r="L1514">
        <v>3</v>
      </c>
      <c r="M1514" t="s">
        <v>25</v>
      </c>
      <c r="N1514">
        <v>3</v>
      </c>
      <c r="O1514">
        <v>16</v>
      </c>
      <c r="P1514">
        <v>45</v>
      </c>
      <c r="Q1514">
        <v>2</v>
      </c>
      <c r="R1514">
        <v>4</v>
      </c>
      <c r="S1514" t="s">
        <v>25</v>
      </c>
    </row>
    <row r="1515" spans="1:19" x14ac:dyDescent="0.25">
      <c r="A1515">
        <v>11514</v>
      </c>
      <c r="B1515">
        <v>31</v>
      </c>
      <c r="C1515" t="s">
        <v>19</v>
      </c>
      <c r="D1515" t="s">
        <v>20</v>
      </c>
      <c r="E1515" t="s">
        <v>33</v>
      </c>
      <c r="F1515" t="s">
        <v>22</v>
      </c>
      <c r="G1515" t="s">
        <v>23</v>
      </c>
      <c r="H1515">
        <v>38654</v>
      </c>
      <c r="I1515">
        <v>45676</v>
      </c>
      <c r="J1515">
        <v>22</v>
      </c>
      <c r="K1515">
        <v>12</v>
      </c>
      <c r="L1515">
        <v>2</v>
      </c>
      <c r="M1515" t="s">
        <v>24</v>
      </c>
      <c r="N1515">
        <v>4</v>
      </c>
      <c r="O1515">
        <v>21</v>
      </c>
      <c r="P1515">
        <v>12</v>
      </c>
      <c r="Q1515">
        <v>3</v>
      </c>
      <c r="R1515">
        <v>2</v>
      </c>
      <c r="S1515" t="s">
        <v>25</v>
      </c>
    </row>
    <row r="1516" spans="1:19" x14ac:dyDescent="0.25">
      <c r="A1516">
        <v>11515</v>
      </c>
      <c r="B1516">
        <v>31</v>
      </c>
      <c r="C1516" t="s">
        <v>19</v>
      </c>
      <c r="D1516" t="s">
        <v>34</v>
      </c>
      <c r="E1516" t="s">
        <v>36</v>
      </c>
      <c r="F1516" t="s">
        <v>39</v>
      </c>
      <c r="G1516" t="s">
        <v>30</v>
      </c>
      <c r="H1516">
        <v>56170</v>
      </c>
      <c r="I1516">
        <v>1066</v>
      </c>
      <c r="J1516">
        <v>10</v>
      </c>
      <c r="K1516">
        <v>12</v>
      </c>
      <c r="L1516">
        <v>3</v>
      </c>
      <c r="M1516" t="s">
        <v>25</v>
      </c>
      <c r="N1516">
        <v>3</v>
      </c>
      <c r="O1516">
        <v>19</v>
      </c>
      <c r="P1516">
        <v>39</v>
      </c>
      <c r="Q1516">
        <v>4</v>
      </c>
      <c r="R1516">
        <v>2</v>
      </c>
      <c r="S1516" t="s">
        <v>25</v>
      </c>
    </row>
    <row r="1517" spans="1:19" x14ac:dyDescent="0.25">
      <c r="A1517">
        <v>11516</v>
      </c>
      <c r="B1517">
        <v>54</v>
      </c>
      <c r="C1517" t="s">
        <v>19</v>
      </c>
      <c r="D1517" t="s">
        <v>28</v>
      </c>
      <c r="E1517" t="s">
        <v>29</v>
      </c>
      <c r="F1517" t="s">
        <v>22</v>
      </c>
      <c r="G1517" t="s">
        <v>30</v>
      </c>
      <c r="H1517">
        <v>156183</v>
      </c>
      <c r="I1517">
        <v>45286</v>
      </c>
      <c r="J1517">
        <v>1</v>
      </c>
      <c r="K1517">
        <v>1</v>
      </c>
      <c r="L1517">
        <v>2</v>
      </c>
      <c r="M1517" t="s">
        <v>25</v>
      </c>
      <c r="N1517">
        <v>2</v>
      </c>
      <c r="O1517">
        <v>18</v>
      </c>
      <c r="P1517">
        <v>35</v>
      </c>
      <c r="Q1517">
        <v>3</v>
      </c>
      <c r="R1517">
        <v>3</v>
      </c>
      <c r="S1517" t="s">
        <v>25</v>
      </c>
    </row>
    <row r="1518" spans="1:19" x14ac:dyDescent="0.25">
      <c r="A1518">
        <v>11517</v>
      </c>
      <c r="B1518">
        <v>43</v>
      </c>
      <c r="C1518" t="s">
        <v>19</v>
      </c>
      <c r="D1518" t="s">
        <v>20</v>
      </c>
      <c r="E1518" t="s">
        <v>33</v>
      </c>
      <c r="F1518" t="s">
        <v>39</v>
      </c>
      <c r="G1518" t="s">
        <v>30</v>
      </c>
      <c r="H1518">
        <v>44970</v>
      </c>
      <c r="I1518">
        <v>39818</v>
      </c>
      <c r="J1518">
        <v>6</v>
      </c>
      <c r="K1518">
        <v>0</v>
      </c>
      <c r="L1518">
        <v>3</v>
      </c>
      <c r="M1518" t="s">
        <v>25</v>
      </c>
      <c r="N1518">
        <v>3</v>
      </c>
      <c r="O1518">
        <v>30</v>
      </c>
      <c r="P1518">
        <v>44</v>
      </c>
      <c r="Q1518">
        <v>4</v>
      </c>
      <c r="R1518">
        <v>4</v>
      </c>
      <c r="S1518" t="s">
        <v>25</v>
      </c>
    </row>
    <row r="1519" spans="1:19" x14ac:dyDescent="0.25">
      <c r="A1519">
        <v>11518</v>
      </c>
      <c r="B1519">
        <v>42</v>
      </c>
      <c r="C1519" t="s">
        <v>19</v>
      </c>
      <c r="D1519" t="s">
        <v>34</v>
      </c>
      <c r="E1519" t="s">
        <v>27</v>
      </c>
      <c r="F1519" t="s">
        <v>39</v>
      </c>
      <c r="G1519" t="s">
        <v>30</v>
      </c>
      <c r="H1519">
        <v>87007</v>
      </c>
      <c r="I1519">
        <v>21836</v>
      </c>
      <c r="J1519">
        <v>6</v>
      </c>
      <c r="K1519">
        <v>3</v>
      </c>
      <c r="L1519">
        <v>3</v>
      </c>
      <c r="M1519" t="s">
        <v>25</v>
      </c>
      <c r="N1519">
        <v>2</v>
      </c>
      <c r="O1519">
        <v>31</v>
      </c>
      <c r="P1519">
        <v>9</v>
      </c>
      <c r="Q1519">
        <v>3</v>
      </c>
      <c r="R1519">
        <v>2</v>
      </c>
      <c r="S1519" t="s">
        <v>25</v>
      </c>
    </row>
    <row r="1520" spans="1:19" x14ac:dyDescent="0.25">
      <c r="A1520">
        <v>11519</v>
      </c>
      <c r="B1520">
        <v>28</v>
      </c>
      <c r="C1520" t="s">
        <v>19</v>
      </c>
      <c r="D1520" t="s">
        <v>20</v>
      </c>
      <c r="E1520" t="s">
        <v>33</v>
      </c>
      <c r="F1520" t="s">
        <v>39</v>
      </c>
      <c r="G1520" t="s">
        <v>30</v>
      </c>
      <c r="H1520">
        <v>33664</v>
      </c>
      <c r="I1520">
        <v>43353</v>
      </c>
      <c r="J1520">
        <v>21</v>
      </c>
      <c r="K1520">
        <v>14</v>
      </c>
      <c r="L1520">
        <v>3</v>
      </c>
      <c r="M1520" t="s">
        <v>25</v>
      </c>
      <c r="N1520">
        <v>1</v>
      </c>
      <c r="O1520">
        <v>36</v>
      </c>
      <c r="P1520">
        <v>57</v>
      </c>
      <c r="Q1520">
        <v>3</v>
      </c>
      <c r="R1520">
        <v>2</v>
      </c>
      <c r="S1520" t="s">
        <v>25</v>
      </c>
    </row>
    <row r="1521" spans="1:19" x14ac:dyDescent="0.25">
      <c r="A1521">
        <v>11520</v>
      </c>
      <c r="B1521">
        <v>30</v>
      </c>
      <c r="C1521" t="s">
        <v>31</v>
      </c>
      <c r="D1521" t="s">
        <v>20</v>
      </c>
      <c r="E1521" t="s">
        <v>33</v>
      </c>
      <c r="F1521" t="s">
        <v>22</v>
      </c>
      <c r="G1521" t="s">
        <v>23</v>
      </c>
      <c r="H1521">
        <v>32408</v>
      </c>
      <c r="I1521">
        <v>30775</v>
      </c>
      <c r="J1521">
        <v>21</v>
      </c>
      <c r="K1521">
        <v>4</v>
      </c>
      <c r="L1521">
        <v>2</v>
      </c>
      <c r="M1521" t="s">
        <v>25</v>
      </c>
      <c r="N1521">
        <v>3</v>
      </c>
      <c r="O1521">
        <v>1</v>
      </c>
      <c r="P1521">
        <v>26</v>
      </c>
      <c r="Q1521">
        <v>4</v>
      </c>
      <c r="R1521">
        <v>3</v>
      </c>
      <c r="S1521" t="s">
        <v>25</v>
      </c>
    </row>
    <row r="1522" spans="1:19" x14ac:dyDescent="0.25">
      <c r="A1522">
        <v>11521</v>
      </c>
      <c r="B1522">
        <v>50</v>
      </c>
      <c r="C1522" t="s">
        <v>19</v>
      </c>
      <c r="D1522" t="s">
        <v>41</v>
      </c>
      <c r="E1522" t="s">
        <v>36</v>
      </c>
      <c r="F1522" t="s">
        <v>39</v>
      </c>
      <c r="G1522" t="s">
        <v>38</v>
      </c>
      <c r="H1522">
        <v>51577</v>
      </c>
      <c r="I1522">
        <v>26065</v>
      </c>
      <c r="J1522">
        <v>20</v>
      </c>
      <c r="K1522">
        <v>10</v>
      </c>
      <c r="L1522">
        <v>3</v>
      </c>
      <c r="M1522" t="s">
        <v>24</v>
      </c>
      <c r="N1522">
        <v>3</v>
      </c>
      <c r="O1522">
        <v>16</v>
      </c>
      <c r="P1522">
        <v>11</v>
      </c>
      <c r="Q1522">
        <v>3</v>
      </c>
      <c r="R1522">
        <v>1</v>
      </c>
      <c r="S1522" t="s">
        <v>25</v>
      </c>
    </row>
    <row r="1523" spans="1:19" x14ac:dyDescent="0.25">
      <c r="A1523">
        <v>11522</v>
      </c>
      <c r="B1523">
        <v>36</v>
      </c>
      <c r="C1523" t="s">
        <v>31</v>
      </c>
      <c r="D1523" t="s">
        <v>41</v>
      </c>
      <c r="E1523" t="s">
        <v>27</v>
      </c>
      <c r="F1523" t="s">
        <v>39</v>
      </c>
      <c r="G1523" t="s">
        <v>38</v>
      </c>
      <c r="H1523">
        <v>61196</v>
      </c>
      <c r="I1523">
        <v>28517</v>
      </c>
      <c r="J1523">
        <v>20</v>
      </c>
      <c r="K1523">
        <v>2</v>
      </c>
      <c r="L1523">
        <v>4</v>
      </c>
      <c r="M1523" t="s">
        <v>25</v>
      </c>
      <c r="N1523">
        <v>4</v>
      </c>
      <c r="O1523">
        <v>9</v>
      </c>
      <c r="P1523">
        <v>9</v>
      </c>
      <c r="Q1523">
        <v>2</v>
      </c>
      <c r="R1523">
        <v>4</v>
      </c>
      <c r="S1523" t="s">
        <v>25</v>
      </c>
    </row>
    <row r="1524" spans="1:19" x14ac:dyDescent="0.25">
      <c r="A1524">
        <v>11523</v>
      </c>
      <c r="B1524">
        <v>40</v>
      </c>
      <c r="C1524" t="s">
        <v>19</v>
      </c>
      <c r="D1524" t="s">
        <v>34</v>
      </c>
      <c r="E1524" t="s">
        <v>36</v>
      </c>
      <c r="F1524" t="s">
        <v>39</v>
      </c>
      <c r="G1524" t="s">
        <v>38</v>
      </c>
      <c r="H1524">
        <v>45496</v>
      </c>
      <c r="I1524">
        <v>46165</v>
      </c>
      <c r="J1524">
        <v>0</v>
      </c>
      <c r="K1524">
        <v>8</v>
      </c>
      <c r="L1524">
        <v>3</v>
      </c>
      <c r="M1524" t="s">
        <v>25</v>
      </c>
      <c r="N1524">
        <v>4</v>
      </c>
      <c r="O1524">
        <v>11</v>
      </c>
      <c r="P1524">
        <v>26</v>
      </c>
      <c r="Q1524">
        <v>3</v>
      </c>
      <c r="R1524">
        <v>4</v>
      </c>
      <c r="S1524" t="s">
        <v>25</v>
      </c>
    </row>
    <row r="1525" spans="1:19" x14ac:dyDescent="0.25">
      <c r="A1525">
        <v>11524</v>
      </c>
      <c r="B1525">
        <v>59</v>
      </c>
      <c r="C1525" t="s">
        <v>19</v>
      </c>
      <c r="D1525" t="s">
        <v>32</v>
      </c>
      <c r="E1525" t="s">
        <v>40</v>
      </c>
      <c r="F1525" t="s">
        <v>39</v>
      </c>
      <c r="G1525" t="s">
        <v>30</v>
      </c>
      <c r="H1525">
        <v>18028</v>
      </c>
      <c r="I1525">
        <v>1292</v>
      </c>
      <c r="J1525">
        <v>14</v>
      </c>
      <c r="K1525">
        <v>8</v>
      </c>
      <c r="L1525">
        <v>4</v>
      </c>
      <c r="M1525" t="s">
        <v>25</v>
      </c>
      <c r="N1525">
        <v>4</v>
      </c>
      <c r="O1525">
        <v>3</v>
      </c>
      <c r="P1525">
        <v>30</v>
      </c>
      <c r="Q1525">
        <v>4</v>
      </c>
      <c r="R1525">
        <v>4</v>
      </c>
      <c r="S1525" t="s">
        <v>25</v>
      </c>
    </row>
    <row r="1526" spans="1:19" x14ac:dyDescent="0.25">
      <c r="A1526">
        <v>11525</v>
      </c>
      <c r="B1526">
        <v>20</v>
      </c>
      <c r="C1526" t="s">
        <v>19</v>
      </c>
      <c r="D1526" t="s">
        <v>20</v>
      </c>
      <c r="E1526" t="s">
        <v>27</v>
      </c>
      <c r="F1526" t="s">
        <v>39</v>
      </c>
      <c r="G1526" t="s">
        <v>30</v>
      </c>
      <c r="H1526">
        <v>87341</v>
      </c>
      <c r="I1526">
        <v>3915</v>
      </c>
      <c r="J1526">
        <v>4</v>
      </c>
      <c r="K1526">
        <v>12</v>
      </c>
      <c r="L1526">
        <v>4</v>
      </c>
      <c r="M1526" t="s">
        <v>25</v>
      </c>
      <c r="N1526">
        <v>1</v>
      </c>
      <c r="O1526">
        <v>5</v>
      </c>
      <c r="P1526">
        <v>39</v>
      </c>
      <c r="Q1526">
        <v>3</v>
      </c>
      <c r="R1526">
        <v>4</v>
      </c>
      <c r="S1526" t="s">
        <v>25</v>
      </c>
    </row>
    <row r="1527" spans="1:19" x14ac:dyDescent="0.25">
      <c r="A1527">
        <v>11526</v>
      </c>
      <c r="B1527">
        <v>27</v>
      </c>
      <c r="C1527" t="s">
        <v>31</v>
      </c>
      <c r="D1527" t="s">
        <v>41</v>
      </c>
      <c r="E1527" t="s">
        <v>33</v>
      </c>
      <c r="F1527" t="s">
        <v>35</v>
      </c>
      <c r="G1527" t="s">
        <v>30</v>
      </c>
      <c r="H1527">
        <v>40113</v>
      </c>
      <c r="I1527">
        <v>46550</v>
      </c>
      <c r="J1527">
        <v>7</v>
      </c>
      <c r="K1527">
        <v>4</v>
      </c>
      <c r="L1527">
        <v>3</v>
      </c>
      <c r="M1527" t="s">
        <v>24</v>
      </c>
      <c r="N1527">
        <v>3</v>
      </c>
      <c r="O1527">
        <v>30</v>
      </c>
      <c r="P1527">
        <v>8</v>
      </c>
      <c r="Q1527">
        <v>2</v>
      </c>
      <c r="R1527">
        <v>1</v>
      </c>
      <c r="S1527" t="s">
        <v>25</v>
      </c>
    </row>
    <row r="1528" spans="1:19" x14ac:dyDescent="0.25">
      <c r="A1528">
        <v>11527</v>
      </c>
      <c r="B1528">
        <v>23</v>
      </c>
      <c r="C1528" t="s">
        <v>19</v>
      </c>
      <c r="D1528" t="s">
        <v>41</v>
      </c>
      <c r="E1528" t="s">
        <v>33</v>
      </c>
      <c r="F1528" t="s">
        <v>39</v>
      </c>
      <c r="G1528" t="s">
        <v>38</v>
      </c>
      <c r="H1528">
        <v>38207</v>
      </c>
      <c r="I1528">
        <v>43463</v>
      </c>
      <c r="J1528">
        <v>17</v>
      </c>
      <c r="K1528">
        <v>4</v>
      </c>
      <c r="L1528">
        <v>3</v>
      </c>
      <c r="M1528" t="s">
        <v>25</v>
      </c>
      <c r="N1528">
        <v>3</v>
      </c>
      <c r="O1528">
        <v>28</v>
      </c>
      <c r="P1528">
        <v>25</v>
      </c>
      <c r="Q1528">
        <v>2</v>
      </c>
      <c r="R1528">
        <v>3</v>
      </c>
      <c r="S1528" t="s">
        <v>25</v>
      </c>
    </row>
    <row r="1529" spans="1:19" x14ac:dyDescent="0.25">
      <c r="A1529">
        <v>11528</v>
      </c>
      <c r="B1529">
        <v>45</v>
      </c>
      <c r="C1529" t="s">
        <v>31</v>
      </c>
      <c r="D1529" t="s">
        <v>28</v>
      </c>
      <c r="E1529" t="s">
        <v>33</v>
      </c>
      <c r="F1529" t="s">
        <v>39</v>
      </c>
      <c r="G1529" t="s">
        <v>38</v>
      </c>
      <c r="H1529">
        <v>37660</v>
      </c>
      <c r="I1529">
        <v>47880</v>
      </c>
      <c r="J1529">
        <v>2</v>
      </c>
      <c r="K1529">
        <v>3</v>
      </c>
      <c r="L1529">
        <v>3</v>
      </c>
      <c r="M1529" t="s">
        <v>25</v>
      </c>
      <c r="N1529">
        <v>4</v>
      </c>
      <c r="O1529">
        <v>21</v>
      </c>
      <c r="P1529">
        <v>26</v>
      </c>
      <c r="Q1529">
        <v>3</v>
      </c>
      <c r="R1529">
        <v>4</v>
      </c>
      <c r="S1529" t="s">
        <v>25</v>
      </c>
    </row>
    <row r="1530" spans="1:19" x14ac:dyDescent="0.25">
      <c r="A1530">
        <v>11529</v>
      </c>
      <c r="B1530">
        <v>56</v>
      </c>
      <c r="C1530" t="s">
        <v>19</v>
      </c>
      <c r="D1530" t="s">
        <v>20</v>
      </c>
      <c r="E1530" t="s">
        <v>36</v>
      </c>
      <c r="F1530" t="s">
        <v>35</v>
      </c>
      <c r="G1530" t="s">
        <v>30</v>
      </c>
      <c r="H1530">
        <v>67627</v>
      </c>
      <c r="I1530">
        <v>31649</v>
      </c>
      <c r="J1530">
        <v>16</v>
      </c>
      <c r="K1530">
        <v>4</v>
      </c>
      <c r="L1530">
        <v>4</v>
      </c>
      <c r="M1530" t="s">
        <v>25</v>
      </c>
      <c r="N1530">
        <v>2</v>
      </c>
      <c r="O1530">
        <v>8</v>
      </c>
      <c r="P1530">
        <v>29</v>
      </c>
      <c r="Q1530">
        <v>3</v>
      </c>
      <c r="R1530">
        <v>1</v>
      </c>
      <c r="S1530" t="s">
        <v>25</v>
      </c>
    </row>
    <row r="1531" spans="1:19" x14ac:dyDescent="0.25">
      <c r="A1531">
        <v>11530</v>
      </c>
      <c r="B1531">
        <v>39</v>
      </c>
      <c r="C1531" t="s">
        <v>31</v>
      </c>
      <c r="D1531" t="s">
        <v>41</v>
      </c>
      <c r="E1531" t="s">
        <v>36</v>
      </c>
      <c r="F1531" t="s">
        <v>35</v>
      </c>
      <c r="G1531" t="s">
        <v>30</v>
      </c>
      <c r="H1531">
        <v>54543</v>
      </c>
      <c r="I1531">
        <v>16937</v>
      </c>
      <c r="J1531">
        <v>19</v>
      </c>
      <c r="K1531">
        <v>4</v>
      </c>
      <c r="L1531">
        <v>2</v>
      </c>
      <c r="M1531" t="s">
        <v>25</v>
      </c>
      <c r="N1531">
        <v>1</v>
      </c>
      <c r="O1531">
        <v>7</v>
      </c>
      <c r="P1531">
        <v>6</v>
      </c>
      <c r="Q1531">
        <v>2</v>
      </c>
      <c r="R1531">
        <v>2</v>
      </c>
      <c r="S1531" t="s">
        <v>25</v>
      </c>
    </row>
    <row r="1532" spans="1:19" x14ac:dyDescent="0.25">
      <c r="A1532">
        <v>11531</v>
      </c>
      <c r="B1532">
        <v>52</v>
      </c>
      <c r="C1532" t="s">
        <v>19</v>
      </c>
      <c r="D1532" t="s">
        <v>41</v>
      </c>
      <c r="E1532" t="s">
        <v>21</v>
      </c>
      <c r="F1532" t="s">
        <v>35</v>
      </c>
      <c r="G1532" t="s">
        <v>38</v>
      </c>
      <c r="H1532">
        <v>127206</v>
      </c>
      <c r="I1532">
        <v>29378</v>
      </c>
      <c r="J1532">
        <v>15</v>
      </c>
      <c r="K1532">
        <v>9</v>
      </c>
      <c r="L1532">
        <v>3</v>
      </c>
      <c r="M1532" t="s">
        <v>24</v>
      </c>
      <c r="N1532">
        <v>3</v>
      </c>
      <c r="O1532">
        <v>16</v>
      </c>
      <c r="P1532">
        <v>8</v>
      </c>
      <c r="Q1532">
        <v>1</v>
      </c>
      <c r="R1532">
        <v>3</v>
      </c>
      <c r="S1532" t="s">
        <v>24</v>
      </c>
    </row>
    <row r="1533" spans="1:19" x14ac:dyDescent="0.25">
      <c r="A1533">
        <v>11532</v>
      </c>
      <c r="B1533">
        <v>26</v>
      </c>
      <c r="C1533" t="s">
        <v>19</v>
      </c>
      <c r="D1533" t="s">
        <v>20</v>
      </c>
      <c r="E1533" t="s">
        <v>21</v>
      </c>
      <c r="F1533" t="s">
        <v>39</v>
      </c>
      <c r="G1533" t="s">
        <v>30</v>
      </c>
      <c r="H1533">
        <v>97403</v>
      </c>
      <c r="I1533">
        <v>3138</v>
      </c>
      <c r="J1533">
        <v>15</v>
      </c>
      <c r="K1533">
        <v>13</v>
      </c>
      <c r="L1533">
        <v>3</v>
      </c>
      <c r="M1533" t="s">
        <v>24</v>
      </c>
      <c r="N1533">
        <v>3</v>
      </c>
      <c r="O1533">
        <v>12</v>
      </c>
      <c r="P1533">
        <v>58</v>
      </c>
      <c r="Q1533">
        <v>2</v>
      </c>
      <c r="R1533">
        <v>3</v>
      </c>
      <c r="S1533" t="s">
        <v>25</v>
      </c>
    </row>
    <row r="1534" spans="1:19" x14ac:dyDescent="0.25">
      <c r="A1534">
        <v>11533</v>
      </c>
      <c r="B1534">
        <v>38</v>
      </c>
      <c r="C1534" t="s">
        <v>31</v>
      </c>
      <c r="D1534" t="s">
        <v>20</v>
      </c>
      <c r="E1534" t="s">
        <v>33</v>
      </c>
      <c r="F1534" t="s">
        <v>39</v>
      </c>
      <c r="G1534" t="s">
        <v>30</v>
      </c>
      <c r="H1534">
        <v>44733</v>
      </c>
      <c r="I1534">
        <v>16210</v>
      </c>
      <c r="J1534">
        <v>13</v>
      </c>
      <c r="K1534">
        <v>1</v>
      </c>
      <c r="L1534">
        <v>2</v>
      </c>
      <c r="M1534" t="s">
        <v>24</v>
      </c>
      <c r="N1534">
        <v>4</v>
      </c>
      <c r="O1534">
        <v>5</v>
      </c>
      <c r="P1534">
        <v>12</v>
      </c>
      <c r="Q1534">
        <v>2</v>
      </c>
      <c r="R1534">
        <v>3</v>
      </c>
      <c r="S1534" t="s">
        <v>25</v>
      </c>
    </row>
    <row r="1535" spans="1:19" x14ac:dyDescent="0.25">
      <c r="A1535">
        <v>11534</v>
      </c>
      <c r="B1535">
        <v>42</v>
      </c>
      <c r="C1535" t="s">
        <v>31</v>
      </c>
      <c r="D1535" t="s">
        <v>28</v>
      </c>
      <c r="E1535" t="s">
        <v>36</v>
      </c>
      <c r="F1535" t="s">
        <v>22</v>
      </c>
      <c r="G1535" t="s">
        <v>38</v>
      </c>
      <c r="H1535">
        <v>47217</v>
      </c>
      <c r="I1535">
        <v>650</v>
      </c>
      <c r="J1535">
        <v>9</v>
      </c>
      <c r="K1535">
        <v>3</v>
      </c>
      <c r="L1535">
        <v>3</v>
      </c>
      <c r="M1535" t="s">
        <v>25</v>
      </c>
      <c r="N1535">
        <v>3</v>
      </c>
      <c r="O1535">
        <v>29</v>
      </c>
      <c r="P1535">
        <v>10</v>
      </c>
      <c r="Q1535">
        <v>2</v>
      </c>
      <c r="R1535">
        <v>3</v>
      </c>
      <c r="S1535" t="s">
        <v>25</v>
      </c>
    </row>
    <row r="1536" spans="1:19" x14ac:dyDescent="0.25">
      <c r="A1536">
        <v>11535</v>
      </c>
      <c r="B1536">
        <v>51</v>
      </c>
      <c r="C1536" t="s">
        <v>31</v>
      </c>
      <c r="D1536" t="s">
        <v>34</v>
      </c>
      <c r="E1536" t="s">
        <v>33</v>
      </c>
      <c r="F1536" t="s">
        <v>39</v>
      </c>
      <c r="G1536" t="s">
        <v>30</v>
      </c>
      <c r="H1536">
        <v>44288</v>
      </c>
      <c r="I1536">
        <v>6603</v>
      </c>
      <c r="J1536">
        <v>8</v>
      </c>
      <c r="K1536">
        <v>2</v>
      </c>
      <c r="L1536">
        <v>2</v>
      </c>
      <c r="M1536" t="s">
        <v>25</v>
      </c>
      <c r="N1536">
        <v>4</v>
      </c>
      <c r="O1536">
        <v>17</v>
      </c>
      <c r="P1536">
        <v>39</v>
      </c>
      <c r="Q1536">
        <v>1</v>
      </c>
      <c r="R1536">
        <v>3</v>
      </c>
      <c r="S1536" t="s">
        <v>25</v>
      </c>
    </row>
    <row r="1537" spans="1:19" x14ac:dyDescent="0.25">
      <c r="A1537">
        <v>11536</v>
      </c>
      <c r="B1537">
        <v>32</v>
      </c>
      <c r="C1537" t="s">
        <v>31</v>
      </c>
      <c r="D1537" t="s">
        <v>20</v>
      </c>
      <c r="E1537" t="s">
        <v>33</v>
      </c>
      <c r="F1537" t="s">
        <v>39</v>
      </c>
      <c r="G1537" t="s">
        <v>38</v>
      </c>
      <c r="H1537">
        <v>39884</v>
      </c>
      <c r="I1537">
        <v>8896</v>
      </c>
      <c r="J1537">
        <v>16</v>
      </c>
      <c r="K1537">
        <v>3</v>
      </c>
      <c r="L1537">
        <v>5</v>
      </c>
      <c r="M1537" t="s">
        <v>25</v>
      </c>
      <c r="N1537">
        <v>3</v>
      </c>
      <c r="O1537">
        <v>25</v>
      </c>
      <c r="P1537">
        <v>29</v>
      </c>
      <c r="Q1537">
        <v>2</v>
      </c>
      <c r="R1537">
        <v>3</v>
      </c>
      <c r="S1537" t="s">
        <v>25</v>
      </c>
    </row>
    <row r="1538" spans="1:19" x14ac:dyDescent="0.25">
      <c r="A1538">
        <v>11537</v>
      </c>
      <c r="B1538">
        <v>22</v>
      </c>
      <c r="C1538" t="s">
        <v>31</v>
      </c>
      <c r="D1538" t="s">
        <v>41</v>
      </c>
      <c r="E1538" t="s">
        <v>27</v>
      </c>
      <c r="F1538" t="s">
        <v>39</v>
      </c>
      <c r="G1538" t="s">
        <v>38</v>
      </c>
      <c r="H1538">
        <v>69457</v>
      </c>
      <c r="I1538">
        <v>20232</v>
      </c>
      <c r="J1538">
        <v>7</v>
      </c>
      <c r="K1538">
        <v>6</v>
      </c>
      <c r="L1538">
        <v>2</v>
      </c>
      <c r="M1538" t="s">
        <v>25</v>
      </c>
      <c r="N1538">
        <v>4</v>
      </c>
      <c r="O1538">
        <v>4</v>
      </c>
      <c r="P1538">
        <v>8</v>
      </c>
      <c r="Q1538">
        <v>3</v>
      </c>
      <c r="R1538">
        <v>4</v>
      </c>
      <c r="S1538" t="s">
        <v>25</v>
      </c>
    </row>
    <row r="1539" spans="1:19" x14ac:dyDescent="0.25">
      <c r="A1539">
        <v>11538</v>
      </c>
      <c r="B1539">
        <v>52</v>
      </c>
      <c r="C1539" t="s">
        <v>31</v>
      </c>
      <c r="D1539" t="s">
        <v>34</v>
      </c>
      <c r="E1539" t="s">
        <v>33</v>
      </c>
      <c r="F1539" t="s">
        <v>39</v>
      </c>
      <c r="G1539" t="s">
        <v>30</v>
      </c>
      <c r="H1539">
        <v>28140</v>
      </c>
      <c r="I1539">
        <v>29114</v>
      </c>
      <c r="J1539">
        <v>23</v>
      </c>
      <c r="K1539">
        <v>2</v>
      </c>
      <c r="L1539">
        <v>4</v>
      </c>
      <c r="M1539" t="s">
        <v>25</v>
      </c>
      <c r="N1539">
        <v>4</v>
      </c>
      <c r="O1539">
        <v>4</v>
      </c>
      <c r="P1539">
        <v>47</v>
      </c>
      <c r="Q1539">
        <v>3</v>
      </c>
      <c r="R1539">
        <v>3</v>
      </c>
      <c r="S1539" t="s">
        <v>25</v>
      </c>
    </row>
    <row r="1540" spans="1:19" x14ac:dyDescent="0.25">
      <c r="A1540">
        <v>11539</v>
      </c>
      <c r="B1540">
        <v>48</v>
      </c>
      <c r="C1540" t="s">
        <v>19</v>
      </c>
      <c r="D1540" t="s">
        <v>20</v>
      </c>
      <c r="E1540" t="s">
        <v>33</v>
      </c>
      <c r="F1540" t="s">
        <v>39</v>
      </c>
      <c r="G1540" t="s">
        <v>38</v>
      </c>
      <c r="H1540">
        <v>43459</v>
      </c>
      <c r="I1540">
        <v>2078</v>
      </c>
      <c r="J1540">
        <v>14</v>
      </c>
      <c r="K1540">
        <v>14</v>
      </c>
      <c r="L1540">
        <v>5</v>
      </c>
      <c r="M1540" t="s">
        <v>25</v>
      </c>
      <c r="N1540">
        <v>2</v>
      </c>
      <c r="O1540">
        <v>5</v>
      </c>
      <c r="P1540">
        <v>52</v>
      </c>
      <c r="Q1540">
        <v>4</v>
      </c>
      <c r="R1540">
        <v>4</v>
      </c>
      <c r="S1540" t="s">
        <v>25</v>
      </c>
    </row>
    <row r="1541" spans="1:19" x14ac:dyDescent="0.25">
      <c r="A1541">
        <v>11540</v>
      </c>
      <c r="B1541">
        <v>41</v>
      </c>
      <c r="C1541" t="s">
        <v>31</v>
      </c>
      <c r="D1541" t="s">
        <v>20</v>
      </c>
      <c r="E1541" t="s">
        <v>36</v>
      </c>
      <c r="F1541" t="s">
        <v>39</v>
      </c>
      <c r="G1541" t="s">
        <v>30</v>
      </c>
      <c r="H1541">
        <v>46029</v>
      </c>
      <c r="I1541">
        <v>46014</v>
      </c>
      <c r="J1541">
        <v>19</v>
      </c>
      <c r="K1541">
        <v>3</v>
      </c>
      <c r="L1541">
        <v>4</v>
      </c>
      <c r="M1541" t="s">
        <v>25</v>
      </c>
      <c r="N1541">
        <v>2</v>
      </c>
      <c r="O1541">
        <v>12</v>
      </c>
      <c r="P1541">
        <v>35</v>
      </c>
      <c r="Q1541">
        <v>4</v>
      </c>
      <c r="R1541">
        <v>3</v>
      </c>
      <c r="S1541" t="s">
        <v>25</v>
      </c>
    </row>
    <row r="1542" spans="1:19" x14ac:dyDescent="0.25">
      <c r="A1542">
        <v>11541</v>
      </c>
      <c r="B1542">
        <v>41</v>
      </c>
      <c r="C1542" t="s">
        <v>19</v>
      </c>
      <c r="D1542" t="s">
        <v>32</v>
      </c>
      <c r="E1542" t="s">
        <v>36</v>
      </c>
      <c r="F1542" t="s">
        <v>39</v>
      </c>
      <c r="G1542" t="s">
        <v>30</v>
      </c>
      <c r="H1542">
        <v>66471</v>
      </c>
      <c r="I1542">
        <v>11559</v>
      </c>
      <c r="J1542">
        <v>16</v>
      </c>
      <c r="K1542">
        <v>8</v>
      </c>
      <c r="L1542">
        <v>5</v>
      </c>
      <c r="M1542" t="s">
        <v>24</v>
      </c>
      <c r="N1542">
        <v>4</v>
      </c>
      <c r="O1542">
        <v>20</v>
      </c>
      <c r="P1542">
        <v>38</v>
      </c>
      <c r="Q1542">
        <v>3</v>
      </c>
      <c r="R1542">
        <v>4</v>
      </c>
      <c r="S1542" t="s">
        <v>25</v>
      </c>
    </row>
    <row r="1543" spans="1:19" x14ac:dyDescent="0.25">
      <c r="A1543">
        <v>11542</v>
      </c>
      <c r="B1543">
        <v>51</v>
      </c>
      <c r="C1543" t="s">
        <v>31</v>
      </c>
      <c r="D1543" t="s">
        <v>41</v>
      </c>
      <c r="E1543" t="s">
        <v>40</v>
      </c>
      <c r="F1543" t="s">
        <v>35</v>
      </c>
      <c r="G1543" t="s">
        <v>23</v>
      </c>
      <c r="H1543">
        <v>13584</v>
      </c>
      <c r="I1543">
        <v>39006</v>
      </c>
      <c r="J1543">
        <v>12</v>
      </c>
      <c r="K1543">
        <v>12</v>
      </c>
      <c r="L1543">
        <v>4</v>
      </c>
      <c r="M1543" t="s">
        <v>25</v>
      </c>
      <c r="N1543">
        <v>3</v>
      </c>
      <c r="O1543">
        <v>29</v>
      </c>
      <c r="P1543">
        <v>34</v>
      </c>
      <c r="Q1543">
        <v>3</v>
      </c>
      <c r="R1543">
        <v>1</v>
      </c>
      <c r="S1543" t="s">
        <v>25</v>
      </c>
    </row>
    <row r="1544" spans="1:19" x14ac:dyDescent="0.25">
      <c r="A1544">
        <v>11543</v>
      </c>
      <c r="B1544">
        <v>51</v>
      </c>
      <c r="C1544" t="s">
        <v>19</v>
      </c>
      <c r="D1544" t="s">
        <v>32</v>
      </c>
      <c r="E1544" t="s">
        <v>36</v>
      </c>
      <c r="F1544" t="s">
        <v>39</v>
      </c>
      <c r="G1544" t="s">
        <v>38</v>
      </c>
      <c r="H1544">
        <v>62290</v>
      </c>
      <c r="I1544">
        <v>49944</v>
      </c>
      <c r="J1544">
        <v>7</v>
      </c>
      <c r="K1544">
        <v>3</v>
      </c>
      <c r="L1544">
        <v>2</v>
      </c>
      <c r="M1544" t="s">
        <v>25</v>
      </c>
      <c r="N1544">
        <v>3</v>
      </c>
      <c r="O1544">
        <v>2</v>
      </c>
      <c r="P1544">
        <v>21</v>
      </c>
      <c r="Q1544">
        <v>4</v>
      </c>
      <c r="R1544">
        <v>3</v>
      </c>
      <c r="S1544" t="s">
        <v>25</v>
      </c>
    </row>
    <row r="1545" spans="1:19" x14ac:dyDescent="0.25">
      <c r="A1545">
        <v>11544</v>
      </c>
      <c r="B1545">
        <v>33</v>
      </c>
      <c r="C1545" t="s">
        <v>19</v>
      </c>
      <c r="D1545" t="s">
        <v>20</v>
      </c>
      <c r="E1545" t="s">
        <v>27</v>
      </c>
      <c r="F1545" t="s">
        <v>39</v>
      </c>
      <c r="G1545" t="s">
        <v>30</v>
      </c>
      <c r="H1545">
        <v>79699</v>
      </c>
      <c r="I1545">
        <v>44597</v>
      </c>
      <c r="J1545">
        <v>12</v>
      </c>
      <c r="K1545">
        <v>11</v>
      </c>
      <c r="L1545">
        <v>3</v>
      </c>
      <c r="M1545" t="s">
        <v>25</v>
      </c>
      <c r="N1545">
        <v>3</v>
      </c>
      <c r="O1545">
        <v>30</v>
      </c>
      <c r="P1545">
        <v>27</v>
      </c>
      <c r="Q1545">
        <v>4</v>
      </c>
      <c r="R1545">
        <v>3</v>
      </c>
      <c r="S1545" t="s">
        <v>25</v>
      </c>
    </row>
    <row r="1546" spans="1:19" x14ac:dyDescent="0.25">
      <c r="A1546">
        <v>11545</v>
      </c>
      <c r="B1546">
        <v>37</v>
      </c>
      <c r="C1546" t="s">
        <v>19</v>
      </c>
      <c r="D1546" t="s">
        <v>20</v>
      </c>
      <c r="E1546" t="s">
        <v>29</v>
      </c>
      <c r="F1546" t="s">
        <v>35</v>
      </c>
      <c r="G1546" t="s">
        <v>38</v>
      </c>
      <c r="H1546">
        <v>159984</v>
      </c>
      <c r="I1546">
        <v>12152</v>
      </c>
      <c r="J1546">
        <v>23</v>
      </c>
      <c r="K1546">
        <v>3</v>
      </c>
      <c r="L1546">
        <v>3</v>
      </c>
      <c r="M1546" t="s">
        <v>25</v>
      </c>
      <c r="N1546">
        <v>4</v>
      </c>
      <c r="O1546">
        <v>30</v>
      </c>
      <c r="P1546">
        <v>26</v>
      </c>
      <c r="Q1546">
        <v>3</v>
      </c>
      <c r="R1546">
        <v>3</v>
      </c>
      <c r="S1546" t="s">
        <v>25</v>
      </c>
    </row>
    <row r="1547" spans="1:19" x14ac:dyDescent="0.25">
      <c r="A1547">
        <v>11546</v>
      </c>
      <c r="B1547">
        <v>45</v>
      </c>
      <c r="C1547" t="s">
        <v>19</v>
      </c>
      <c r="D1547" t="s">
        <v>32</v>
      </c>
      <c r="E1547" t="s">
        <v>33</v>
      </c>
      <c r="F1547" t="s">
        <v>37</v>
      </c>
      <c r="G1547" t="s">
        <v>38</v>
      </c>
      <c r="H1547">
        <v>36432</v>
      </c>
      <c r="I1547">
        <v>8099</v>
      </c>
      <c r="J1547">
        <v>1</v>
      </c>
      <c r="K1547">
        <v>11</v>
      </c>
      <c r="L1547">
        <v>3</v>
      </c>
      <c r="M1547" t="s">
        <v>25</v>
      </c>
      <c r="N1547">
        <v>3</v>
      </c>
      <c r="O1547">
        <v>35</v>
      </c>
      <c r="P1547">
        <v>26</v>
      </c>
      <c r="Q1547">
        <v>4</v>
      </c>
      <c r="R1547">
        <v>4</v>
      </c>
      <c r="S1547" t="s">
        <v>25</v>
      </c>
    </row>
    <row r="1548" spans="1:19" x14ac:dyDescent="0.25">
      <c r="A1548">
        <v>11547</v>
      </c>
      <c r="B1548">
        <v>40</v>
      </c>
      <c r="C1548" t="s">
        <v>31</v>
      </c>
      <c r="D1548" t="s">
        <v>20</v>
      </c>
      <c r="E1548" t="s">
        <v>33</v>
      </c>
      <c r="F1548" t="s">
        <v>22</v>
      </c>
      <c r="G1548" t="s">
        <v>38</v>
      </c>
      <c r="H1548">
        <v>32834</v>
      </c>
      <c r="I1548">
        <v>28675</v>
      </c>
      <c r="J1548">
        <v>4</v>
      </c>
      <c r="K1548">
        <v>14</v>
      </c>
      <c r="L1548">
        <v>4</v>
      </c>
      <c r="M1548" t="s">
        <v>25</v>
      </c>
      <c r="N1548">
        <v>3</v>
      </c>
      <c r="O1548">
        <v>4</v>
      </c>
      <c r="P1548">
        <v>15</v>
      </c>
      <c r="Q1548">
        <v>4</v>
      </c>
      <c r="R1548">
        <v>3</v>
      </c>
      <c r="S1548" t="s">
        <v>25</v>
      </c>
    </row>
    <row r="1549" spans="1:19" x14ac:dyDescent="0.25">
      <c r="A1549">
        <v>11548</v>
      </c>
      <c r="B1549">
        <v>43</v>
      </c>
      <c r="C1549" t="s">
        <v>19</v>
      </c>
      <c r="D1549" t="s">
        <v>20</v>
      </c>
      <c r="E1549" t="s">
        <v>29</v>
      </c>
      <c r="F1549" t="s">
        <v>39</v>
      </c>
      <c r="G1549" t="s">
        <v>30</v>
      </c>
      <c r="H1549">
        <v>179330</v>
      </c>
      <c r="I1549">
        <v>4438</v>
      </c>
      <c r="J1549">
        <v>13</v>
      </c>
      <c r="K1549">
        <v>10</v>
      </c>
      <c r="L1549">
        <v>3</v>
      </c>
      <c r="M1549" t="s">
        <v>25</v>
      </c>
      <c r="N1549">
        <v>1</v>
      </c>
      <c r="O1549">
        <v>13</v>
      </c>
      <c r="P1549">
        <v>10</v>
      </c>
      <c r="Q1549">
        <v>4</v>
      </c>
      <c r="R1549">
        <v>3</v>
      </c>
      <c r="S1549" t="s">
        <v>25</v>
      </c>
    </row>
    <row r="1550" spans="1:19" x14ac:dyDescent="0.25">
      <c r="A1550">
        <v>11549</v>
      </c>
      <c r="B1550">
        <v>28</v>
      </c>
      <c r="C1550" t="s">
        <v>19</v>
      </c>
      <c r="D1550" t="s">
        <v>20</v>
      </c>
      <c r="E1550" t="s">
        <v>27</v>
      </c>
      <c r="F1550" t="s">
        <v>35</v>
      </c>
      <c r="G1550" t="s">
        <v>30</v>
      </c>
      <c r="H1550">
        <v>70673</v>
      </c>
      <c r="I1550">
        <v>7763</v>
      </c>
      <c r="J1550">
        <v>16</v>
      </c>
      <c r="K1550">
        <v>12</v>
      </c>
      <c r="L1550">
        <v>5</v>
      </c>
      <c r="M1550" t="s">
        <v>24</v>
      </c>
      <c r="N1550">
        <v>2</v>
      </c>
      <c r="O1550">
        <v>9</v>
      </c>
      <c r="P1550">
        <v>7</v>
      </c>
      <c r="Q1550">
        <v>3</v>
      </c>
      <c r="R1550">
        <v>3</v>
      </c>
      <c r="S1550" t="s">
        <v>25</v>
      </c>
    </row>
    <row r="1551" spans="1:19" x14ac:dyDescent="0.25">
      <c r="A1551">
        <v>11550</v>
      </c>
      <c r="B1551">
        <v>25</v>
      </c>
      <c r="C1551" t="s">
        <v>31</v>
      </c>
      <c r="D1551" t="s">
        <v>32</v>
      </c>
      <c r="E1551" t="s">
        <v>27</v>
      </c>
      <c r="F1551" t="s">
        <v>35</v>
      </c>
      <c r="G1551" t="s">
        <v>30</v>
      </c>
      <c r="H1551">
        <v>64433</v>
      </c>
      <c r="I1551">
        <v>47418</v>
      </c>
      <c r="J1551">
        <v>5</v>
      </c>
      <c r="K1551">
        <v>5</v>
      </c>
      <c r="L1551">
        <v>1</v>
      </c>
      <c r="M1551" t="s">
        <v>25</v>
      </c>
      <c r="N1551">
        <v>3</v>
      </c>
      <c r="O1551">
        <v>1</v>
      </c>
      <c r="P1551">
        <v>20</v>
      </c>
      <c r="Q1551">
        <v>2</v>
      </c>
      <c r="R1551">
        <v>3</v>
      </c>
      <c r="S1551" t="s">
        <v>25</v>
      </c>
    </row>
    <row r="1552" spans="1:19" x14ac:dyDescent="0.25">
      <c r="A1552">
        <v>11551</v>
      </c>
      <c r="B1552">
        <v>45</v>
      </c>
      <c r="C1552" t="s">
        <v>31</v>
      </c>
      <c r="D1552" t="s">
        <v>26</v>
      </c>
      <c r="E1552" t="s">
        <v>33</v>
      </c>
      <c r="F1552" t="s">
        <v>35</v>
      </c>
      <c r="G1552" t="s">
        <v>38</v>
      </c>
      <c r="H1552">
        <v>37774</v>
      </c>
      <c r="I1552">
        <v>34392</v>
      </c>
      <c r="J1552">
        <v>0</v>
      </c>
      <c r="K1552">
        <v>13</v>
      </c>
      <c r="L1552">
        <v>3</v>
      </c>
      <c r="M1552" t="s">
        <v>25</v>
      </c>
      <c r="N1552">
        <v>1</v>
      </c>
      <c r="O1552">
        <v>31</v>
      </c>
      <c r="P1552">
        <v>59</v>
      </c>
      <c r="Q1552">
        <v>2</v>
      </c>
      <c r="R1552">
        <v>1</v>
      </c>
      <c r="S1552" t="s">
        <v>24</v>
      </c>
    </row>
    <row r="1553" spans="1:19" x14ac:dyDescent="0.25">
      <c r="A1553">
        <v>11552</v>
      </c>
      <c r="B1553">
        <v>27</v>
      </c>
      <c r="C1553" t="s">
        <v>19</v>
      </c>
      <c r="D1553" t="s">
        <v>41</v>
      </c>
      <c r="E1553" t="s">
        <v>33</v>
      </c>
      <c r="F1553" t="s">
        <v>37</v>
      </c>
      <c r="G1553" t="s">
        <v>38</v>
      </c>
      <c r="H1553">
        <v>31254</v>
      </c>
      <c r="I1553">
        <v>13761</v>
      </c>
      <c r="J1553">
        <v>22</v>
      </c>
      <c r="K1553">
        <v>7</v>
      </c>
      <c r="L1553">
        <v>3</v>
      </c>
      <c r="M1553" t="s">
        <v>24</v>
      </c>
      <c r="N1553">
        <v>3</v>
      </c>
      <c r="O1553">
        <v>17</v>
      </c>
      <c r="P1553">
        <v>36</v>
      </c>
      <c r="Q1553">
        <v>4</v>
      </c>
      <c r="R1553">
        <v>3</v>
      </c>
      <c r="S1553" t="s">
        <v>24</v>
      </c>
    </row>
    <row r="1554" spans="1:19" x14ac:dyDescent="0.25">
      <c r="A1554">
        <v>11553</v>
      </c>
      <c r="B1554">
        <v>55</v>
      </c>
      <c r="C1554" t="s">
        <v>31</v>
      </c>
      <c r="D1554" t="s">
        <v>20</v>
      </c>
      <c r="E1554" t="s">
        <v>36</v>
      </c>
      <c r="F1554" t="s">
        <v>35</v>
      </c>
      <c r="G1554" t="s">
        <v>38</v>
      </c>
      <c r="H1554">
        <v>56954</v>
      </c>
      <c r="I1554">
        <v>12133</v>
      </c>
      <c r="J1554">
        <v>10</v>
      </c>
      <c r="K1554">
        <v>7</v>
      </c>
      <c r="L1554">
        <v>2</v>
      </c>
      <c r="M1554" t="s">
        <v>24</v>
      </c>
      <c r="N1554">
        <v>2</v>
      </c>
      <c r="O1554">
        <v>21</v>
      </c>
      <c r="P1554">
        <v>38</v>
      </c>
      <c r="Q1554">
        <v>1</v>
      </c>
      <c r="R1554">
        <v>3</v>
      </c>
      <c r="S1554" t="s">
        <v>25</v>
      </c>
    </row>
    <row r="1555" spans="1:19" x14ac:dyDescent="0.25">
      <c r="A1555">
        <v>11554</v>
      </c>
      <c r="B1555">
        <v>52</v>
      </c>
      <c r="C1555" t="s">
        <v>19</v>
      </c>
      <c r="D1555" t="s">
        <v>20</v>
      </c>
      <c r="E1555" t="s">
        <v>33</v>
      </c>
      <c r="F1555" t="s">
        <v>22</v>
      </c>
      <c r="G1555" t="s">
        <v>30</v>
      </c>
      <c r="H1555">
        <v>40763</v>
      </c>
      <c r="I1555">
        <v>21167</v>
      </c>
      <c r="J1555">
        <v>15</v>
      </c>
      <c r="K1555">
        <v>14</v>
      </c>
      <c r="L1555">
        <v>3</v>
      </c>
      <c r="M1555" t="s">
        <v>25</v>
      </c>
      <c r="N1555">
        <v>3</v>
      </c>
      <c r="O1555">
        <v>7</v>
      </c>
      <c r="P1555">
        <v>46</v>
      </c>
      <c r="Q1555">
        <v>4</v>
      </c>
      <c r="R1555">
        <v>3</v>
      </c>
      <c r="S1555" t="s">
        <v>25</v>
      </c>
    </row>
    <row r="1556" spans="1:19" x14ac:dyDescent="0.25">
      <c r="A1556">
        <v>11555</v>
      </c>
      <c r="B1556">
        <v>37</v>
      </c>
      <c r="C1556" t="s">
        <v>19</v>
      </c>
      <c r="D1556" t="s">
        <v>28</v>
      </c>
      <c r="E1556" t="s">
        <v>36</v>
      </c>
      <c r="F1556" t="s">
        <v>39</v>
      </c>
      <c r="G1556" t="s">
        <v>30</v>
      </c>
      <c r="H1556">
        <v>63318</v>
      </c>
      <c r="I1556">
        <v>46742</v>
      </c>
      <c r="J1556">
        <v>23</v>
      </c>
      <c r="K1556">
        <v>12</v>
      </c>
      <c r="L1556">
        <v>3</v>
      </c>
      <c r="M1556" t="s">
        <v>24</v>
      </c>
      <c r="N1556">
        <v>1</v>
      </c>
      <c r="O1556">
        <v>32</v>
      </c>
      <c r="P1556">
        <v>47</v>
      </c>
      <c r="Q1556">
        <v>1</v>
      </c>
      <c r="R1556">
        <v>3</v>
      </c>
      <c r="S1556" t="s">
        <v>24</v>
      </c>
    </row>
    <row r="1557" spans="1:19" x14ac:dyDescent="0.25">
      <c r="A1557">
        <v>11556</v>
      </c>
      <c r="B1557">
        <v>36</v>
      </c>
      <c r="C1557" t="s">
        <v>31</v>
      </c>
      <c r="D1557" t="s">
        <v>32</v>
      </c>
      <c r="E1557" t="s">
        <v>36</v>
      </c>
      <c r="F1557" t="s">
        <v>39</v>
      </c>
      <c r="G1557" t="s">
        <v>30</v>
      </c>
      <c r="H1557">
        <v>62073</v>
      </c>
      <c r="I1557">
        <v>47417</v>
      </c>
      <c r="J1557">
        <v>22</v>
      </c>
      <c r="K1557">
        <v>4</v>
      </c>
      <c r="L1557">
        <v>3</v>
      </c>
      <c r="M1557" t="s">
        <v>24</v>
      </c>
      <c r="N1557">
        <v>3</v>
      </c>
      <c r="O1557">
        <v>28</v>
      </c>
      <c r="P1557">
        <v>36</v>
      </c>
      <c r="Q1557">
        <v>4</v>
      </c>
      <c r="R1557">
        <v>3</v>
      </c>
      <c r="S1557" t="s">
        <v>25</v>
      </c>
    </row>
    <row r="1558" spans="1:19" x14ac:dyDescent="0.25">
      <c r="A1558">
        <v>11557</v>
      </c>
      <c r="B1558">
        <v>37</v>
      </c>
      <c r="C1558" t="s">
        <v>31</v>
      </c>
      <c r="D1558" t="s">
        <v>34</v>
      </c>
      <c r="E1558" t="s">
        <v>40</v>
      </c>
      <c r="F1558" t="s">
        <v>37</v>
      </c>
      <c r="G1558" t="s">
        <v>30</v>
      </c>
      <c r="H1558">
        <v>19901</v>
      </c>
      <c r="I1558">
        <v>7643</v>
      </c>
      <c r="J1558">
        <v>17</v>
      </c>
      <c r="K1558">
        <v>12</v>
      </c>
      <c r="L1558">
        <v>4</v>
      </c>
      <c r="M1558" t="s">
        <v>25</v>
      </c>
      <c r="N1558">
        <v>3</v>
      </c>
      <c r="O1558">
        <v>12</v>
      </c>
      <c r="P1558">
        <v>26</v>
      </c>
      <c r="Q1558">
        <v>2</v>
      </c>
      <c r="R1558">
        <v>2</v>
      </c>
      <c r="S1558" t="s">
        <v>25</v>
      </c>
    </row>
    <row r="1559" spans="1:19" x14ac:dyDescent="0.25">
      <c r="A1559">
        <v>11558</v>
      </c>
      <c r="B1559">
        <v>51</v>
      </c>
      <c r="C1559" t="s">
        <v>19</v>
      </c>
      <c r="D1559" t="s">
        <v>20</v>
      </c>
      <c r="E1559" t="s">
        <v>33</v>
      </c>
      <c r="F1559" t="s">
        <v>35</v>
      </c>
      <c r="G1559" t="s">
        <v>30</v>
      </c>
      <c r="H1559">
        <v>35721</v>
      </c>
      <c r="I1559">
        <v>12888</v>
      </c>
      <c r="J1559">
        <v>20</v>
      </c>
      <c r="K1559">
        <v>13</v>
      </c>
      <c r="L1559">
        <v>3</v>
      </c>
      <c r="M1559" t="s">
        <v>25</v>
      </c>
      <c r="N1559">
        <v>2</v>
      </c>
      <c r="O1559">
        <v>24</v>
      </c>
      <c r="P1559">
        <v>42</v>
      </c>
      <c r="Q1559">
        <v>4</v>
      </c>
      <c r="R1559">
        <v>1</v>
      </c>
      <c r="S1559" t="s">
        <v>25</v>
      </c>
    </row>
    <row r="1560" spans="1:19" x14ac:dyDescent="0.25">
      <c r="A1560">
        <v>11559</v>
      </c>
      <c r="B1560">
        <v>43</v>
      </c>
      <c r="C1560" t="s">
        <v>19</v>
      </c>
      <c r="D1560" t="s">
        <v>26</v>
      </c>
      <c r="E1560" t="s">
        <v>21</v>
      </c>
      <c r="F1560" t="s">
        <v>39</v>
      </c>
      <c r="G1560" t="s">
        <v>38</v>
      </c>
      <c r="H1560">
        <v>112349</v>
      </c>
      <c r="I1560">
        <v>2382</v>
      </c>
      <c r="J1560">
        <v>16</v>
      </c>
      <c r="K1560">
        <v>2</v>
      </c>
      <c r="L1560">
        <v>2</v>
      </c>
      <c r="M1560" t="s">
        <v>25</v>
      </c>
      <c r="N1560">
        <v>4</v>
      </c>
      <c r="O1560">
        <v>9</v>
      </c>
      <c r="P1560">
        <v>16</v>
      </c>
      <c r="Q1560">
        <v>3</v>
      </c>
      <c r="R1560">
        <v>3</v>
      </c>
      <c r="S1560" t="s">
        <v>25</v>
      </c>
    </row>
    <row r="1561" spans="1:19" x14ac:dyDescent="0.25">
      <c r="A1561">
        <v>11560</v>
      </c>
      <c r="B1561">
        <v>59</v>
      </c>
      <c r="C1561" t="s">
        <v>19</v>
      </c>
      <c r="D1561" t="s">
        <v>34</v>
      </c>
      <c r="E1561" t="s">
        <v>36</v>
      </c>
      <c r="F1561" t="s">
        <v>22</v>
      </c>
      <c r="G1561" t="s">
        <v>30</v>
      </c>
      <c r="H1561">
        <v>59150</v>
      </c>
      <c r="I1561">
        <v>983</v>
      </c>
      <c r="J1561">
        <v>14</v>
      </c>
      <c r="K1561">
        <v>10</v>
      </c>
      <c r="L1561">
        <v>3</v>
      </c>
      <c r="M1561" t="s">
        <v>24</v>
      </c>
      <c r="N1561">
        <v>4</v>
      </c>
      <c r="O1561">
        <v>6</v>
      </c>
      <c r="P1561">
        <v>25</v>
      </c>
      <c r="Q1561">
        <v>4</v>
      </c>
      <c r="R1561">
        <v>4</v>
      </c>
      <c r="S1561" t="s">
        <v>25</v>
      </c>
    </row>
    <row r="1562" spans="1:19" x14ac:dyDescent="0.25">
      <c r="A1562">
        <v>11561</v>
      </c>
      <c r="B1562">
        <v>56</v>
      </c>
      <c r="C1562" t="s">
        <v>19</v>
      </c>
      <c r="D1562" t="s">
        <v>41</v>
      </c>
      <c r="E1562" t="s">
        <v>33</v>
      </c>
      <c r="F1562" t="s">
        <v>35</v>
      </c>
      <c r="G1562" t="s">
        <v>38</v>
      </c>
      <c r="H1562">
        <v>37970</v>
      </c>
      <c r="I1562">
        <v>23652</v>
      </c>
      <c r="J1562">
        <v>21</v>
      </c>
      <c r="K1562">
        <v>12</v>
      </c>
      <c r="L1562">
        <v>5</v>
      </c>
      <c r="M1562" t="s">
        <v>25</v>
      </c>
      <c r="N1562">
        <v>1</v>
      </c>
      <c r="O1562">
        <v>26</v>
      </c>
      <c r="P1562">
        <v>44</v>
      </c>
      <c r="Q1562">
        <v>4</v>
      </c>
      <c r="R1562">
        <v>3</v>
      </c>
      <c r="S1562" t="s">
        <v>25</v>
      </c>
    </row>
    <row r="1563" spans="1:19" x14ac:dyDescent="0.25">
      <c r="A1563">
        <v>11562</v>
      </c>
      <c r="B1563">
        <v>48</v>
      </c>
      <c r="C1563" t="s">
        <v>19</v>
      </c>
      <c r="D1563" t="s">
        <v>34</v>
      </c>
      <c r="E1563" t="s">
        <v>27</v>
      </c>
      <c r="F1563" t="s">
        <v>37</v>
      </c>
      <c r="G1563" t="s">
        <v>38</v>
      </c>
      <c r="H1563">
        <v>79404</v>
      </c>
      <c r="I1563">
        <v>49102</v>
      </c>
      <c r="J1563">
        <v>14</v>
      </c>
      <c r="K1563">
        <v>11</v>
      </c>
      <c r="L1563">
        <v>4</v>
      </c>
      <c r="M1563" t="s">
        <v>25</v>
      </c>
      <c r="N1563">
        <v>4</v>
      </c>
      <c r="O1563">
        <v>26</v>
      </c>
      <c r="P1563">
        <v>57</v>
      </c>
      <c r="Q1563">
        <v>1</v>
      </c>
      <c r="R1563">
        <v>3</v>
      </c>
      <c r="S1563" t="s">
        <v>25</v>
      </c>
    </row>
    <row r="1564" spans="1:19" x14ac:dyDescent="0.25">
      <c r="A1564">
        <v>11563</v>
      </c>
      <c r="B1564">
        <v>47</v>
      </c>
      <c r="C1564" t="s">
        <v>31</v>
      </c>
      <c r="D1564" t="s">
        <v>20</v>
      </c>
      <c r="E1564" t="s">
        <v>27</v>
      </c>
      <c r="F1564" t="s">
        <v>35</v>
      </c>
      <c r="G1564" t="s">
        <v>30</v>
      </c>
      <c r="H1564">
        <v>70740</v>
      </c>
      <c r="I1564">
        <v>44638</v>
      </c>
      <c r="J1564">
        <v>8</v>
      </c>
      <c r="K1564">
        <v>4</v>
      </c>
      <c r="L1564">
        <v>2</v>
      </c>
      <c r="M1564" t="s">
        <v>24</v>
      </c>
      <c r="N1564">
        <v>3</v>
      </c>
      <c r="O1564">
        <v>17</v>
      </c>
      <c r="P1564">
        <v>41</v>
      </c>
      <c r="Q1564">
        <v>4</v>
      </c>
      <c r="R1564">
        <v>4</v>
      </c>
      <c r="S1564" t="s">
        <v>25</v>
      </c>
    </row>
    <row r="1565" spans="1:19" x14ac:dyDescent="0.25">
      <c r="A1565">
        <v>11564</v>
      </c>
      <c r="B1565">
        <v>23</v>
      </c>
      <c r="C1565" t="s">
        <v>19</v>
      </c>
      <c r="D1565" t="s">
        <v>32</v>
      </c>
      <c r="E1565" t="s">
        <v>36</v>
      </c>
      <c r="F1565" t="s">
        <v>39</v>
      </c>
      <c r="G1565" t="s">
        <v>30</v>
      </c>
      <c r="H1565">
        <v>49717</v>
      </c>
      <c r="I1565">
        <v>47496</v>
      </c>
      <c r="J1565">
        <v>17</v>
      </c>
      <c r="K1565">
        <v>13</v>
      </c>
      <c r="L1565">
        <v>4</v>
      </c>
      <c r="M1565" t="s">
        <v>25</v>
      </c>
      <c r="N1565">
        <v>4</v>
      </c>
      <c r="O1565">
        <v>29</v>
      </c>
      <c r="P1565">
        <v>11</v>
      </c>
      <c r="Q1565">
        <v>2</v>
      </c>
      <c r="R1565">
        <v>3</v>
      </c>
      <c r="S1565" t="s">
        <v>25</v>
      </c>
    </row>
    <row r="1566" spans="1:19" x14ac:dyDescent="0.25">
      <c r="A1566">
        <v>11565</v>
      </c>
      <c r="B1566">
        <v>54</v>
      </c>
      <c r="C1566" t="s">
        <v>31</v>
      </c>
      <c r="D1566" t="s">
        <v>32</v>
      </c>
      <c r="E1566" t="s">
        <v>36</v>
      </c>
      <c r="F1566" t="s">
        <v>35</v>
      </c>
      <c r="G1566" t="s">
        <v>23</v>
      </c>
      <c r="H1566">
        <v>46026</v>
      </c>
      <c r="I1566">
        <v>29028</v>
      </c>
      <c r="J1566">
        <v>12</v>
      </c>
      <c r="K1566">
        <v>10</v>
      </c>
      <c r="L1566">
        <v>3</v>
      </c>
      <c r="M1566" t="s">
        <v>25</v>
      </c>
      <c r="N1566">
        <v>1</v>
      </c>
      <c r="O1566">
        <v>35</v>
      </c>
      <c r="P1566">
        <v>51</v>
      </c>
      <c r="Q1566">
        <v>3</v>
      </c>
      <c r="R1566">
        <v>3</v>
      </c>
      <c r="S1566" t="s">
        <v>25</v>
      </c>
    </row>
    <row r="1567" spans="1:19" x14ac:dyDescent="0.25">
      <c r="A1567">
        <v>11566</v>
      </c>
      <c r="B1567">
        <v>37</v>
      </c>
      <c r="C1567" t="s">
        <v>31</v>
      </c>
      <c r="D1567" t="s">
        <v>34</v>
      </c>
      <c r="E1567" t="s">
        <v>36</v>
      </c>
      <c r="F1567" t="s">
        <v>37</v>
      </c>
      <c r="G1567" t="s">
        <v>38</v>
      </c>
      <c r="H1567">
        <v>50108</v>
      </c>
      <c r="I1567">
        <v>5984</v>
      </c>
      <c r="J1567">
        <v>5</v>
      </c>
      <c r="K1567">
        <v>14</v>
      </c>
      <c r="L1567">
        <v>2</v>
      </c>
      <c r="M1567" t="s">
        <v>25</v>
      </c>
      <c r="N1567">
        <v>2</v>
      </c>
      <c r="O1567">
        <v>26</v>
      </c>
      <c r="P1567">
        <v>7</v>
      </c>
      <c r="Q1567">
        <v>2</v>
      </c>
      <c r="R1567">
        <v>2</v>
      </c>
      <c r="S1567" t="s">
        <v>25</v>
      </c>
    </row>
    <row r="1568" spans="1:19" x14ac:dyDescent="0.25">
      <c r="A1568">
        <v>11567</v>
      </c>
      <c r="B1568">
        <v>26</v>
      </c>
      <c r="C1568" t="s">
        <v>19</v>
      </c>
      <c r="D1568" t="s">
        <v>20</v>
      </c>
      <c r="E1568" t="s">
        <v>36</v>
      </c>
      <c r="F1568" t="s">
        <v>39</v>
      </c>
      <c r="G1568" t="s">
        <v>30</v>
      </c>
      <c r="H1568">
        <v>57327</v>
      </c>
      <c r="I1568">
        <v>40349</v>
      </c>
      <c r="J1568">
        <v>3</v>
      </c>
      <c r="K1568">
        <v>9</v>
      </c>
      <c r="L1568">
        <v>3</v>
      </c>
      <c r="M1568" t="s">
        <v>25</v>
      </c>
      <c r="N1568">
        <v>3</v>
      </c>
      <c r="O1568">
        <v>13</v>
      </c>
      <c r="P1568">
        <v>41</v>
      </c>
      <c r="Q1568">
        <v>3</v>
      </c>
      <c r="R1568">
        <v>3</v>
      </c>
      <c r="S1568" t="s">
        <v>25</v>
      </c>
    </row>
    <row r="1569" spans="1:19" x14ac:dyDescent="0.25">
      <c r="A1569">
        <v>11568</v>
      </c>
      <c r="B1569">
        <v>40</v>
      </c>
      <c r="C1569" t="s">
        <v>19</v>
      </c>
      <c r="D1569" t="s">
        <v>41</v>
      </c>
      <c r="E1569" t="s">
        <v>21</v>
      </c>
      <c r="F1569" t="s">
        <v>39</v>
      </c>
      <c r="G1569" t="s">
        <v>38</v>
      </c>
      <c r="H1569">
        <v>115319</v>
      </c>
      <c r="I1569">
        <v>21452</v>
      </c>
      <c r="J1569">
        <v>9</v>
      </c>
      <c r="K1569">
        <v>4</v>
      </c>
      <c r="L1569">
        <v>5</v>
      </c>
      <c r="M1569" t="s">
        <v>25</v>
      </c>
      <c r="N1569">
        <v>4</v>
      </c>
      <c r="O1569">
        <v>31</v>
      </c>
      <c r="P1569">
        <v>54</v>
      </c>
      <c r="Q1569">
        <v>1</v>
      </c>
      <c r="R1569">
        <v>2</v>
      </c>
      <c r="S1569" t="s">
        <v>24</v>
      </c>
    </row>
    <row r="1570" spans="1:19" x14ac:dyDescent="0.25">
      <c r="A1570">
        <v>11569</v>
      </c>
      <c r="B1570">
        <v>27</v>
      </c>
      <c r="C1570" t="s">
        <v>19</v>
      </c>
      <c r="D1570" t="s">
        <v>28</v>
      </c>
      <c r="E1570" t="s">
        <v>33</v>
      </c>
      <c r="F1570" t="s">
        <v>35</v>
      </c>
      <c r="G1570" t="s">
        <v>30</v>
      </c>
      <c r="H1570">
        <v>30976</v>
      </c>
      <c r="I1570">
        <v>36672</v>
      </c>
      <c r="J1570">
        <v>12</v>
      </c>
      <c r="K1570">
        <v>5</v>
      </c>
      <c r="L1570">
        <v>3</v>
      </c>
      <c r="M1570" t="s">
        <v>24</v>
      </c>
      <c r="N1570">
        <v>3</v>
      </c>
      <c r="O1570">
        <v>2</v>
      </c>
      <c r="P1570">
        <v>45</v>
      </c>
      <c r="Q1570">
        <v>3</v>
      </c>
      <c r="R1570">
        <v>3</v>
      </c>
      <c r="S1570" t="s">
        <v>25</v>
      </c>
    </row>
    <row r="1571" spans="1:19" x14ac:dyDescent="0.25">
      <c r="A1571">
        <v>11570</v>
      </c>
      <c r="B1571">
        <v>57</v>
      </c>
      <c r="C1571" t="s">
        <v>31</v>
      </c>
      <c r="D1571" t="s">
        <v>41</v>
      </c>
      <c r="E1571" t="s">
        <v>33</v>
      </c>
      <c r="F1571" t="s">
        <v>35</v>
      </c>
      <c r="G1571" t="s">
        <v>30</v>
      </c>
      <c r="H1571">
        <v>30634</v>
      </c>
      <c r="I1571">
        <v>2414</v>
      </c>
      <c r="J1571">
        <v>16</v>
      </c>
      <c r="K1571">
        <v>7</v>
      </c>
      <c r="L1571">
        <v>4</v>
      </c>
      <c r="M1571" t="s">
        <v>25</v>
      </c>
      <c r="N1571">
        <v>4</v>
      </c>
      <c r="O1571">
        <v>13</v>
      </c>
      <c r="P1571">
        <v>59</v>
      </c>
      <c r="Q1571">
        <v>4</v>
      </c>
      <c r="R1571">
        <v>3</v>
      </c>
      <c r="S1571" t="s">
        <v>25</v>
      </c>
    </row>
    <row r="1572" spans="1:19" x14ac:dyDescent="0.25">
      <c r="A1572">
        <v>11571</v>
      </c>
      <c r="B1572">
        <v>56</v>
      </c>
      <c r="C1572" t="s">
        <v>19</v>
      </c>
      <c r="D1572" t="s">
        <v>20</v>
      </c>
      <c r="E1572" t="s">
        <v>21</v>
      </c>
      <c r="F1572" t="s">
        <v>22</v>
      </c>
      <c r="G1572" t="s">
        <v>30</v>
      </c>
      <c r="H1572">
        <v>115671</v>
      </c>
      <c r="I1572">
        <v>37693</v>
      </c>
      <c r="J1572">
        <v>20</v>
      </c>
      <c r="K1572">
        <v>9</v>
      </c>
      <c r="L1572">
        <v>5</v>
      </c>
      <c r="M1572" t="s">
        <v>25</v>
      </c>
      <c r="N1572">
        <v>3</v>
      </c>
      <c r="O1572">
        <v>30</v>
      </c>
      <c r="P1572">
        <v>8</v>
      </c>
      <c r="Q1572">
        <v>4</v>
      </c>
      <c r="R1572">
        <v>2</v>
      </c>
      <c r="S1572" t="s">
        <v>25</v>
      </c>
    </row>
    <row r="1573" spans="1:19" x14ac:dyDescent="0.25">
      <c r="A1573">
        <v>11572</v>
      </c>
      <c r="B1573">
        <v>43</v>
      </c>
      <c r="C1573" t="s">
        <v>19</v>
      </c>
      <c r="D1573" t="s">
        <v>28</v>
      </c>
      <c r="E1573" t="s">
        <v>33</v>
      </c>
      <c r="F1573" t="s">
        <v>39</v>
      </c>
      <c r="G1573" t="s">
        <v>30</v>
      </c>
      <c r="H1573">
        <v>31597</v>
      </c>
      <c r="I1573">
        <v>5700</v>
      </c>
      <c r="J1573">
        <v>3</v>
      </c>
      <c r="K1573">
        <v>0</v>
      </c>
      <c r="L1573">
        <v>2</v>
      </c>
      <c r="M1573" t="s">
        <v>25</v>
      </c>
      <c r="N1573">
        <v>3</v>
      </c>
      <c r="O1573">
        <v>23</v>
      </c>
      <c r="P1573">
        <v>6</v>
      </c>
      <c r="Q1573">
        <v>1</v>
      </c>
      <c r="R1573">
        <v>3</v>
      </c>
      <c r="S1573" t="s">
        <v>24</v>
      </c>
    </row>
    <row r="1574" spans="1:19" x14ac:dyDescent="0.25">
      <c r="A1574">
        <v>11573</v>
      </c>
      <c r="B1574">
        <v>29</v>
      </c>
      <c r="C1574" t="s">
        <v>31</v>
      </c>
      <c r="D1574" t="s">
        <v>20</v>
      </c>
      <c r="E1574" t="s">
        <v>36</v>
      </c>
      <c r="F1574" t="s">
        <v>39</v>
      </c>
      <c r="G1574" t="s">
        <v>38</v>
      </c>
      <c r="H1574">
        <v>69806</v>
      </c>
      <c r="I1574">
        <v>16185</v>
      </c>
      <c r="J1574">
        <v>4</v>
      </c>
      <c r="K1574">
        <v>0</v>
      </c>
      <c r="L1574">
        <v>3</v>
      </c>
      <c r="M1574" t="s">
        <v>25</v>
      </c>
      <c r="N1574">
        <v>2</v>
      </c>
      <c r="O1574">
        <v>1</v>
      </c>
      <c r="P1574">
        <v>40</v>
      </c>
      <c r="Q1574">
        <v>4</v>
      </c>
      <c r="R1574">
        <v>3</v>
      </c>
      <c r="S1574" t="s">
        <v>25</v>
      </c>
    </row>
    <row r="1575" spans="1:19" x14ac:dyDescent="0.25">
      <c r="A1575">
        <v>11574</v>
      </c>
      <c r="B1575">
        <v>40</v>
      </c>
      <c r="C1575" t="s">
        <v>31</v>
      </c>
      <c r="D1575" t="s">
        <v>41</v>
      </c>
      <c r="E1575" t="s">
        <v>36</v>
      </c>
      <c r="F1575" t="s">
        <v>37</v>
      </c>
      <c r="G1575" t="s">
        <v>38</v>
      </c>
      <c r="H1575">
        <v>46494</v>
      </c>
      <c r="I1575">
        <v>26055</v>
      </c>
      <c r="J1575">
        <v>1</v>
      </c>
      <c r="K1575">
        <v>10</v>
      </c>
      <c r="L1575">
        <v>4</v>
      </c>
      <c r="M1575" t="s">
        <v>25</v>
      </c>
      <c r="N1575">
        <v>4</v>
      </c>
      <c r="O1575">
        <v>24</v>
      </c>
      <c r="P1575">
        <v>22</v>
      </c>
      <c r="Q1575">
        <v>2</v>
      </c>
      <c r="R1575">
        <v>2</v>
      </c>
      <c r="S1575" t="s">
        <v>25</v>
      </c>
    </row>
    <row r="1576" spans="1:19" x14ac:dyDescent="0.25">
      <c r="A1576">
        <v>11575</v>
      </c>
      <c r="B1576">
        <v>20</v>
      </c>
      <c r="C1576" t="s">
        <v>19</v>
      </c>
      <c r="D1576" t="s">
        <v>34</v>
      </c>
      <c r="E1576" t="s">
        <v>36</v>
      </c>
      <c r="F1576" t="s">
        <v>39</v>
      </c>
      <c r="G1576" t="s">
        <v>38</v>
      </c>
      <c r="H1576">
        <v>62373</v>
      </c>
      <c r="I1576">
        <v>4847</v>
      </c>
      <c r="J1576">
        <v>10</v>
      </c>
      <c r="K1576">
        <v>4</v>
      </c>
      <c r="L1576">
        <v>4</v>
      </c>
      <c r="M1576" t="s">
        <v>25</v>
      </c>
      <c r="N1576">
        <v>3</v>
      </c>
      <c r="O1576">
        <v>24</v>
      </c>
      <c r="P1576">
        <v>49</v>
      </c>
      <c r="Q1576">
        <v>3</v>
      </c>
      <c r="R1576">
        <v>4</v>
      </c>
      <c r="S1576" t="s">
        <v>25</v>
      </c>
    </row>
    <row r="1577" spans="1:19" x14ac:dyDescent="0.25">
      <c r="A1577">
        <v>11576</v>
      </c>
      <c r="B1577">
        <v>44</v>
      </c>
      <c r="C1577" t="s">
        <v>19</v>
      </c>
      <c r="D1577" t="s">
        <v>20</v>
      </c>
      <c r="E1577" t="s">
        <v>36</v>
      </c>
      <c r="F1577" t="s">
        <v>37</v>
      </c>
      <c r="G1577" t="s">
        <v>30</v>
      </c>
      <c r="H1577">
        <v>65394</v>
      </c>
      <c r="I1577">
        <v>6090</v>
      </c>
      <c r="J1577">
        <v>6</v>
      </c>
      <c r="K1577">
        <v>10</v>
      </c>
      <c r="L1577">
        <v>3</v>
      </c>
      <c r="M1577" t="s">
        <v>25</v>
      </c>
      <c r="N1577">
        <v>1</v>
      </c>
      <c r="O1577">
        <v>32</v>
      </c>
      <c r="P1577">
        <v>14</v>
      </c>
      <c r="Q1577">
        <v>4</v>
      </c>
      <c r="R1577">
        <v>3</v>
      </c>
      <c r="S1577" t="s">
        <v>25</v>
      </c>
    </row>
    <row r="1578" spans="1:19" x14ac:dyDescent="0.25">
      <c r="A1578">
        <v>11577</v>
      </c>
      <c r="B1578">
        <v>25</v>
      </c>
      <c r="C1578" t="s">
        <v>31</v>
      </c>
      <c r="D1578" t="s">
        <v>41</v>
      </c>
      <c r="E1578" t="s">
        <v>27</v>
      </c>
      <c r="F1578" t="s">
        <v>39</v>
      </c>
      <c r="G1578" t="s">
        <v>30</v>
      </c>
      <c r="H1578">
        <v>89810</v>
      </c>
      <c r="I1578">
        <v>958</v>
      </c>
      <c r="J1578">
        <v>24</v>
      </c>
      <c r="K1578">
        <v>6</v>
      </c>
      <c r="L1578">
        <v>3</v>
      </c>
      <c r="M1578" t="s">
        <v>25</v>
      </c>
      <c r="N1578">
        <v>3</v>
      </c>
      <c r="O1578">
        <v>4</v>
      </c>
      <c r="P1578">
        <v>30</v>
      </c>
      <c r="Q1578">
        <v>2</v>
      </c>
      <c r="R1578">
        <v>3</v>
      </c>
      <c r="S1578" t="s">
        <v>25</v>
      </c>
    </row>
    <row r="1579" spans="1:19" x14ac:dyDescent="0.25">
      <c r="A1579">
        <v>11578</v>
      </c>
      <c r="B1579">
        <v>39</v>
      </c>
      <c r="C1579" t="s">
        <v>31</v>
      </c>
      <c r="D1579" t="s">
        <v>32</v>
      </c>
      <c r="E1579" t="s">
        <v>36</v>
      </c>
      <c r="F1579" t="s">
        <v>35</v>
      </c>
      <c r="G1579" t="s">
        <v>38</v>
      </c>
      <c r="H1579">
        <v>46280</v>
      </c>
      <c r="I1579">
        <v>29959</v>
      </c>
      <c r="J1579">
        <v>16</v>
      </c>
      <c r="K1579">
        <v>7</v>
      </c>
      <c r="L1579">
        <v>3</v>
      </c>
      <c r="M1579" t="s">
        <v>25</v>
      </c>
      <c r="N1579">
        <v>2</v>
      </c>
      <c r="O1579">
        <v>9</v>
      </c>
      <c r="P1579">
        <v>53</v>
      </c>
      <c r="Q1579">
        <v>3</v>
      </c>
      <c r="R1579">
        <v>3</v>
      </c>
      <c r="S1579" t="s">
        <v>25</v>
      </c>
    </row>
    <row r="1580" spans="1:19" x14ac:dyDescent="0.25">
      <c r="A1580">
        <v>11579</v>
      </c>
      <c r="B1580">
        <v>35</v>
      </c>
      <c r="C1580" t="s">
        <v>19</v>
      </c>
      <c r="D1580" t="s">
        <v>20</v>
      </c>
      <c r="E1580" t="s">
        <v>33</v>
      </c>
      <c r="F1580" t="s">
        <v>37</v>
      </c>
      <c r="G1580" t="s">
        <v>38</v>
      </c>
      <c r="H1580">
        <v>29483</v>
      </c>
      <c r="I1580">
        <v>23244</v>
      </c>
      <c r="J1580">
        <v>3</v>
      </c>
      <c r="K1580">
        <v>13</v>
      </c>
      <c r="L1580">
        <v>3</v>
      </c>
      <c r="M1580" t="s">
        <v>24</v>
      </c>
      <c r="N1580">
        <v>4</v>
      </c>
      <c r="O1580">
        <v>15</v>
      </c>
      <c r="P1580">
        <v>28</v>
      </c>
      <c r="Q1580">
        <v>1</v>
      </c>
      <c r="R1580">
        <v>3</v>
      </c>
      <c r="S1580" t="s">
        <v>25</v>
      </c>
    </row>
    <row r="1581" spans="1:19" x14ac:dyDescent="0.25">
      <c r="A1581">
        <v>11580</v>
      </c>
      <c r="B1581">
        <v>35</v>
      </c>
      <c r="C1581" t="s">
        <v>19</v>
      </c>
      <c r="D1581" t="s">
        <v>41</v>
      </c>
      <c r="E1581" t="s">
        <v>27</v>
      </c>
      <c r="F1581" t="s">
        <v>39</v>
      </c>
      <c r="G1581" t="s">
        <v>30</v>
      </c>
      <c r="H1581">
        <v>74546</v>
      </c>
      <c r="I1581">
        <v>11322</v>
      </c>
      <c r="J1581">
        <v>21</v>
      </c>
      <c r="K1581">
        <v>12</v>
      </c>
      <c r="L1581">
        <v>5</v>
      </c>
      <c r="M1581" t="s">
        <v>25</v>
      </c>
      <c r="N1581">
        <v>4</v>
      </c>
      <c r="O1581">
        <v>11</v>
      </c>
      <c r="P1581">
        <v>57</v>
      </c>
      <c r="Q1581">
        <v>2</v>
      </c>
      <c r="R1581">
        <v>1</v>
      </c>
      <c r="S1581" t="s">
        <v>25</v>
      </c>
    </row>
    <row r="1582" spans="1:19" x14ac:dyDescent="0.25">
      <c r="A1582">
        <v>11581</v>
      </c>
      <c r="B1582">
        <v>30</v>
      </c>
      <c r="C1582" t="s">
        <v>19</v>
      </c>
      <c r="D1582" t="s">
        <v>20</v>
      </c>
      <c r="E1582" t="s">
        <v>36</v>
      </c>
      <c r="F1582" t="s">
        <v>39</v>
      </c>
      <c r="G1582" t="s">
        <v>38</v>
      </c>
      <c r="H1582">
        <v>45388</v>
      </c>
      <c r="I1582">
        <v>11849</v>
      </c>
      <c r="J1582">
        <v>24</v>
      </c>
      <c r="K1582">
        <v>3</v>
      </c>
      <c r="L1582">
        <v>4</v>
      </c>
      <c r="M1582" t="s">
        <v>24</v>
      </c>
      <c r="N1582">
        <v>2</v>
      </c>
      <c r="O1582">
        <v>26</v>
      </c>
      <c r="P1582">
        <v>29</v>
      </c>
      <c r="Q1582">
        <v>1</v>
      </c>
      <c r="R1582">
        <v>3</v>
      </c>
      <c r="S1582" t="s">
        <v>25</v>
      </c>
    </row>
    <row r="1583" spans="1:19" x14ac:dyDescent="0.25">
      <c r="A1583">
        <v>11582</v>
      </c>
      <c r="B1583">
        <v>29</v>
      </c>
      <c r="C1583" t="s">
        <v>31</v>
      </c>
      <c r="D1583" t="s">
        <v>41</v>
      </c>
      <c r="E1583" t="s">
        <v>33</v>
      </c>
      <c r="F1583" t="s">
        <v>35</v>
      </c>
      <c r="G1583" t="s">
        <v>30</v>
      </c>
      <c r="H1583">
        <v>28354</v>
      </c>
      <c r="I1583">
        <v>29151</v>
      </c>
      <c r="J1583">
        <v>16</v>
      </c>
      <c r="K1583">
        <v>9</v>
      </c>
      <c r="L1583">
        <v>2</v>
      </c>
      <c r="M1583" t="s">
        <v>24</v>
      </c>
      <c r="N1583">
        <v>4</v>
      </c>
      <c r="O1583">
        <v>39</v>
      </c>
      <c r="P1583">
        <v>45</v>
      </c>
      <c r="Q1583">
        <v>3</v>
      </c>
      <c r="R1583">
        <v>3</v>
      </c>
      <c r="S1583" t="s">
        <v>25</v>
      </c>
    </row>
    <row r="1584" spans="1:19" x14ac:dyDescent="0.25">
      <c r="A1584">
        <v>11583</v>
      </c>
      <c r="B1584">
        <v>38</v>
      </c>
      <c r="C1584" t="s">
        <v>19</v>
      </c>
      <c r="D1584" t="s">
        <v>28</v>
      </c>
      <c r="E1584" t="s">
        <v>40</v>
      </c>
      <c r="F1584" t="s">
        <v>22</v>
      </c>
      <c r="G1584" t="s">
        <v>30</v>
      </c>
      <c r="H1584">
        <v>15802</v>
      </c>
      <c r="I1584">
        <v>1436</v>
      </c>
      <c r="J1584">
        <v>23</v>
      </c>
      <c r="K1584">
        <v>5</v>
      </c>
      <c r="L1584">
        <v>4</v>
      </c>
      <c r="M1584" t="s">
        <v>25</v>
      </c>
      <c r="N1584">
        <v>4</v>
      </c>
      <c r="O1584">
        <v>26</v>
      </c>
      <c r="P1584">
        <v>19</v>
      </c>
      <c r="Q1584">
        <v>2</v>
      </c>
      <c r="R1584">
        <v>1</v>
      </c>
      <c r="S1584" t="s">
        <v>25</v>
      </c>
    </row>
    <row r="1585" spans="1:19" x14ac:dyDescent="0.25">
      <c r="A1585">
        <v>11584</v>
      </c>
      <c r="B1585">
        <v>44</v>
      </c>
      <c r="C1585" t="s">
        <v>19</v>
      </c>
      <c r="D1585" t="s">
        <v>32</v>
      </c>
      <c r="E1585" t="s">
        <v>36</v>
      </c>
      <c r="F1585" t="s">
        <v>35</v>
      </c>
      <c r="G1585" t="s">
        <v>30</v>
      </c>
      <c r="H1585">
        <v>64361</v>
      </c>
      <c r="I1585">
        <v>42701</v>
      </c>
      <c r="J1585">
        <v>13</v>
      </c>
      <c r="K1585">
        <v>9</v>
      </c>
      <c r="L1585">
        <v>4</v>
      </c>
      <c r="M1585" t="s">
        <v>25</v>
      </c>
      <c r="N1585">
        <v>2</v>
      </c>
      <c r="O1585">
        <v>39</v>
      </c>
      <c r="P1585">
        <v>38</v>
      </c>
      <c r="Q1585">
        <v>1</v>
      </c>
      <c r="R1585">
        <v>1</v>
      </c>
      <c r="S1585" t="s">
        <v>25</v>
      </c>
    </row>
    <row r="1586" spans="1:19" x14ac:dyDescent="0.25">
      <c r="A1586">
        <v>11585</v>
      </c>
      <c r="B1586">
        <v>56</v>
      </c>
      <c r="C1586" t="s">
        <v>19</v>
      </c>
      <c r="D1586" t="s">
        <v>20</v>
      </c>
      <c r="E1586" t="s">
        <v>29</v>
      </c>
      <c r="F1586" t="s">
        <v>39</v>
      </c>
      <c r="G1586" t="s">
        <v>38</v>
      </c>
      <c r="H1586">
        <v>172318</v>
      </c>
      <c r="I1586">
        <v>20234</v>
      </c>
      <c r="J1586">
        <v>15</v>
      </c>
      <c r="K1586">
        <v>14</v>
      </c>
      <c r="L1586">
        <v>5</v>
      </c>
      <c r="M1586" t="s">
        <v>24</v>
      </c>
      <c r="N1586">
        <v>3</v>
      </c>
      <c r="O1586">
        <v>29</v>
      </c>
      <c r="P1586">
        <v>37</v>
      </c>
      <c r="Q1586">
        <v>2</v>
      </c>
      <c r="R1586">
        <v>2</v>
      </c>
      <c r="S1586" t="s">
        <v>25</v>
      </c>
    </row>
    <row r="1587" spans="1:19" x14ac:dyDescent="0.25">
      <c r="A1587">
        <v>11586</v>
      </c>
      <c r="B1587">
        <v>55</v>
      </c>
      <c r="C1587" t="s">
        <v>31</v>
      </c>
      <c r="D1587" t="s">
        <v>41</v>
      </c>
      <c r="E1587" t="s">
        <v>27</v>
      </c>
      <c r="F1587" t="s">
        <v>39</v>
      </c>
      <c r="G1587" t="s">
        <v>30</v>
      </c>
      <c r="H1587">
        <v>60794</v>
      </c>
      <c r="I1587">
        <v>25209</v>
      </c>
      <c r="J1587">
        <v>12</v>
      </c>
      <c r="K1587">
        <v>11</v>
      </c>
      <c r="L1587">
        <v>3</v>
      </c>
      <c r="M1587" t="s">
        <v>25</v>
      </c>
      <c r="N1587">
        <v>3</v>
      </c>
      <c r="O1587">
        <v>13</v>
      </c>
      <c r="P1587">
        <v>5</v>
      </c>
      <c r="Q1587">
        <v>4</v>
      </c>
      <c r="R1587">
        <v>4</v>
      </c>
      <c r="S1587" t="s">
        <v>25</v>
      </c>
    </row>
    <row r="1588" spans="1:19" x14ac:dyDescent="0.25">
      <c r="A1588">
        <v>11587</v>
      </c>
      <c r="B1588">
        <v>47</v>
      </c>
      <c r="C1588" t="s">
        <v>19</v>
      </c>
      <c r="D1588" t="s">
        <v>41</v>
      </c>
      <c r="E1588" t="s">
        <v>36</v>
      </c>
      <c r="F1588" t="s">
        <v>39</v>
      </c>
      <c r="G1588" t="s">
        <v>38</v>
      </c>
      <c r="H1588">
        <v>46904</v>
      </c>
      <c r="I1588">
        <v>2879</v>
      </c>
      <c r="J1588">
        <v>5</v>
      </c>
      <c r="K1588">
        <v>13</v>
      </c>
      <c r="L1588">
        <v>3</v>
      </c>
      <c r="M1588" t="s">
        <v>25</v>
      </c>
      <c r="N1588">
        <v>4</v>
      </c>
      <c r="O1588">
        <v>9</v>
      </c>
      <c r="P1588">
        <v>48</v>
      </c>
      <c r="Q1588">
        <v>3</v>
      </c>
      <c r="R1588">
        <v>2</v>
      </c>
      <c r="S1588" t="s">
        <v>25</v>
      </c>
    </row>
    <row r="1589" spans="1:19" x14ac:dyDescent="0.25">
      <c r="A1589">
        <v>11588</v>
      </c>
      <c r="B1589">
        <v>34</v>
      </c>
      <c r="C1589" t="s">
        <v>31</v>
      </c>
      <c r="D1589" t="s">
        <v>32</v>
      </c>
      <c r="E1589" t="s">
        <v>36</v>
      </c>
      <c r="F1589" t="s">
        <v>39</v>
      </c>
      <c r="G1589" t="s">
        <v>38</v>
      </c>
      <c r="H1589">
        <v>64789</v>
      </c>
      <c r="I1589">
        <v>9975</v>
      </c>
      <c r="J1589">
        <v>10</v>
      </c>
      <c r="K1589">
        <v>1</v>
      </c>
      <c r="L1589">
        <v>2</v>
      </c>
      <c r="M1589" t="s">
        <v>24</v>
      </c>
      <c r="N1589">
        <v>3</v>
      </c>
      <c r="O1589">
        <v>19</v>
      </c>
      <c r="P1589">
        <v>48</v>
      </c>
      <c r="Q1589">
        <v>1</v>
      </c>
      <c r="R1589">
        <v>3</v>
      </c>
      <c r="S1589" t="s">
        <v>25</v>
      </c>
    </row>
    <row r="1590" spans="1:19" x14ac:dyDescent="0.25">
      <c r="A1590">
        <v>11589</v>
      </c>
      <c r="B1590">
        <v>44</v>
      </c>
      <c r="C1590" t="s">
        <v>31</v>
      </c>
      <c r="D1590" t="s">
        <v>26</v>
      </c>
      <c r="E1590" t="s">
        <v>36</v>
      </c>
      <c r="F1590" t="s">
        <v>39</v>
      </c>
      <c r="G1590" t="s">
        <v>38</v>
      </c>
      <c r="H1590">
        <v>61585</v>
      </c>
      <c r="I1590">
        <v>7839</v>
      </c>
      <c r="J1590">
        <v>4</v>
      </c>
      <c r="K1590">
        <v>11</v>
      </c>
      <c r="L1590">
        <v>2</v>
      </c>
      <c r="M1590" t="s">
        <v>25</v>
      </c>
      <c r="N1590">
        <v>4</v>
      </c>
      <c r="O1590">
        <v>3</v>
      </c>
      <c r="P1590">
        <v>25</v>
      </c>
      <c r="Q1590">
        <v>1</v>
      </c>
      <c r="R1590">
        <v>4</v>
      </c>
      <c r="S1590" t="s">
        <v>25</v>
      </c>
    </row>
    <row r="1591" spans="1:19" x14ac:dyDescent="0.25">
      <c r="A1591">
        <v>11590</v>
      </c>
      <c r="B1591">
        <v>32</v>
      </c>
      <c r="C1591" t="s">
        <v>31</v>
      </c>
      <c r="D1591" t="s">
        <v>20</v>
      </c>
      <c r="E1591" t="s">
        <v>33</v>
      </c>
      <c r="F1591" t="s">
        <v>39</v>
      </c>
      <c r="G1591" t="s">
        <v>30</v>
      </c>
      <c r="H1591">
        <v>26408</v>
      </c>
      <c r="I1591">
        <v>32457</v>
      </c>
      <c r="J1591">
        <v>11</v>
      </c>
      <c r="K1591">
        <v>13</v>
      </c>
      <c r="L1591">
        <v>3</v>
      </c>
      <c r="M1591" t="s">
        <v>25</v>
      </c>
      <c r="N1591">
        <v>4</v>
      </c>
      <c r="O1591">
        <v>31</v>
      </c>
      <c r="P1591">
        <v>47</v>
      </c>
      <c r="Q1591">
        <v>2</v>
      </c>
      <c r="R1591">
        <v>3</v>
      </c>
      <c r="S1591" t="s">
        <v>25</v>
      </c>
    </row>
    <row r="1592" spans="1:19" x14ac:dyDescent="0.25">
      <c r="A1592">
        <v>11591</v>
      </c>
      <c r="B1592">
        <v>31</v>
      </c>
      <c r="C1592" t="s">
        <v>19</v>
      </c>
      <c r="D1592" t="s">
        <v>20</v>
      </c>
      <c r="E1592" t="s">
        <v>36</v>
      </c>
      <c r="F1592" t="s">
        <v>39</v>
      </c>
      <c r="G1592" t="s">
        <v>30</v>
      </c>
      <c r="H1592">
        <v>62910</v>
      </c>
      <c r="I1592">
        <v>38694</v>
      </c>
      <c r="J1592">
        <v>21</v>
      </c>
      <c r="K1592">
        <v>3</v>
      </c>
      <c r="L1592">
        <v>2</v>
      </c>
      <c r="M1592" t="s">
        <v>25</v>
      </c>
      <c r="N1592">
        <v>3</v>
      </c>
      <c r="O1592">
        <v>35</v>
      </c>
      <c r="P1592">
        <v>13</v>
      </c>
      <c r="Q1592">
        <v>3</v>
      </c>
      <c r="R1592">
        <v>3</v>
      </c>
      <c r="S1592" t="s">
        <v>25</v>
      </c>
    </row>
    <row r="1593" spans="1:19" x14ac:dyDescent="0.25">
      <c r="A1593">
        <v>11592</v>
      </c>
      <c r="B1593">
        <v>59</v>
      </c>
      <c r="C1593" t="s">
        <v>31</v>
      </c>
      <c r="D1593" t="s">
        <v>20</v>
      </c>
      <c r="E1593" t="s">
        <v>33</v>
      </c>
      <c r="F1593" t="s">
        <v>22</v>
      </c>
      <c r="G1593" t="s">
        <v>38</v>
      </c>
      <c r="H1593">
        <v>44431</v>
      </c>
      <c r="I1593">
        <v>17577</v>
      </c>
      <c r="J1593">
        <v>20</v>
      </c>
      <c r="K1593">
        <v>7</v>
      </c>
      <c r="L1593">
        <v>3</v>
      </c>
      <c r="M1593" t="s">
        <v>24</v>
      </c>
      <c r="N1593">
        <v>3</v>
      </c>
      <c r="O1593">
        <v>14</v>
      </c>
      <c r="P1593">
        <v>14</v>
      </c>
      <c r="Q1593">
        <v>3</v>
      </c>
      <c r="R1593">
        <v>2</v>
      </c>
      <c r="S1593" t="s">
        <v>25</v>
      </c>
    </row>
    <row r="1594" spans="1:19" x14ac:dyDescent="0.25">
      <c r="A1594">
        <v>11593</v>
      </c>
      <c r="B1594">
        <v>32</v>
      </c>
      <c r="C1594" t="s">
        <v>31</v>
      </c>
      <c r="D1594" t="s">
        <v>20</v>
      </c>
      <c r="E1594" t="s">
        <v>27</v>
      </c>
      <c r="F1594" t="s">
        <v>39</v>
      </c>
      <c r="G1594" t="s">
        <v>38</v>
      </c>
      <c r="H1594">
        <v>86946</v>
      </c>
      <c r="I1594">
        <v>27957</v>
      </c>
      <c r="J1594">
        <v>6</v>
      </c>
      <c r="K1594">
        <v>3</v>
      </c>
      <c r="L1594">
        <v>4</v>
      </c>
      <c r="M1594" t="s">
        <v>25</v>
      </c>
      <c r="N1594">
        <v>3</v>
      </c>
      <c r="O1594">
        <v>33</v>
      </c>
      <c r="P1594">
        <v>15</v>
      </c>
      <c r="Q1594">
        <v>1</v>
      </c>
      <c r="R1594">
        <v>3</v>
      </c>
      <c r="S1594" t="s">
        <v>24</v>
      </c>
    </row>
    <row r="1595" spans="1:19" x14ac:dyDescent="0.25">
      <c r="A1595">
        <v>11594</v>
      </c>
      <c r="B1595">
        <v>39</v>
      </c>
      <c r="C1595" t="s">
        <v>19</v>
      </c>
      <c r="D1595" t="s">
        <v>41</v>
      </c>
      <c r="E1595" t="s">
        <v>27</v>
      </c>
      <c r="F1595" t="s">
        <v>39</v>
      </c>
      <c r="G1595" t="s">
        <v>38</v>
      </c>
      <c r="H1595">
        <v>73388</v>
      </c>
      <c r="I1595">
        <v>11155</v>
      </c>
      <c r="J1595">
        <v>23</v>
      </c>
      <c r="K1595">
        <v>8</v>
      </c>
      <c r="L1595">
        <v>2</v>
      </c>
      <c r="M1595" t="s">
        <v>25</v>
      </c>
      <c r="N1595">
        <v>1</v>
      </c>
      <c r="O1595">
        <v>8</v>
      </c>
      <c r="P1595">
        <v>48</v>
      </c>
      <c r="Q1595">
        <v>4</v>
      </c>
      <c r="R1595">
        <v>3</v>
      </c>
      <c r="S1595" t="s">
        <v>25</v>
      </c>
    </row>
    <row r="1596" spans="1:19" x14ac:dyDescent="0.25">
      <c r="A1596">
        <v>11595</v>
      </c>
      <c r="B1596">
        <v>38</v>
      </c>
      <c r="C1596" t="s">
        <v>19</v>
      </c>
      <c r="D1596" t="s">
        <v>20</v>
      </c>
      <c r="E1596" t="s">
        <v>29</v>
      </c>
      <c r="F1596" t="s">
        <v>22</v>
      </c>
      <c r="G1596" t="s">
        <v>30</v>
      </c>
      <c r="H1596">
        <v>175377</v>
      </c>
      <c r="I1596">
        <v>12889</v>
      </c>
      <c r="J1596">
        <v>1</v>
      </c>
      <c r="K1596">
        <v>0</v>
      </c>
      <c r="L1596">
        <v>5</v>
      </c>
      <c r="M1596" t="s">
        <v>25</v>
      </c>
      <c r="N1596">
        <v>1</v>
      </c>
      <c r="O1596">
        <v>30</v>
      </c>
      <c r="P1596">
        <v>45</v>
      </c>
      <c r="Q1596">
        <v>2</v>
      </c>
      <c r="R1596">
        <v>2</v>
      </c>
      <c r="S1596" t="s">
        <v>24</v>
      </c>
    </row>
    <row r="1597" spans="1:19" x14ac:dyDescent="0.25">
      <c r="A1597">
        <v>11596</v>
      </c>
      <c r="B1597">
        <v>50</v>
      </c>
      <c r="C1597" t="s">
        <v>19</v>
      </c>
      <c r="D1597" t="s">
        <v>20</v>
      </c>
      <c r="E1597" t="s">
        <v>21</v>
      </c>
      <c r="F1597" t="s">
        <v>39</v>
      </c>
      <c r="G1597" t="s">
        <v>30</v>
      </c>
      <c r="H1597">
        <v>95884</v>
      </c>
      <c r="I1597">
        <v>38270</v>
      </c>
      <c r="J1597">
        <v>11</v>
      </c>
      <c r="K1597">
        <v>4</v>
      </c>
      <c r="L1597">
        <v>3</v>
      </c>
      <c r="M1597" t="s">
        <v>24</v>
      </c>
      <c r="N1597">
        <v>3</v>
      </c>
      <c r="O1597">
        <v>23</v>
      </c>
      <c r="P1597">
        <v>18</v>
      </c>
      <c r="Q1597">
        <v>4</v>
      </c>
      <c r="R1597">
        <v>3</v>
      </c>
      <c r="S1597" t="s">
        <v>25</v>
      </c>
    </row>
    <row r="1598" spans="1:19" x14ac:dyDescent="0.25">
      <c r="A1598">
        <v>11597</v>
      </c>
      <c r="B1598">
        <v>34</v>
      </c>
      <c r="C1598" t="s">
        <v>19</v>
      </c>
      <c r="D1598" t="s">
        <v>41</v>
      </c>
      <c r="E1598" t="s">
        <v>33</v>
      </c>
      <c r="F1598" t="s">
        <v>39</v>
      </c>
      <c r="G1598" t="s">
        <v>30</v>
      </c>
      <c r="H1598">
        <v>30905</v>
      </c>
      <c r="I1598">
        <v>12061</v>
      </c>
      <c r="J1598">
        <v>5</v>
      </c>
      <c r="K1598">
        <v>6</v>
      </c>
      <c r="L1598">
        <v>1</v>
      </c>
      <c r="M1598" t="s">
        <v>24</v>
      </c>
      <c r="N1598">
        <v>2</v>
      </c>
      <c r="O1598">
        <v>2</v>
      </c>
      <c r="P1598">
        <v>39</v>
      </c>
      <c r="Q1598">
        <v>1</v>
      </c>
      <c r="R1598">
        <v>2</v>
      </c>
      <c r="S1598" t="s">
        <v>25</v>
      </c>
    </row>
    <row r="1599" spans="1:19" x14ac:dyDescent="0.25">
      <c r="A1599">
        <v>11598</v>
      </c>
      <c r="B1599">
        <v>48</v>
      </c>
      <c r="C1599" t="s">
        <v>19</v>
      </c>
      <c r="D1599" t="s">
        <v>20</v>
      </c>
      <c r="E1599" t="s">
        <v>36</v>
      </c>
      <c r="F1599" t="s">
        <v>39</v>
      </c>
      <c r="G1599" t="s">
        <v>30</v>
      </c>
      <c r="H1599">
        <v>57411</v>
      </c>
      <c r="I1599">
        <v>26169</v>
      </c>
      <c r="J1599">
        <v>2</v>
      </c>
      <c r="K1599">
        <v>8</v>
      </c>
      <c r="L1599">
        <v>3</v>
      </c>
      <c r="M1599" t="s">
        <v>25</v>
      </c>
      <c r="N1599">
        <v>3</v>
      </c>
      <c r="O1599">
        <v>17</v>
      </c>
      <c r="P1599">
        <v>45</v>
      </c>
      <c r="Q1599">
        <v>3</v>
      </c>
      <c r="R1599">
        <v>4</v>
      </c>
      <c r="S1599" t="s">
        <v>25</v>
      </c>
    </row>
    <row r="1600" spans="1:19" x14ac:dyDescent="0.25">
      <c r="A1600">
        <v>11599</v>
      </c>
      <c r="B1600">
        <v>44</v>
      </c>
      <c r="C1600" t="s">
        <v>31</v>
      </c>
      <c r="D1600" t="s">
        <v>26</v>
      </c>
      <c r="E1600" t="s">
        <v>33</v>
      </c>
      <c r="F1600" t="s">
        <v>35</v>
      </c>
      <c r="G1600" t="s">
        <v>30</v>
      </c>
      <c r="H1600">
        <v>43833</v>
      </c>
      <c r="I1600">
        <v>12108</v>
      </c>
      <c r="J1600">
        <v>21</v>
      </c>
      <c r="K1600">
        <v>6</v>
      </c>
      <c r="L1600">
        <v>3</v>
      </c>
      <c r="M1600" t="s">
        <v>25</v>
      </c>
      <c r="N1600">
        <v>4</v>
      </c>
      <c r="O1600">
        <v>31</v>
      </c>
      <c r="P1600">
        <v>39</v>
      </c>
      <c r="Q1600">
        <v>1</v>
      </c>
      <c r="R1600">
        <v>3</v>
      </c>
      <c r="S1600" t="s">
        <v>24</v>
      </c>
    </row>
    <row r="1601" spans="1:19" x14ac:dyDescent="0.25">
      <c r="A1601">
        <v>11600</v>
      </c>
      <c r="B1601">
        <v>31</v>
      </c>
      <c r="C1601" t="s">
        <v>31</v>
      </c>
      <c r="D1601" t="s">
        <v>41</v>
      </c>
      <c r="E1601" t="s">
        <v>27</v>
      </c>
      <c r="F1601" t="s">
        <v>37</v>
      </c>
      <c r="G1601" t="s">
        <v>38</v>
      </c>
      <c r="H1601">
        <v>67123</v>
      </c>
      <c r="I1601">
        <v>14248</v>
      </c>
      <c r="J1601">
        <v>19</v>
      </c>
      <c r="K1601">
        <v>8</v>
      </c>
      <c r="L1601">
        <v>3</v>
      </c>
      <c r="M1601" t="s">
        <v>25</v>
      </c>
      <c r="N1601">
        <v>4</v>
      </c>
      <c r="O1601">
        <v>31</v>
      </c>
      <c r="P1601">
        <v>59</v>
      </c>
      <c r="Q1601">
        <v>4</v>
      </c>
      <c r="R1601">
        <v>2</v>
      </c>
      <c r="S1601" t="s">
        <v>25</v>
      </c>
    </row>
    <row r="1602" spans="1:19" x14ac:dyDescent="0.25">
      <c r="A1602">
        <v>11601</v>
      </c>
      <c r="B1602">
        <v>46</v>
      </c>
      <c r="C1602" t="s">
        <v>19</v>
      </c>
      <c r="D1602" t="s">
        <v>41</v>
      </c>
      <c r="E1602" t="s">
        <v>40</v>
      </c>
      <c r="F1602" t="s">
        <v>39</v>
      </c>
      <c r="G1602" t="s">
        <v>30</v>
      </c>
      <c r="H1602">
        <v>14802</v>
      </c>
      <c r="I1602">
        <v>39300</v>
      </c>
      <c r="J1602">
        <v>20</v>
      </c>
      <c r="K1602">
        <v>0</v>
      </c>
      <c r="L1602">
        <v>2</v>
      </c>
      <c r="M1602" t="s">
        <v>25</v>
      </c>
      <c r="N1602">
        <v>4</v>
      </c>
      <c r="O1602">
        <v>4</v>
      </c>
      <c r="P1602">
        <v>56</v>
      </c>
      <c r="Q1602">
        <v>3</v>
      </c>
      <c r="R1602">
        <v>2</v>
      </c>
      <c r="S1602" t="s">
        <v>25</v>
      </c>
    </row>
    <row r="1603" spans="1:19" x14ac:dyDescent="0.25">
      <c r="A1603">
        <v>11602</v>
      </c>
      <c r="B1603">
        <v>37</v>
      </c>
      <c r="C1603" t="s">
        <v>19</v>
      </c>
      <c r="D1603" t="s">
        <v>41</v>
      </c>
      <c r="E1603" t="s">
        <v>40</v>
      </c>
      <c r="F1603" t="s">
        <v>39</v>
      </c>
      <c r="G1603" t="s">
        <v>30</v>
      </c>
      <c r="H1603">
        <v>15157</v>
      </c>
      <c r="I1603">
        <v>5350</v>
      </c>
      <c r="J1603">
        <v>17</v>
      </c>
      <c r="K1603">
        <v>9</v>
      </c>
      <c r="L1603">
        <v>3</v>
      </c>
      <c r="M1603" t="s">
        <v>25</v>
      </c>
      <c r="N1603">
        <v>3</v>
      </c>
      <c r="O1603">
        <v>20</v>
      </c>
      <c r="P1603">
        <v>44</v>
      </c>
      <c r="Q1603">
        <v>1</v>
      </c>
      <c r="R1603">
        <v>3</v>
      </c>
      <c r="S1603" t="s">
        <v>25</v>
      </c>
    </row>
    <row r="1604" spans="1:19" x14ac:dyDescent="0.25">
      <c r="A1604">
        <v>11603</v>
      </c>
      <c r="B1604">
        <v>43</v>
      </c>
      <c r="C1604" t="s">
        <v>19</v>
      </c>
      <c r="D1604" t="s">
        <v>26</v>
      </c>
      <c r="E1604" t="s">
        <v>27</v>
      </c>
      <c r="F1604" t="s">
        <v>39</v>
      </c>
      <c r="G1604" t="s">
        <v>38</v>
      </c>
      <c r="H1604">
        <v>77073</v>
      </c>
      <c r="I1604">
        <v>34796</v>
      </c>
      <c r="J1604">
        <v>2</v>
      </c>
      <c r="K1604">
        <v>0</v>
      </c>
      <c r="L1604">
        <v>4</v>
      </c>
      <c r="M1604" t="s">
        <v>25</v>
      </c>
      <c r="N1604">
        <v>2</v>
      </c>
      <c r="O1604">
        <v>7</v>
      </c>
      <c r="P1604">
        <v>48</v>
      </c>
      <c r="Q1604">
        <v>3</v>
      </c>
      <c r="R1604">
        <v>1</v>
      </c>
      <c r="S1604" t="s">
        <v>25</v>
      </c>
    </row>
    <row r="1605" spans="1:19" x14ac:dyDescent="0.25">
      <c r="A1605">
        <v>11604</v>
      </c>
      <c r="B1605">
        <v>52</v>
      </c>
      <c r="C1605" t="s">
        <v>19</v>
      </c>
      <c r="D1605" t="s">
        <v>34</v>
      </c>
      <c r="E1605" t="s">
        <v>27</v>
      </c>
      <c r="F1605" t="s">
        <v>39</v>
      </c>
      <c r="G1605" t="s">
        <v>30</v>
      </c>
      <c r="H1605">
        <v>77164</v>
      </c>
      <c r="I1605">
        <v>28283</v>
      </c>
      <c r="J1605">
        <v>3</v>
      </c>
      <c r="K1605">
        <v>5</v>
      </c>
      <c r="L1605">
        <v>4</v>
      </c>
      <c r="M1605" t="s">
        <v>25</v>
      </c>
      <c r="N1605">
        <v>1</v>
      </c>
      <c r="O1605">
        <v>37</v>
      </c>
      <c r="P1605">
        <v>11</v>
      </c>
      <c r="Q1605">
        <v>1</v>
      </c>
      <c r="R1605">
        <v>2</v>
      </c>
      <c r="S1605" t="s">
        <v>24</v>
      </c>
    </row>
    <row r="1606" spans="1:19" x14ac:dyDescent="0.25">
      <c r="A1606">
        <v>11605</v>
      </c>
      <c r="B1606">
        <v>31</v>
      </c>
      <c r="C1606" t="s">
        <v>31</v>
      </c>
      <c r="D1606" t="s">
        <v>26</v>
      </c>
      <c r="E1606" t="s">
        <v>27</v>
      </c>
      <c r="F1606" t="s">
        <v>39</v>
      </c>
      <c r="G1606" t="s">
        <v>38</v>
      </c>
      <c r="H1606">
        <v>72262</v>
      </c>
      <c r="I1606">
        <v>33133</v>
      </c>
      <c r="J1606">
        <v>19</v>
      </c>
      <c r="K1606">
        <v>5</v>
      </c>
      <c r="L1606">
        <v>4</v>
      </c>
      <c r="M1606" t="s">
        <v>24</v>
      </c>
      <c r="N1606">
        <v>1</v>
      </c>
      <c r="O1606">
        <v>15</v>
      </c>
      <c r="P1606">
        <v>33</v>
      </c>
      <c r="Q1606">
        <v>1</v>
      </c>
      <c r="R1606">
        <v>4</v>
      </c>
      <c r="S1606" t="s">
        <v>24</v>
      </c>
    </row>
    <row r="1607" spans="1:19" x14ac:dyDescent="0.25">
      <c r="A1607">
        <v>11606</v>
      </c>
      <c r="B1607">
        <v>27</v>
      </c>
      <c r="C1607" t="s">
        <v>31</v>
      </c>
      <c r="D1607" t="s">
        <v>26</v>
      </c>
      <c r="E1607" t="s">
        <v>33</v>
      </c>
      <c r="F1607" t="s">
        <v>39</v>
      </c>
      <c r="G1607" t="s">
        <v>38</v>
      </c>
      <c r="H1607">
        <v>33273</v>
      </c>
      <c r="I1607">
        <v>13036</v>
      </c>
      <c r="J1607">
        <v>21</v>
      </c>
      <c r="K1607">
        <v>5</v>
      </c>
      <c r="L1607">
        <v>3</v>
      </c>
      <c r="M1607" t="s">
        <v>25</v>
      </c>
      <c r="N1607">
        <v>3</v>
      </c>
      <c r="O1607">
        <v>1</v>
      </c>
      <c r="P1607">
        <v>26</v>
      </c>
      <c r="Q1607">
        <v>3</v>
      </c>
      <c r="R1607">
        <v>1</v>
      </c>
      <c r="S1607" t="s">
        <v>25</v>
      </c>
    </row>
    <row r="1608" spans="1:19" x14ac:dyDescent="0.25">
      <c r="A1608">
        <v>11607</v>
      </c>
      <c r="B1608">
        <v>31</v>
      </c>
      <c r="C1608" t="s">
        <v>31</v>
      </c>
      <c r="D1608" t="s">
        <v>20</v>
      </c>
      <c r="E1608" t="s">
        <v>27</v>
      </c>
      <c r="F1608" t="s">
        <v>35</v>
      </c>
      <c r="G1608" t="s">
        <v>30</v>
      </c>
      <c r="H1608">
        <v>60387</v>
      </c>
      <c r="I1608">
        <v>24675</v>
      </c>
      <c r="J1608">
        <v>8</v>
      </c>
      <c r="K1608">
        <v>6</v>
      </c>
      <c r="L1608">
        <v>3</v>
      </c>
      <c r="M1608" t="s">
        <v>25</v>
      </c>
      <c r="N1608">
        <v>3</v>
      </c>
      <c r="O1608">
        <v>28</v>
      </c>
      <c r="P1608">
        <v>14</v>
      </c>
      <c r="Q1608">
        <v>2</v>
      </c>
      <c r="R1608">
        <v>2</v>
      </c>
      <c r="S1608" t="s">
        <v>25</v>
      </c>
    </row>
    <row r="1609" spans="1:19" x14ac:dyDescent="0.25">
      <c r="A1609">
        <v>11608</v>
      </c>
      <c r="B1609">
        <v>48</v>
      </c>
      <c r="C1609" t="s">
        <v>31</v>
      </c>
      <c r="D1609" t="s">
        <v>41</v>
      </c>
      <c r="E1609" t="s">
        <v>40</v>
      </c>
      <c r="F1609" t="s">
        <v>22</v>
      </c>
      <c r="G1609" t="s">
        <v>30</v>
      </c>
      <c r="H1609">
        <v>10034</v>
      </c>
      <c r="I1609">
        <v>23927</v>
      </c>
      <c r="J1609">
        <v>8</v>
      </c>
      <c r="K1609">
        <v>5</v>
      </c>
      <c r="L1609">
        <v>2</v>
      </c>
      <c r="M1609" t="s">
        <v>25</v>
      </c>
      <c r="N1609">
        <v>4</v>
      </c>
      <c r="O1609">
        <v>23</v>
      </c>
      <c r="P1609">
        <v>51</v>
      </c>
      <c r="Q1609">
        <v>1</v>
      </c>
      <c r="R1609">
        <v>1</v>
      </c>
      <c r="S1609" t="s">
        <v>24</v>
      </c>
    </row>
    <row r="1610" spans="1:19" x14ac:dyDescent="0.25">
      <c r="A1610">
        <v>11609</v>
      </c>
      <c r="B1610">
        <v>37</v>
      </c>
      <c r="C1610" t="s">
        <v>19</v>
      </c>
      <c r="D1610" t="s">
        <v>20</v>
      </c>
      <c r="E1610" t="s">
        <v>36</v>
      </c>
      <c r="F1610" t="s">
        <v>39</v>
      </c>
      <c r="G1610" t="s">
        <v>30</v>
      </c>
      <c r="H1610">
        <v>47978</v>
      </c>
      <c r="I1610">
        <v>11951</v>
      </c>
      <c r="J1610">
        <v>3</v>
      </c>
      <c r="K1610">
        <v>0</v>
      </c>
      <c r="L1610">
        <v>4</v>
      </c>
      <c r="M1610" t="s">
        <v>24</v>
      </c>
      <c r="N1610">
        <v>1</v>
      </c>
      <c r="O1610">
        <v>38</v>
      </c>
      <c r="P1610">
        <v>33</v>
      </c>
      <c r="Q1610">
        <v>1</v>
      </c>
      <c r="R1610">
        <v>1</v>
      </c>
      <c r="S1610" t="s">
        <v>24</v>
      </c>
    </row>
    <row r="1611" spans="1:19" x14ac:dyDescent="0.25">
      <c r="A1611">
        <v>11610</v>
      </c>
      <c r="B1611">
        <v>56</v>
      </c>
      <c r="C1611" t="s">
        <v>31</v>
      </c>
      <c r="D1611" t="s">
        <v>32</v>
      </c>
      <c r="E1611" t="s">
        <v>29</v>
      </c>
      <c r="F1611" t="s">
        <v>39</v>
      </c>
      <c r="G1611" t="s">
        <v>38</v>
      </c>
      <c r="H1611">
        <v>158394</v>
      </c>
      <c r="I1611">
        <v>8866</v>
      </c>
      <c r="J1611">
        <v>10</v>
      </c>
      <c r="K1611">
        <v>0</v>
      </c>
      <c r="L1611">
        <v>3</v>
      </c>
      <c r="M1611" t="s">
        <v>25</v>
      </c>
      <c r="N1611">
        <v>2</v>
      </c>
      <c r="O1611">
        <v>3</v>
      </c>
      <c r="P1611">
        <v>34</v>
      </c>
      <c r="Q1611">
        <v>4</v>
      </c>
      <c r="R1611">
        <v>3</v>
      </c>
      <c r="S1611" t="s">
        <v>25</v>
      </c>
    </row>
    <row r="1612" spans="1:19" x14ac:dyDescent="0.25">
      <c r="A1612">
        <v>11611</v>
      </c>
      <c r="B1612">
        <v>31</v>
      </c>
      <c r="C1612" t="s">
        <v>19</v>
      </c>
      <c r="D1612" t="s">
        <v>20</v>
      </c>
      <c r="E1612" t="s">
        <v>36</v>
      </c>
      <c r="F1612" t="s">
        <v>39</v>
      </c>
      <c r="G1612" t="s">
        <v>38</v>
      </c>
      <c r="H1612">
        <v>69523</v>
      </c>
      <c r="I1612">
        <v>10071</v>
      </c>
      <c r="J1612">
        <v>5</v>
      </c>
      <c r="K1612">
        <v>10</v>
      </c>
      <c r="L1612">
        <v>4</v>
      </c>
      <c r="M1612" t="s">
        <v>24</v>
      </c>
      <c r="N1612">
        <v>4</v>
      </c>
      <c r="O1612">
        <v>9</v>
      </c>
      <c r="P1612">
        <v>12</v>
      </c>
      <c r="Q1612">
        <v>3</v>
      </c>
      <c r="R1612">
        <v>2</v>
      </c>
      <c r="S1612" t="s">
        <v>25</v>
      </c>
    </row>
    <row r="1613" spans="1:19" x14ac:dyDescent="0.25">
      <c r="A1613">
        <v>11612</v>
      </c>
      <c r="B1613">
        <v>53</v>
      </c>
      <c r="C1613" t="s">
        <v>19</v>
      </c>
      <c r="D1613" t="s">
        <v>32</v>
      </c>
      <c r="E1613" t="s">
        <v>33</v>
      </c>
      <c r="F1613" t="s">
        <v>39</v>
      </c>
      <c r="G1613" t="s">
        <v>38</v>
      </c>
      <c r="H1613">
        <v>27811</v>
      </c>
      <c r="I1613">
        <v>12672</v>
      </c>
      <c r="J1613">
        <v>23</v>
      </c>
      <c r="K1613">
        <v>6</v>
      </c>
      <c r="L1613">
        <v>4</v>
      </c>
      <c r="M1613" t="s">
        <v>25</v>
      </c>
      <c r="N1613">
        <v>4</v>
      </c>
      <c r="O1613">
        <v>4</v>
      </c>
      <c r="P1613">
        <v>39</v>
      </c>
      <c r="Q1613">
        <v>2</v>
      </c>
      <c r="R1613">
        <v>4</v>
      </c>
      <c r="S1613" t="s">
        <v>25</v>
      </c>
    </row>
    <row r="1614" spans="1:19" x14ac:dyDescent="0.25">
      <c r="A1614">
        <v>11613</v>
      </c>
      <c r="B1614">
        <v>57</v>
      </c>
      <c r="C1614" t="s">
        <v>19</v>
      </c>
      <c r="D1614" t="s">
        <v>41</v>
      </c>
      <c r="E1614" t="s">
        <v>40</v>
      </c>
      <c r="F1614" t="s">
        <v>39</v>
      </c>
      <c r="G1614" t="s">
        <v>38</v>
      </c>
      <c r="H1614">
        <v>19755</v>
      </c>
      <c r="I1614">
        <v>16802</v>
      </c>
      <c r="J1614">
        <v>2</v>
      </c>
      <c r="K1614">
        <v>3</v>
      </c>
      <c r="L1614">
        <v>4</v>
      </c>
      <c r="M1614" t="s">
        <v>24</v>
      </c>
      <c r="N1614">
        <v>3</v>
      </c>
      <c r="O1614">
        <v>29</v>
      </c>
      <c r="P1614">
        <v>43</v>
      </c>
      <c r="Q1614">
        <v>2</v>
      </c>
      <c r="R1614">
        <v>4</v>
      </c>
      <c r="S1614" t="s">
        <v>25</v>
      </c>
    </row>
    <row r="1615" spans="1:19" x14ac:dyDescent="0.25">
      <c r="A1615">
        <v>11614</v>
      </c>
      <c r="B1615">
        <v>41</v>
      </c>
      <c r="C1615" t="s">
        <v>19</v>
      </c>
      <c r="D1615" t="s">
        <v>20</v>
      </c>
      <c r="E1615" t="s">
        <v>29</v>
      </c>
      <c r="F1615" t="s">
        <v>35</v>
      </c>
      <c r="G1615" t="s">
        <v>38</v>
      </c>
      <c r="H1615">
        <v>133957</v>
      </c>
      <c r="I1615">
        <v>16457</v>
      </c>
      <c r="J1615">
        <v>8</v>
      </c>
      <c r="K1615">
        <v>14</v>
      </c>
      <c r="L1615">
        <v>5</v>
      </c>
      <c r="M1615" t="s">
        <v>25</v>
      </c>
      <c r="N1615">
        <v>3</v>
      </c>
      <c r="O1615">
        <v>34</v>
      </c>
      <c r="P1615">
        <v>36</v>
      </c>
      <c r="Q1615">
        <v>1</v>
      </c>
      <c r="R1615">
        <v>2</v>
      </c>
      <c r="S1615" t="s">
        <v>25</v>
      </c>
    </row>
    <row r="1616" spans="1:19" x14ac:dyDescent="0.25">
      <c r="A1616">
        <v>11615</v>
      </c>
      <c r="B1616">
        <v>51</v>
      </c>
      <c r="C1616" t="s">
        <v>31</v>
      </c>
      <c r="D1616" t="s">
        <v>34</v>
      </c>
      <c r="E1616" t="s">
        <v>36</v>
      </c>
      <c r="F1616" t="s">
        <v>35</v>
      </c>
      <c r="G1616" t="s">
        <v>38</v>
      </c>
      <c r="H1616">
        <v>65339</v>
      </c>
      <c r="I1616">
        <v>43906</v>
      </c>
      <c r="J1616">
        <v>5</v>
      </c>
      <c r="K1616">
        <v>11</v>
      </c>
      <c r="L1616">
        <v>3</v>
      </c>
      <c r="M1616" t="s">
        <v>25</v>
      </c>
      <c r="N1616">
        <v>3</v>
      </c>
      <c r="O1616">
        <v>17</v>
      </c>
      <c r="P1616">
        <v>46</v>
      </c>
      <c r="Q1616">
        <v>4</v>
      </c>
      <c r="R1616">
        <v>1</v>
      </c>
      <c r="S1616" t="s">
        <v>25</v>
      </c>
    </row>
    <row r="1617" spans="1:19" x14ac:dyDescent="0.25">
      <c r="A1617">
        <v>11616</v>
      </c>
      <c r="B1617">
        <v>36</v>
      </c>
      <c r="C1617" t="s">
        <v>19</v>
      </c>
      <c r="D1617" t="s">
        <v>20</v>
      </c>
      <c r="E1617" t="s">
        <v>36</v>
      </c>
      <c r="F1617" t="s">
        <v>35</v>
      </c>
      <c r="G1617" t="s">
        <v>23</v>
      </c>
      <c r="H1617">
        <v>62435</v>
      </c>
      <c r="I1617">
        <v>22852</v>
      </c>
      <c r="J1617">
        <v>6</v>
      </c>
      <c r="K1617">
        <v>6</v>
      </c>
      <c r="L1617">
        <v>3</v>
      </c>
      <c r="M1617" t="s">
        <v>25</v>
      </c>
      <c r="N1617">
        <v>2</v>
      </c>
      <c r="O1617">
        <v>18</v>
      </c>
      <c r="P1617">
        <v>37</v>
      </c>
      <c r="Q1617">
        <v>2</v>
      </c>
      <c r="R1617">
        <v>4</v>
      </c>
      <c r="S1617" t="s">
        <v>24</v>
      </c>
    </row>
    <row r="1618" spans="1:19" x14ac:dyDescent="0.25">
      <c r="A1618">
        <v>11617</v>
      </c>
      <c r="B1618">
        <v>55</v>
      </c>
      <c r="C1618" t="s">
        <v>19</v>
      </c>
      <c r="D1618" t="s">
        <v>26</v>
      </c>
      <c r="E1618" t="s">
        <v>33</v>
      </c>
      <c r="F1618" t="s">
        <v>35</v>
      </c>
      <c r="G1618" t="s">
        <v>30</v>
      </c>
      <c r="H1618">
        <v>27310</v>
      </c>
      <c r="I1618">
        <v>23595</v>
      </c>
      <c r="J1618">
        <v>10</v>
      </c>
      <c r="K1618">
        <v>10</v>
      </c>
      <c r="L1618">
        <v>2</v>
      </c>
      <c r="M1618" t="s">
        <v>24</v>
      </c>
      <c r="N1618">
        <v>1</v>
      </c>
      <c r="O1618">
        <v>2</v>
      </c>
      <c r="P1618">
        <v>26</v>
      </c>
      <c r="Q1618">
        <v>1</v>
      </c>
      <c r="R1618">
        <v>2</v>
      </c>
      <c r="S1618" t="s">
        <v>25</v>
      </c>
    </row>
    <row r="1619" spans="1:19" x14ac:dyDescent="0.25">
      <c r="A1619">
        <v>11618</v>
      </c>
      <c r="B1619">
        <v>29</v>
      </c>
      <c r="C1619" t="s">
        <v>19</v>
      </c>
      <c r="D1619" t="s">
        <v>34</v>
      </c>
      <c r="E1619" t="s">
        <v>33</v>
      </c>
      <c r="F1619" t="s">
        <v>22</v>
      </c>
      <c r="G1619" t="s">
        <v>30</v>
      </c>
      <c r="H1619">
        <v>26268</v>
      </c>
      <c r="I1619">
        <v>39358</v>
      </c>
      <c r="J1619">
        <v>0</v>
      </c>
      <c r="K1619">
        <v>0</v>
      </c>
      <c r="L1619">
        <v>2</v>
      </c>
      <c r="M1619" t="s">
        <v>25</v>
      </c>
      <c r="N1619">
        <v>4</v>
      </c>
      <c r="O1619">
        <v>19</v>
      </c>
      <c r="P1619">
        <v>6</v>
      </c>
      <c r="Q1619">
        <v>4</v>
      </c>
      <c r="R1619">
        <v>4</v>
      </c>
      <c r="S1619" t="s">
        <v>25</v>
      </c>
    </row>
    <row r="1620" spans="1:19" x14ac:dyDescent="0.25">
      <c r="A1620">
        <v>11619</v>
      </c>
      <c r="B1620">
        <v>53</v>
      </c>
      <c r="C1620" t="s">
        <v>31</v>
      </c>
      <c r="D1620" t="s">
        <v>20</v>
      </c>
      <c r="E1620" t="s">
        <v>33</v>
      </c>
      <c r="F1620" t="s">
        <v>39</v>
      </c>
      <c r="G1620" t="s">
        <v>38</v>
      </c>
      <c r="H1620">
        <v>25910</v>
      </c>
      <c r="I1620">
        <v>18074</v>
      </c>
      <c r="J1620">
        <v>23</v>
      </c>
      <c r="K1620">
        <v>8</v>
      </c>
      <c r="L1620">
        <v>3</v>
      </c>
      <c r="M1620" t="s">
        <v>25</v>
      </c>
      <c r="N1620">
        <v>2</v>
      </c>
      <c r="O1620">
        <v>24</v>
      </c>
      <c r="P1620">
        <v>29</v>
      </c>
      <c r="Q1620">
        <v>2</v>
      </c>
      <c r="R1620">
        <v>1</v>
      </c>
      <c r="S1620" t="s">
        <v>24</v>
      </c>
    </row>
    <row r="1621" spans="1:19" x14ac:dyDescent="0.25">
      <c r="A1621">
        <v>11620</v>
      </c>
      <c r="B1621">
        <v>30</v>
      </c>
      <c r="C1621" t="s">
        <v>19</v>
      </c>
      <c r="D1621" t="s">
        <v>34</v>
      </c>
      <c r="E1621" t="s">
        <v>40</v>
      </c>
      <c r="F1621" t="s">
        <v>39</v>
      </c>
      <c r="G1621" t="s">
        <v>38</v>
      </c>
      <c r="H1621">
        <v>11560</v>
      </c>
      <c r="I1621">
        <v>27244</v>
      </c>
      <c r="J1621">
        <v>15</v>
      </c>
      <c r="K1621">
        <v>14</v>
      </c>
      <c r="L1621">
        <v>3</v>
      </c>
      <c r="M1621" t="s">
        <v>25</v>
      </c>
      <c r="N1621">
        <v>3</v>
      </c>
      <c r="O1621">
        <v>32</v>
      </c>
      <c r="P1621">
        <v>31</v>
      </c>
      <c r="Q1621">
        <v>3</v>
      </c>
      <c r="R1621">
        <v>1</v>
      </c>
      <c r="S1621" t="s">
        <v>25</v>
      </c>
    </row>
    <row r="1622" spans="1:19" x14ac:dyDescent="0.25">
      <c r="A1622">
        <v>11621</v>
      </c>
      <c r="B1622">
        <v>59</v>
      </c>
      <c r="C1622" t="s">
        <v>19</v>
      </c>
      <c r="D1622" t="s">
        <v>34</v>
      </c>
      <c r="E1622" t="s">
        <v>33</v>
      </c>
      <c r="F1622" t="s">
        <v>35</v>
      </c>
      <c r="G1622" t="s">
        <v>38</v>
      </c>
      <c r="H1622">
        <v>36515</v>
      </c>
      <c r="I1622">
        <v>28245</v>
      </c>
      <c r="J1622">
        <v>6</v>
      </c>
      <c r="K1622">
        <v>1</v>
      </c>
      <c r="L1622">
        <v>4</v>
      </c>
      <c r="M1622" t="s">
        <v>25</v>
      </c>
      <c r="N1622">
        <v>2</v>
      </c>
      <c r="O1622">
        <v>33</v>
      </c>
      <c r="P1622">
        <v>34</v>
      </c>
      <c r="Q1622">
        <v>2</v>
      </c>
      <c r="R1622">
        <v>2</v>
      </c>
      <c r="S1622" t="s">
        <v>25</v>
      </c>
    </row>
    <row r="1623" spans="1:19" x14ac:dyDescent="0.25">
      <c r="A1623">
        <v>11622</v>
      </c>
      <c r="B1623">
        <v>22</v>
      </c>
      <c r="C1623" t="s">
        <v>31</v>
      </c>
      <c r="D1623" t="s">
        <v>34</v>
      </c>
      <c r="E1623" t="s">
        <v>33</v>
      </c>
      <c r="F1623" t="s">
        <v>39</v>
      </c>
      <c r="G1623" t="s">
        <v>38</v>
      </c>
      <c r="H1623">
        <v>34914</v>
      </c>
      <c r="I1623">
        <v>32606</v>
      </c>
      <c r="J1623">
        <v>19</v>
      </c>
      <c r="K1623">
        <v>3</v>
      </c>
      <c r="L1623">
        <v>2</v>
      </c>
      <c r="M1623" t="s">
        <v>25</v>
      </c>
      <c r="N1623">
        <v>3</v>
      </c>
      <c r="O1623">
        <v>5</v>
      </c>
      <c r="P1623">
        <v>44</v>
      </c>
      <c r="Q1623">
        <v>3</v>
      </c>
      <c r="R1623">
        <v>3</v>
      </c>
      <c r="S1623" t="s">
        <v>25</v>
      </c>
    </row>
    <row r="1624" spans="1:19" x14ac:dyDescent="0.25">
      <c r="A1624">
        <v>11623</v>
      </c>
      <c r="B1624">
        <v>47</v>
      </c>
      <c r="C1624" t="s">
        <v>19</v>
      </c>
      <c r="D1624" t="s">
        <v>28</v>
      </c>
      <c r="E1624" t="s">
        <v>33</v>
      </c>
      <c r="F1624" t="s">
        <v>39</v>
      </c>
      <c r="G1624" t="s">
        <v>23</v>
      </c>
      <c r="H1624">
        <v>34578</v>
      </c>
      <c r="I1624">
        <v>46958</v>
      </c>
      <c r="J1624">
        <v>1</v>
      </c>
      <c r="K1624">
        <v>5</v>
      </c>
      <c r="L1624">
        <v>3</v>
      </c>
      <c r="M1624" t="s">
        <v>25</v>
      </c>
      <c r="N1624">
        <v>1</v>
      </c>
      <c r="O1624">
        <v>10</v>
      </c>
      <c r="P1624">
        <v>52</v>
      </c>
      <c r="Q1624">
        <v>1</v>
      </c>
      <c r="R1624">
        <v>1</v>
      </c>
      <c r="S1624" t="s">
        <v>24</v>
      </c>
    </row>
    <row r="1625" spans="1:19" x14ac:dyDescent="0.25">
      <c r="A1625">
        <v>11624</v>
      </c>
      <c r="B1625">
        <v>21</v>
      </c>
      <c r="C1625" t="s">
        <v>19</v>
      </c>
      <c r="D1625" t="s">
        <v>34</v>
      </c>
      <c r="E1625" t="s">
        <v>33</v>
      </c>
      <c r="F1625" t="s">
        <v>22</v>
      </c>
      <c r="G1625" t="s">
        <v>38</v>
      </c>
      <c r="H1625">
        <v>38155</v>
      </c>
      <c r="I1625">
        <v>49109</v>
      </c>
      <c r="J1625">
        <v>18</v>
      </c>
      <c r="K1625">
        <v>5</v>
      </c>
      <c r="L1625">
        <v>4</v>
      </c>
      <c r="M1625" t="s">
        <v>25</v>
      </c>
      <c r="N1625">
        <v>3</v>
      </c>
      <c r="O1625">
        <v>1</v>
      </c>
      <c r="P1625">
        <v>29</v>
      </c>
      <c r="Q1625">
        <v>2</v>
      </c>
      <c r="R1625">
        <v>4</v>
      </c>
      <c r="S1625" t="s">
        <v>25</v>
      </c>
    </row>
    <row r="1626" spans="1:19" x14ac:dyDescent="0.25">
      <c r="A1626">
        <v>11625</v>
      </c>
      <c r="B1626">
        <v>35</v>
      </c>
      <c r="C1626" t="s">
        <v>31</v>
      </c>
      <c r="D1626" t="s">
        <v>26</v>
      </c>
      <c r="E1626" t="s">
        <v>33</v>
      </c>
      <c r="F1626" t="s">
        <v>39</v>
      </c>
      <c r="G1626" t="s">
        <v>38</v>
      </c>
      <c r="H1626">
        <v>31486</v>
      </c>
      <c r="I1626">
        <v>7664</v>
      </c>
      <c r="J1626">
        <v>1</v>
      </c>
      <c r="K1626">
        <v>5</v>
      </c>
      <c r="L1626">
        <v>3</v>
      </c>
      <c r="M1626" t="s">
        <v>25</v>
      </c>
      <c r="N1626">
        <v>3</v>
      </c>
      <c r="O1626">
        <v>34</v>
      </c>
      <c r="P1626">
        <v>48</v>
      </c>
      <c r="Q1626">
        <v>2</v>
      </c>
      <c r="R1626">
        <v>3</v>
      </c>
      <c r="S1626" t="s">
        <v>25</v>
      </c>
    </row>
    <row r="1627" spans="1:19" x14ac:dyDescent="0.25">
      <c r="A1627">
        <v>11626</v>
      </c>
      <c r="B1627">
        <v>33</v>
      </c>
      <c r="C1627" t="s">
        <v>19</v>
      </c>
      <c r="D1627" t="s">
        <v>26</v>
      </c>
      <c r="E1627" t="s">
        <v>33</v>
      </c>
      <c r="F1627" t="s">
        <v>35</v>
      </c>
      <c r="G1627" t="s">
        <v>30</v>
      </c>
      <c r="H1627">
        <v>42926</v>
      </c>
      <c r="I1627">
        <v>32146</v>
      </c>
      <c r="J1627">
        <v>22</v>
      </c>
      <c r="K1627">
        <v>13</v>
      </c>
      <c r="L1627">
        <v>4</v>
      </c>
      <c r="M1627" t="s">
        <v>25</v>
      </c>
      <c r="N1627">
        <v>1</v>
      </c>
      <c r="O1627">
        <v>27</v>
      </c>
      <c r="P1627">
        <v>48</v>
      </c>
      <c r="Q1627">
        <v>2</v>
      </c>
      <c r="R1627">
        <v>3</v>
      </c>
      <c r="S1627" t="s">
        <v>24</v>
      </c>
    </row>
    <row r="1628" spans="1:19" x14ac:dyDescent="0.25">
      <c r="A1628">
        <v>11627</v>
      </c>
      <c r="B1628">
        <v>52</v>
      </c>
      <c r="C1628" t="s">
        <v>19</v>
      </c>
      <c r="D1628" t="s">
        <v>41</v>
      </c>
      <c r="E1628" t="s">
        <v>27</v>
      </c>
      <c r="F1628" t="s">
        <v>22</v>
      </c>
      <c r="G1628" t="s">
        <v>23</v>
      </c>
      <c r="H1628">
        <v>63950</v>
      </c>
      <c r="I1628">
        <v>23553</v>
      </c>
      <c r="J1628">
        <v>10</v>
      </c>
      <c r="K1628">
        <v>4</v>
      </c>
      <c r="L1628">
        <v>3</v>
      </c>
      <c r="M1628" t="s">
        <v>24</v>
      </c>
      <c r="N1628">
        <v>2</v>
      </c>
      <c r="O1628">
        <v>21</v>
      </c>
      <c r="P1628">
        <v>54</v>
      </c>
      <c r="Q1628">
        <v>1</v>
      </c>
      <c r="R1628">
        <v>1</v>
      </c>
      <c r="S1628" t="s">
        <v>25</v>
      </c>
    </row>
    <row r="1629" spans="1:19" x14ac:dyDescent="0.25">
      <c r="A1629">
        <v>11628</v>
      </c>
      <c r="B1629">
        <v>21</v>
      </c>
      <c r="C1629" t="s">
        <v>19</v>
      </c>
      <c r="D1629" t="s">
        <v>20</v>
      </c>
      <c r="E1629" t="s">
        <v>27</v>
      </c>
      <c r="F1629" t="s">
        <v>35</v>
      </c>
      <c r="G1629" t="s">
        <v>38</v>
      </c>
      <c r="H1629">
        <v>74913</v>
      </c>
      <c r="I1629">
        <v>17279</v>
      </c>
      <c r="J1629">
        <v>6</v>
      </c>
      <c r="K1629">
        <v>0</v>
      </c>
      <c r="L1629">
        <v>4</v>
      </c>
      <c r="M1629" t="s">
        <v>25</v>
      </c>
      <c r="N1629">
        <v>2</v>
      </c>
      <c r="O1629">
        <v>12</v>
      </c>
      <c r="P1629">
        <v>57</v>
      </c>
      <c r="Q1629">
        <v>1</v>
      </c>
      <c r="R1629">
        <v>2</v>
      </c>
      <c r="S1629" t="s">
        <v>25</v>
      </c>
    </row>
    <row r="1630" spans="1:19" x14ac:dyDescent="0.25">
      <c r="A1630">
        <v>11629</v>
      </c>
      <c r="B1630">
        <v>27</v>
      </c>
      <c r="C1630" t="s">
        <v>19</v>
      </c>
      <c r="D1630" t="s">
        <v>26</v>
      </c>
      <c r="E1630" t="s">
        <v>36</v>
      </c>
      <c r="F1630" t="s">
        <v>39</v>
      </c>
      <c r="G1630" t="s">
        <v>30</v>
      </c>
      <c r="H1630">
        <v>58923</v>
      </c>
      <c r="I1630">
        <v>31419</v>
      </c>
      <c r="J1630">
        <v>20</v>
      </c>
      <c r="K1630">
        <v>7</v>
      </c>
      <c r="L1630">
        <v>3</v>
      </c>
      <c r="M1630" t="s">
        <v>25</v>
      </c>
      <c r="N1630">
        <v>4</v>
      </c>
      <c r="O1630">
        <v>29</v>
      </c>
      <c r="P1630">
        <v>27</v>
      </c>
      <c r="Q1630">
        <v>1</v>
      </c>
      <c r="R1630">
        <v>3</v>
      </c>
      <c r="S1630" t="s">
        <v>25</v>
      </c>
    </row>
    <row r="1631" spans="1:19" x14ac:dyDescent="0.25">
      <c r="A1631">
        <v>11630</v>
      </c>
      <c r="B1631">
        <v>23</v>
      </c>
      <c r="C1631" t="s">
        <v>31</v>
      </c>
      <c r="D1631" t="s">
        <v>20</v>
      </c>
      <c r="E1631" t="s">
        <v>36</v>
      </c>
      <c r="F1631" t="s">
        <v>35</v>
      </c>
      <c r="G1631" t="s">
        <v>23</v>
      </c>
      <c r="H1631">
        <v>47683</v>
      </c>
      <c r="I1631">
        <v>20487</v>
      </c>
      <c r="J1631">
        <v>14</v>
      </c>
      <c r="K1631">
        <v>14</v>
      </c>
      <c r="L1631">
        <v>3</v>
      </c>
      <c r="M1631" t="s">
        <v>24</v>
      </c>
      <c r="N1631">
        <v>3</v>
      </c>
      <c r="O1631">
        <v>34</v>
      </c>
      <c r="P1631">
        <v>11</v>
      </c>
      <c r="Q1631">
        <v>4</v>
      </c>
      <c r="R1631">
        <v>3</v>
      </c>
      <c r="S1631" t="s">
        <v>25</v>
      </c>
    </row>
    <row r="1632" spans="1:19" x14ac:dyDescent="0.25">
      <c r="A1632">
        <v>11631</v>
      </c>
      <c r="B1632">
        <v>48</v>
      </c>
      <c r="C1632" t="s">
        <v>31</v>
      </c>
      <c r="D1632" t="s">
        <v>26</v>
      </c>
      <c r="E1632" t="s">
        <v>33</v>
      </c>
      <c r="F1632" t="s">
        <v>22</v>
      </c>
      <c r="G1632" t="s">
        <v>30</v>
      </c>
      <c r="H1632">
        <v>40987</v>
      </c>
      <c r="I1632">
        <v>39330</v>
      </c>
      <c r="J1632">
        <v>15</v>
      </c>
      <c r="K1632">
        <v>14</v>
      </c>
      <c r="L1632">
        <v>4</v>
      </c>
      <c r="M1632" t="s">
        <v>25</v>
      </c>
      <c r="N1632">
        <v>1</v>
      </c>
      <c r="O1632">
        <v>29</v>
      </c>
      <c r="P1632">
        <v>41</v>
      </c>
      <c r="Q1632">
        <v>4</v>
      </c>
      <c r="R1632">
        <v>4</v>
      </c>
      <c r="S1632" t="s">
        <v>25</v>
      </c>
    </row>
    <row r="1633" spans="1:19" x14ac:dyDescent="0.25">
      <c r="A1633">
        <v>11632</v>
      </c>
      <c r="B1633">
        <v>48</v>
      </c>
      <c r="C1633" t="s">
        <v>19</v>
      </c>
      <c r="D1633" t="s">
        <v>20</v>
      </c>
      <c r="E1633" t="s">
        <v>27</v>
      </c>
      <c r="F1633" t="s">
        <v>35</v>
      </c>
      <c r="G1633" t="s">
        <v>38</v>
      </c>
      <c r="H1633">
        <v>63623</v>
      </c>
      <c r="I1633">
        <v>18953</v>
      </c>
      <c r="J1633">
        <v>24</v>
      </c>
      <c r="K1633">
        <v>2</v>
      </c>
      <c r="L1633">
        <v>5</v>
      </c>
      <c r="M1633" t="s">
        <v>25</v>
      </c>
      <c r="N1633">
        <v>1</v>
      </c>
      <c r="O1633">
        <v>27</v>
      </c>
      <c r="P1633">
        <v>59</v>
      </c>
      <c r="Q1633">
        <v>1</v>
      </c>
      <c r="R1633">
        <v>3</v>
      </c>
      <c r="S1633" t="s">
        <v>24</v>
      </c>
    </row>
    <row r="1634" spans="1:19" x14ac:dyDescent="0.25">
      <c r="A1634">
        <v>11633</v>
      </c>
      <c r="B1634">
        <v>57</v>
      </c>
      <c r="C1634" t="s">
        <v>19</v>
      </c>
      <c r="D1634" t="s">
        <v>26</v>
      </c>
      <c r="E1634" t="s">
        <v>27</v>
      </c>
      <c r="F1634" t="s">
        <v>22</v>
      </c>
      <c r="G1634" t="s">
        <v>38</v>
      </c>
      <c r="H1634">
        <v>78186</v>
      </c>
      <c r="I1634">
        <v>43211</v>
      </c>
      <c r="J1634">
        <v>13</v>
      </c>
      <c r="K1634">
        <v>10</v>
      </c>
      <c r="L1634">
        <v>5</v>
      </c>
      <c r="M1634" t="s">
        <v>25</v>
      </c>
      <c r="N1634">
        <v>3</v>
      </c>
      <c r="O1634">
        <v>10</v>
      </c>
      <c r="P1634">
        <v>7</v>
      </c>
      <c r="Q1634">
        <v>3</v>
      </c>
      <c r="R1634">
        <v>3</v>
      </c>
      <c r="S1634" t="s">
        <v>25</v>
      </c>
    </row>
    <row r="1635" spans="1:19" x14ac:dyDescent="0.25">
      <c r="A1635">
        <v>11634</v>
      </c>
      <c r="B1635">
        <v>23</v>
      </c>
      <c r="C1635" t="s">
        <v>31</v>
      </c>
      <c r="D1635" t="s">
        <v>20</v>
      </c>
      <c r="E1635" t="s">
        <v>27</v>
      </c>
      <c r="F1635" t="s">
        <v>22</v>
      </c>
      <c r="G1635" t="s">
        <v>38</v>
      </c>
      <c r="H1635">
        <v>64045</v>
      </c>
      <c r="I1635">
        <v>21604</v>
      </c>
      <c r="J1635">
        <v>15</v>
      </c>
      <c r="K1635">
        <v>0</v>
      </c>
      <c r="L1635">
        <v>3</v>
      </c>
      <c r="M1635" t="s">
        <v>24</v>
      </c>
      <c r="N1635">
        <v>2</v>
      </c>
      <c r="O1635">
        <v>37</v>
      </c>
      <c r="P1635">
        <v>9</v>
      </c>
      <c r="Q1635">
        <v>4</v>
      </c>
      <c r="R1635">
        <v>3</v>
      </c>
      <c r="S1635" t="s">
        <v>25</v>
      </c>
    </row>
    <row r="1636" spans="1:19" x14ac:dyDescent="0.25">
      <c r="A1636">
        <v>11635</v>
      </c>
      <c r="B1636">
        <v>54</v>
      </c>
      <c r="C1636" t="s">
        <v>19</v>
      </c>
      <c r="D1636" t="s">
        <v>32</v>
      </c>
      <c r="E1636" t="s">
        <v>27</v>
      </c>
      <c r="F1636" t="s">
        <v>22</v>
      </c>
      <c r="G1636" t="s">
        <v>30</v>
      </c>
      <c r="H1636">
        <v>63826</v>
      </c>
      <c r="I1636">
        <v>3993</v>
      </c>
      <c r="J1636">
        <v>20</v>
      </c>
      <c r="K1636">
        <v>7</v>
      </c>
      <c r="L1636">
        <v>1</v>
      </c>
      <c r="M1636" t="s">
        <v>25</v>
      </c>
      <c r="N1636">
        <v>4</v>
      </c>
      <c r="O1636">
        <v>12</v>
      </c>
      <c r="P1636">
        <v>21</v>
      </c>
      <c r="Q1636">
        <v>3</v>
      </c>
      <c r="R1636">
        <v>1</v>
      </c>
      <c r="S1636" t="s">
        <v>25</v>
      </c>
    </row>
    <row r="1637" spans="1:19" x14ac:dyDescent="0.25">
      <c r="A1637">
        <v>11636</v>
      </c>
      <c r="B1637">
        <v>57</v>
      </c>
      <c r="C1637" t="s">
        <v>19</v>
      </c>
      <c r="D1637" t="s">
        <v>34</v>
      </c>
      <c r="E1637" t="s">
        <v>33</v>
      </c>
      <c r="F1637" t="s">
        <v>39</v>
      </c>
      <c r="G1637" t="s">
        <v>23</v>
      </c>
      <c r="H1637">
        <v>29189</v>
      </c>
      <c r="I1637">
        <v>18297</v>
      </c>
      <c r="J1637">
        <v>7</v>
      </c>
      <c r="K1637">
        <v>5</v>
      </c>
      <c r="L1637">
        <v>5</v>
      </c>
      <c r="M1637" t="s">
        <v>25</v>
      </c>
      <c r="N1637">
        <v>3</v>
      </c>
      <c r="O1637">
        <v>39</v>
      </c>
      <c r="P1637">
        <v>7</v>
      </c>
      <c r="Q1637">
        <v>2</v>
      </c>
      <c r="R1637">
        <v>2</v>
      </c>
      <c r="S1637" t="s">
        <v>25</v>
      </c>
    </row>
    <row r="1638" spans="1:19" x14ac:dyDescent="0.25">
      <c r="A1638">
        <v>11637</v>
      </c>
      <c r="B1638">
        <v>36</v>
      </c>
      <c r="C1638" t="s">
        <v>19</v>
      </c>
      <c r="D1638" t="s">
        <v>28</v>
      </c>
      <c r="E1638" t="s">
        <v>33</v>
      </c>
      <c r="F1638" t="s">
        <v>39</v>
      </c>
      <c r="G1638" t="s">
        <v>38</v>
      </c>
      <c r="H1638">
        <v>43895</v>
      </c>
      <c r="I1638">
        <v>31828</v>
      </c>
      <c r="J1638">
        <v>23</v>
      </c>
      <c r="K1638">
        <v>1</v>
      </c>
      <c r="L1638">
        <v>4</v>
      </c>
      <c r="M1638" t="s">
        <v>25</v>
      </c>
      <c r="N1638">
        <v>3</v>
      </c>
      <c r="O1638">
        <v>25</v>
      </c>
      <c r="P1638">
        <v>55</v>
      </c>
      <c r="Q1638">
        <v>3</v>
      </c>
      <c r="R1638">
        <v>3</v>
      </c>
      <c r="S1638" t="s">
        <v>24</v>
      </c>
    </row>
    <row r="1639" spans="1:19" x14ac:dyDescent="0.25">
      <c r="A1639">
        <v>11638</v>
      </c>
      <c r="B1639">
        <v>35</v>
      </c>
      <c r="C1639" t="s">
        <v>19</v>
      </c>
      <c r="D1639" t="s">
        <v>32</v>
      </c>
      <c r="E1639" t="s">
        <v>36</v>
      </c>
      <c r="F1639" t="s">
        <v>22</v>
      </c>
      <c r="G1639" t="s">
        <v>38</v>
      </c>
      <c r="H1639">
        <v>60718</v>
      </c>
      <c r="I1639">
        <v>35689</v>
      </c>
      <c r="J1639">
        <v>6</v>
      </c>
      <c r="K1639">
        <v>12</v>
      </c>
      <c r="L1639">
        <v>2</v>
      </c>
      <c r="M1639" t="s">
        <v>25</v>
      </c>
      <c r="N1639">
        <v>4</v>
      </c>
      <c r="O1639">
        <v>27</v>
      </c>
      <c r="P1639">
        <v>39</v>
      </c>
      <c r="Q1639">
        <v>3</v>
      </c>
      <c r="R1639">
        <v>4</v>
      </c>
      <c r="S1639" t="s">
        <v>25</v>
      </c>
    </row>
    <row r="1640" spans="1:19" x14ac:dyDescent="0.25">
      <c r="A1640">
        <v>11639</v>
      </c>
      <c r="B1640">
        <v>23</v>
      </c>
      <c r="C1640" t="s">
        <v>31</v>
      </c>
      <c r="D1640" t="s">
        <v>20</v>
      </c>
      <c r="E1640" t="s">
        <v>36</v>
      </c>
      <c r="F1640" t="s">
        <v>39</v>
      </c>
      <c r="G1640" t="s">
        <v>38</v>
      </c>
      <c r="H1640">
        <v>53462</v>
      </c>
      <c r="I1640">
        <v>29512</v>
      </c>
      <c r="J1640">
        <v>11</v>
      </c>
      <c r="K1640">
        <v>5</v>
      </c>
      <c r="L1640">
        <v>3</v>
      </c>
      <c r="M1640" t="s">
        <v>25</v>
      </c>
      <c r="N1640">
        <v>2</v>
      </c>
      <c r="O1640">
        <v>7</v>
      </c>
      <c r="P1640">
        <v>57</v>
      </c>
      <c r="Q1640">
        <v>2</v>
      </c>
      <c r="R1640">
        <v>4</v>
      </c>
      <c r="S1640" t="s">
        <v>25</v>
      </c>
    </row>
    <row r="1641" spans="1:19" x14ac:dyDescent="0.25">
      <c r="A1641">
        <v>11640</v>
      </c>
      <c r="B1641">
        <v>29</v>
      </c>
      <c r="C1641" t="s">
        <v>31</v>
      </c>
      <c r="D1641" t="s">
        <v>41</v>
      </c>
      <c r="E1641" t="s">
        <v>36</v>
      </c>
      <c r="F1641" t="s">
        <v>39</v>
      </c>
      <c r="G1641" t="s">
        <v>23</v>
      </c>
      <c r="H1641">
        <v>57620</v>
      </c>
      <c r="I1641">
        <v>48028</v>
      </c>
      <c r="J1641">
        <v>19</v>
      </c>
      <c r="K1641">
        <v>5</v>
      </c>
      <c r="L1641">
        <v>3</v>
      </c>
      <c r="M1641" t="s">
        <v>24</v>
      </c>
      <c r="N1641">
        <v>4</v>
      </c>
      <c r="O1641">
        <v>27</v>
      </c>
      <c r="P1641">
        <v>55</v>
      </c>
      <c r="Q1641">
        <v>4</v>
      </c>
      <c r="R1641">
        <v>3</v>
      </c>
      <c r="S1641" t="s">
        <v>25</v>
      </c>
    </row>
    <row r="1642" spans="1:19" x14ac:dyDescent="0.25">
      <c r="A1642">
        <v>11641</v>
      </c>
      <c r="B1642">
        <v>36</v>
      </c>
      <c r="C1642" t="s">
        <v>19</v>
      </c>
      <c r="D1642" t="s">
        <v>20</v>
      </c>
      <c r="E1642" t="s">
        <v>36</v>
      </c>
      <c r="F1642" t="s">
        <v>39</v>
      </c>
      <c r="G1642" t="s">
        <v>23</v>
      </c>
      <c r="H1642">
        <v>67928</v>
      </c>
      <c r="I1642">
        <v>40830</v>
      </c>
      <c r="J1642">
        <v>18</v>
      </c>
      <c r="K1642">
        <v>1</v>
      </c>
      <c r="L1642">
        <v>3</v>
      </c>
      <c r="M1642" t="s">
        <v>25</v>
      </c>
      <c r="N1642">
        <v>3</v>
      </c>
      <c r="O1642">
        <v>38</v>
      </c>
      <c r="P1642">
        <v>50</v>
      </c>
      <c r="Q1642">
        <v>3</v>
      </c>
      <c r="R1642">
        <v>3</v>
      </c>
      <c r="S1642" t="s">
        <v>25</v>
      </c>
    </row>
    <row r="1643" spans="1:19" x14ac:dyDescent="0.25">
      <c r="A1643">
        <v>11642</v>
      </c>
      <c r="B1643">
        <v>48</v>
      </c>
      <c r="C1643" t="s">
        <v>31</v>
      </c>
      <c r="D1643" t="s">
        <v>26</v>
      </c>
      <c r="E1643" t="s">
        <v>21</v>
      </c>
      <c r="F1643" t="s">
        <v>35</v>
      </c>
      <c r="G1643" t="s">
        <v>38</v>
      </c>
      <c r="H1643">
        <v>126612</v>
      </c>
      <c r="I1643">
        <v>40919</v>
      </c>
      <c r="J1643">
        <v>9</v>
      </c>
      <c r="K1643">
        <v>9</v>
      </c>
      <c r="L1643">
        <v>3</v>
      </c>
      <c r="M1643" t="s">
        <v>25</v>
      </c>
      <c r="N1643">
        <v>3</v>
      </c>
      <c r="O1643">
        <v>28</v>
      </c>
      <c r="P1643">
        <v>16</v>
      </c>
      <c r="Q1643">
        <v>2</v>
      </c>
      <c r="R1643">
        <v>4</v>
      </c>
      <c r="S1643" t="s">
        <v>25</v>
      </c>
    </row>
    <row r="1644" spans="1:19" x14ac:dyDescent="0.25">
      <c r="A1644">
        <v>11643</v>
      </c>
      <c r="B1644">
        <v>45</v>
      </c>
      <c r="C1644" t="s">
        <v>19</v>
      </c>
      <c r="D1644" t="s">
        <v>34</v>
      </c>
      <c r="E1644" t="s">
        <v>40</v>
      </c>
      <c r="F1644" t="s">
        <v>22</v>
      </c>
      <c r="G1644" t="s">
        <v>38</v>
      </c>
      <c r="H1644">
        <v>11434</v>
      </c>
      <c r="I1644">
        <v>25050</v>
      </c>
      <c r="J1644">
        <v>13</v>
      </c>
      <c r="K1644">
        <v>3</v>
      </c>
      <c r="L1644">
        <v>4</v>
      </c>
      <c r="M1644" t="s">
        <v>25</v>
      </c>
      <c r="N1644">
        <v>3</v>
      </c>
      <c r="O1644">
        <v>11</v>
      </c>
      <c r="P1644">
        <v>26</v>
      </c>
      <c r="Q1644">
        <v>3</v>
      </c>
      <c r="R1644">
        <v>4</v>
      </c>
      <c r="S1644" t="s">
        <v>25</v>
      </c>
    </row>
    <row r="1645" spans="1:19" x14ac:dyDescent="0.25">
      <c r="A1645">
        <v>11644</v>
      </c>
      <c r="B1645">
        <v>34</v>
      </c>
      <c r="C1645" t="s">
        <v>31</v>
      </c>
      <c r="D1645" t="s">
        <v>34</v>
      </c>
      <c r="E1645" t="s">
        <v>33</v>
      </c>
      <c r="F1645" t="s">
        <v>39</v>
      </c>
      <c r="G1645" t="s">
        <v>30</v>
      </c>
      <c r="H1645">
        <v>42409</v>
      </c>
      <c r="I1645">
        <v>20205</v>
      </c>
      <c r="J1645">
        <v>7</v>
      </c>
      <c r="K1645">
        <v>3</v>
      </c>
      <c r="L1645">
        <v>2</v>
      </c>
      <c r="M1645" t="s">
        <v>25</v>
      </c>
      <c r="N1645">
        <v>3</v>
      </c>
      <c r="O1645">
        <v>39</v>
      </c>
      <c r="P1645">
        <v>40</v>
      </c>
      <c r="Q1645">
        <v>4</v>
      </c>
      <c r="R1645">
        <v>2</v>
      </c>
      <c r="S1645" t="s">
        <v>25</v>
      </c>
    </row>
    <row r="1646" spans="1:19" x14ac:dyDescent="0.25">
      <c r="A1646">
        <v>11645</v>
      </c>
      <c r="B1646">
        <v>52</v>
      </c>
      <c r="C1646" t="s">
        <v>31</v>
      </c>
      <c r="D1646" t="s">
        <v>20</v>
      </c>
      <c r="E1646" t="s">
        <v>36</v>
      </c>
      <c r="F1646" t="s">
        <v>35</v>
      </c>
      <c r="G1646" t="s">
        <v>30</v>
      </c>
      <c r="H1646">
        <v>54702</v>
      </c>
      <c r="I1646">
        <v>31052</v>
      </c>
      <c r="J1646">
        <v>19</v>
      </c>
      <c r="K1646">
        <v>14</v>
      </c>
      <c r="L1646">
        <v>5</v>
      </c>
      <c r="M1646" t="s">
        <v>25</v>
      </c>
      <c r="N1646">
        <v>2</v>
      </c>
      <c r="O1646">
        <v>11</v>
      </c>
      <c r="P1646">
        <v>36</v>
      </c>
      <c r="Q1646">
        <v>1</v>
      </c>
      <c r="R1646">
        <v>2</v>
      </c>
      <c r="S1646" t="s">
        <v>25</v>
      </c>
    </row>
    <row r="1647" spans="1:19" x14ac:dyDescent="0.25">
      <c r="A1647">
        <v>11646</v>
      </c>
      <c r="B1647">
        <v>54</v>
      </c>
      <c r="C1647" t="s">
        <v>31</v>
      </c>
      <c r="D1647" t="s">
        <v>20</v>
      </c>
      <c r="E1647" t="s">
        <v>33</v>
      </c>
      <c r="F1647" t="s">
        <v>35</v>
      </c>
      <c r="G1647" t="s">
        <v>38</v>
      </c>
      <c r="H1647">
        <v>39157</v>
      </c>
      <c r="I1647">
        <v>48509</v>
      </c>
      <c r="J1647">
        <v>4</v>
      </c>
      <c r="K1647">
        <v>7</v>
      </c>
      <c r="L1647">
        <v>5</v>
      </c>
      <c r="M1647" t="s">
        <v>25</v>
      </c>
      <c r="N1647">
        <v>3</v>
      </c>
      <c r="O1647">
        <v>25</v>
      </c>
      <c r="P1647">
        <v>31</v>
      </c>
      <c r="Q1647">
        <v>2</v>
      </c>
      <c r="R1647">
        <v>2</v>
      </c>
      <c r="S1647" t="s">
        <v>25</v>
      </c>
    </row>
    <row r="1648" spans="1:19" x14ac:dyDescent="0.25">
      <c r="A1648">
        <v>11647</v>
      </c>
      <c r="B1648">
        <v>37</v>
      </c>
      <c r="C1648" t="s">
        <v>19</v>
      </c>
      <c r="D1648" t="s">
        <v>32</v>
      </c>
      <c r="E1648" t="s">
        <v>36</v>
      </c>
      <c r="F1648" t="s">
        <v>22</v>
      </c>
      <c r="G1648" t="s">
        <v>30</v>
      </c>
      <c r="H1648">
        <v>57271</v>
      </c>
      <c r="I1648">
        <v>31455</v>
      </c>
      <c r="J1648">
        <v>20</v>
      </c>
      <c r="K1648">
        <v>0</v>
      </c>
      <c r="L1648">
        <v>5</v>
      </c>
      <c r="M1648" t="s">
        <v>25</v>
      </c>
      <c r="N1648">
        <v>3</v>
      </c>
      <c r="O1648">
        <v>38</v>
      </c>
      <c r="P1648">
        <v>25</v>
      </c>
      <c r="Q1648">
        <v>3</v>
      </c>
      <c r="R1648">
        <v>4</v>
      </c>
      <c r="S1648" t="s">
        <v>25</v>
      </c>
    </row>
    <row r="1649" spans="1:19" x14ac:dyDescent="0.25">
      <c r="A1649">
        <v>11648</v>
      </c>
      <c r="B1649">
        <v>26</v>
      </c>
      <c r="C1649" t="s">
        <v>31</v>
      </c>
      <c r="D1649" t="s">
        <v>20</v>
      </c>
      <c r="E1649" t="s">
        <v>33</v>
      </c>
      <c r="F1649" t="s">
        <v>37</v>
      </c>
      <c r="G1649" t="s">
        <v>30</v>
      </c>
      <c r="H1649">
        <v>43930</v>
      </c>
      <c r="I1649">
        <v>39314</v>
      </c>
      <c r="J1649">
        <v>15</v>
      </c>
      <c r="K1649">
        <v>0</v>
      </c>
      <c r="L1649">
        <v>4</v>
      </c>
      <c r="M1649" t="s">
        <v>25</v>
      </c>
      <c r="N1649">
        <v>4</v>
      </c>
      <c r="O1649">
        <v>19</v>
      </c>
      <c r="P1649">
        <v>51</v>
      </c>
      <c r="Q1649">
        <v>2</v>
      </c>
      <c r="R1649">
        <v>1</v>
      </c>
      <c r="S1649" t="s">
        <v>25</v>
      </c>
    </row>
    <row r="1650" spans="1:19" x14ac:dyDescent="0.25">
      <c r="A1650">
        <v>11649</v>
      </c>
      <c r="B1650">
        <v>34</v>
      </c>
      <c r="C1650" t="s">
        <v>31</v>
      </c>
      <c r="D1650" t="s">
        <v>32</v>
      </c>
      <c r="E1650" t="s">
        <v>36</v>
      </c>
      <c r="F1650" t="s">
        <v>35</v>
      </c>
      <c r="G1650" t="s">
        <v>38</v>
      </c>
      <c r="H1650">
        <v>57014</v>
      </c>
      <c r="I1650">
        <v>46490</v>
      </c>
      <c r="J1650">
        <v>10</v>
      </c>
      <c r="K1650">
        <v>6</v>
      </c>
      <c r="L1650">
        <v>4</v>
      </c>
      <c r="M1650" t="s">
        <v>25</v>
      </c>
      <c r="N1650">
        <v>4</v>
      </c>
      <c r="O1650">
        <v>7</v>
      </c>
      <c r="P1650">
        <v>17</v>
      </c>
      <c r="Q1650">
        <v>3</v>
      </c>
      <c r="R1650">
        <v>2</v>
      </c>
      <c r="S1650" t="s">
        <v>25</v>
      </c>
    </row>
    <row r="1651" spans="1:19" x14ac:dyDescent="0.25">
      <c r="A1651">
        <v>11650</v>
      </c>
      <c r="B1651">
        <v>46</v>
      </c>
      <c r="C1651" t="s">
        <v>31</v>
      </c>
      <c r="D1651" t="s">
        <v>20</v>
      </c>
      <c r="E1651" t="s">
        <v>33</v>
      </c>
      <c r="F1651" t="s">
        <v>39</v>
      </c>
      <c r="G1651" t="s">
        <v>30</v>
      </c>
      <c r="H1651">
        <v>38491</v>
      </c>
      <c r="I1651">
        <v>4410</v>
      </c>
      <c r="J1651">
        <v>20</v>
      </c>
      <c r="K1651">
        <v>0</v>
      </c>
      <c r="L1651">
        <v>3</v>
      </c>
      <c r="M1651" t="s">
        <v>25</v>
      </c>
      <c r="N1651">
        <v>3</v>
      </c>
      <c r="O1651">
        <v>1</v>
      </c>
      <c r="P1651">
        <v>48</v>
      </c>
      <c r="Q1651">
        <v>3</v>
      </c>
      <c r="R1651">
        <v>3</v>
      </c>
      <c r="S1651" t="s">
        <v>25</v>
      </c>
    </row>
    <row r="1652" spans="1:19" x14ac:dyDescent="0.25">
      <c r="A1652">
        <v>11651</v>
      </c>
      <c r="B1652">
        <v>48</v>
      </c>
      <c r="C1652" t="s">
        <v>19</v>
      </c>
      <c r="D1652" t="s">
        <v>20</v>
      </c>
      <c r="E1652" t="s">
        <v>36</v>
      </c>
      <c r="F1652" t="s">
        <v>35</v>
      </c>
      <c r="G1652" t="s">
        <v>30</v>
      </c>
      <c r="H1652">
        <v>61656</v>
      </c>
      <c r="I1652">
        <v>21274</v>
      </c>
      <c r="J1652">
        <v>4</v>
      </c>
      <c r="K1652">
        <v>5</v>
      </c>
      <c r="L1652">
        <v>4</v>
      </c>
      <c r="M1652" t="s">
        <v>25</v>
      </c>
      <c r="N1652">
        <v>2</v>
      </c>
      <c r="O1652">
        <v>27</v>
      </c>
      <c r="P1652">
        <v>36</v>
      </c>
      <c r="Q1652">
        <v>4</v>
      </c>
      <c r="R1652">
        <v>2</v>
      </c>
      <c r="S1652" t="s">
        <v>24</v>
      </c>
    </row>
    <row r="1653" spans="1:19" x14ac:dyDescent="0.25">
      <c r="A1653">
        <v>11652</v>
      </c>
      <c r="B1653">
        <v>32</v>
      </c>
      <c r="C1653" t="s">
        <v>31</v>
      </c>
      <c r="D1653" t="s">
        <v>26</v>
      </c>
      <c r="E1653" t="s">
        <v>27</v>
      </c>
      <c r="F1653" t="s">
        <v>22</v>
      </c>
      <c r="G1653" t="s">
        <v>30</v>
      </c>
      <c r="H1653">
        <v>61358</v>
      </c>
      <c r="I1653">
        <v>24984</v>
      </c>
      <c r="J1653">
        <v>15</v>
      </c>
      <c r="K1653">
        <v>9</v>
      </c>
      <c r="L1653">
        <v>1</v>
      </c>
      <c r="M1653" t="s">
        <v>25</v>
      </c>
      <c r="N1653">
        <v>1</v>
      </c>
      <c r="O1653">
        <v>2</v>
      </c>
      <c r="P1653">
        <v>27</v>
      </c>
      <c r="Q1653">
        <v>4</v>
      </c>
      <c r="R1653">
        <v>3</v>
      </c>
      <c r="S1653" t="s">
        <v>25</v>
      </c>
    </row>
    <row r="1654" spans="1:19" x14ac:dyDescent="0.25">
      <c r="A1654">
        <v>11653</v>
      </c>
      <c r="B1654">
        <v>49</v>
      </c>
      <c r="C1654" t="s">
        <v>31</v>
      </c>
      <c r="D1654" t="s">
        <v>34</v>
      </c>
      <c r="E1654" t="s">
        <v>36</v>
      </c>
      <c r="F1654" t="s">
        <v>35</v>
      </c>
      <c r="G1654" t="s">
        <v>30</v>
      </c>
      <c r="H1654">
        <v>55968</v>
      </c>
      <c r="I1654">
        <v>21220</v>
      </c>
      <c r="J1654">
        <v>22</v>
      </c>
      <c r="K1654">
        <v>6</v>
      </c>
      <c r="L1654">
        <v>3</v>
      </c>
      <c r="M1654" t="s">
        <v>25</v>
      </c>
      <c r="N1654">
        <v>3</v>
      </c>
      <c r="O1654">
        <v>33</v>
      </c>
      <c r="P1654">
        <v>20</v>
      </c>
      <c r="Q1654">
        <v>2</v>
      </c>
      <c r="R1654">
        <v>1</v>
      </c>
      <c r="S1654" t="s">
        <v>25</v>
      </c>
    </row>
    <row r="1655" spans="1:19" x14ac:dyDescent="0.25">
      <c r="A1655">
        <v>11654</v>
      </c>
      <c r="B1655">
        <v>22</v>
      </c>
      <c r="C1655" t="s">
        <v>19</v>
      </c>
      <c r="D1655" t="s">
        <v>20</v>
      </c>
      <c r="E1655" t="s">
        <v>33</v>
      </c>
      <c r="F1655" t="s">
        <v>39</v>
      </c>
      <c r="G1655" t="s">
        <v>38</v>
      </c>
      <c r="H1655">
        <v>38258</v>
      </c>
      <c r="I1655">
        <v>408</v>
      </c>
      <c r="J1655">
        <v>9</v>
      </c>
      <c r="K1655">
        <v>14</v>
      </c>
      <c r="L1655">
        <v>2</v>
      </c>
      <c r="M1655" t="s">
        <v>24</v>
      </c>
      <c r="N1655">
        <v>3</v>
      </c>
      <c r="O1655">
        <v>30</v>
      </c>
      <c r="P1655">
        <v>44</v>
      </c>
      <c r="Q1655">
        <v>2</v>
      </c>
      <c r="R1655">
        <v>3</v>
      </c>
      <c r="S1655" t="s">
        <v>25</v>
      </c>
    </row>
    <row r="1656" spans="1:19" x14ac:dyDescent="0.25">
      <c r="A1656">
        <v>11655</v>
      </c>
      <c r="B1656">
        <v>57</v>
      </c>
      <c r="C1656" t="s">
        <v>19</v>
      </c>
      <c r="D1656" t="s">
        <v>26</v>
      </c>
      <c r="E1656" t="s">
        <v>33</v>
      </c>
      <c r="F1656" t="s">
        <v>39</v>
      </c>
      <c r="G1656" t="s">
        <v>30</v>
      </c>
      <c r="H1656">
        <v>38407</v>
      </c>
      <c r="I1656">
        <v>19859</v>
      </c>
      <c r="J1656">
        <v>0</v>
      </c>
      <c r="K1656">
        <v>13</v>
      </c>
      <c r="L1656">
        <v>2</v>
      </c>
      <c r="M1656" t="s">
        <v>25</v>
      </c>
      <c r="N1656">
        <v>4</v>
      </c>
      <c r="O1656">
        <v>10</v>
      </c>
      <c r="P1656">
        <v>9</v>
      </c>
      <c r="Q1656">
        <v>4</v>
      </c>
      <c r="R1656">
        <v>1</v>
      </c>
      <c r="S1656" t="s">
        <v>25</v>
      </c>
    </row>
    <row r="1657" spans="1:19" x14ac:dyDescent="0.25">
      <c r="A1657">
        <v>11656</v>
      </c>
      <c r="B1657">
        <v>33</v>
      </c>
      <c r="C1657" t="s">
        <v>31</v>
      </c>
      <c r="D1657" t="s">
        <v>20</v>
      </c>
      <c r="E1657" t="s">
        <v>33</v>
      </c>
      <c r="F1657" t="s">
        <v>35</v>
      </c>
      <c r="G1657" t="s">
        <v>30</v>
      </c>
      <c r="H1657">
        <v>39844</v>
      </c>
      <c r="I1657">
        <v>23103</v>
      </c>
      <c r="J1657">
        <v>7</v>
      </c>
      <c r="K1657">
        <v>2</v>
      </c>
      <c r="L1657">
        <v>2</v>
      </c>
      <c r="M1657" t="s">
        <v>25</v>
      </c>
      <c r="N1657">
        <v>1</v>
      </c>
      <c r="O1657">
        <v>38</v>
      </c>
      <c r="P1657">
        <v>6</v>
      </c>
      <c r="Q1657">
        <v>1</v>
      </c>
      <c r="R1657">
        <v>4</v>
      </c>
      <c r="S1657" t="s">
        <v>25</v>
      </c>
    </row>
    <row r="1658" spans="1:19" x14ac:dyDescent="0.25">
      <c r="A1658">
        <v>11657</v>
      </c>
      <c r="B1658">
        <v>50</v>
      </c>
      <c r="C1658" t="s">
        <v>19</v>
      </c>
      <c r="D1658" t="s">
        <v>20</v>
      </c>
      <c r="E1658" t="s">
        <v>29</v>
      </c>
      <c r="F1658" t="s">
        <v>39</v>
      </c>
      <c r="G1658" t="s">
        <v>23</v>
      </c>
      <c r="H1658">
        <v>157148</v>
      </c>
      <c r="I1658">
        <v>2588</v>
      </c>
      <c r="J1658">
        <v>10</v>
      </c>
      <c r="K1658">
        <v>8</v>
      </c>
      <c r="L1658">
        <v>4</v>
      </c>
      <c r="M1658" t="s">
        <v>25</v>
      </c>
      <c r="N1658">
        <v>3</v>
      </c>
      <c r="O1658">
        <v>27</v>
      </c>
      <c r="P1658">
        <v>12</v>
      </c>
      <c r="Q1658">
        <v>3</v>
      </c>
      <c r="R1658">
        <v>4</v>
      </c>
      <c r="S1658" t="s">
        <v>25</v>
      </c>
    </row>
    <row r="1659" spans="1:19" x14ac:dyDescent="0.25">
      <c r="A1659">
        <v>11658</v>
      </c>
      <c r="B1659">
        <v>48</v>
      </c>
      <c r="C1659" t="s">
        <v>19</v>
      </c>
      <c r="D1659" t="s">
        <v>41</v>
      </c>
      <c r="E1659" t="s">
        <v>27</v>
      </c>
      <c r="F1659" t="s">
        <v>39</v>
      </c>
      <c r="G1659" t="s">
        <v>38</v>
      </c>
      <c r="H1659">
        <v>76881</v>
      </c>
      <c r="I1659">
        <v>21263</v>
      </c>
      <c r="J1659">
        <v>12</v>
      </c>
      <c r="K1659">
        <v>10</v>
      </c>
      <c r="L1659">
        <v>5</v>
      </c>
      <c r="M1659" t="s">
        <v>25</v>
      </c>
      <c r="N1659">
        <v>2</v>
      </c>
      <c r="O1659">
        <v>6</v>
      </c>
      <c r="P1659">
        <v>47</v>
      </c>
      <c r="Q1659">
        <v>3</v>
      </c>
      <c r="R1659">
        <v>4</v>
      </c>
      <c r="S1659" t="s">
        <v>25</v>
      </c>
    </row>
    <row r="1660" spans="1:19" x14ac:dyDescent="0.25">
      <c r="A1660">
        <v>11659</v>
      </c>
      <c r="B1660">
        <v>25</v>
      </c>
      <c r="C1660" t="s">
        <v>19</v>
      </c>
      <c r="D1660" t="s">
        <v>32</v>
      </c>
      <c r="E1660" t="s">
        <v>36</v>
      </c>
      <c r="F1660" t="s">
        <v>39</v>
      </c>
      <c r="G1660" t="s">
        <v>30</v>
      </c>
      <c r="H1660">
        <v>59885</v>
      </c>
      <c r="I1660">
        <v>9540</v>
      </c>
      <c r="J1660">
        <v>15</v>
      </c>
      <c r="K1660">
        <v>6</v>
      </c>
      <c r="L1660">
        <v>3</v>
      </c>
      <c r="M1660" t="s">
        <v>25</v>
      </c>
      <c r="N1660">
        <v>1</v>
      </c>
      <c r="O1660">
        <v>27</v>
      </c>
      <c r="P1660">
        <v>33</v>
      </c>
      <c r="Q1660">
        <v>3</v>
      </c>
      <c r="R1660">
        <v>4</v>
      </c>
      <c r="S1660" t="s">
        <v>25</v>
      </c>
    </row>
    <row r="1661" spans="1:19" x14ac:dyDescent="0.25">
      <c r="A1661">
        <v>11660</v>
      </c>
      <c r="B1661">
        <v>52</v>
      </c>
      <c r="C1661" t="s">
        <v>19</v>
      </c>
      <c r="D1661" t="s">
        <v>20</v>
      </c>
      <c r="E1661" t="s">
        <v>27</v>
      </c>
      <c r="F1661" t="s">
        <v>39</v>
      </c>
      <c r="G1661" t="s">
        <v>23</v>
      </c>
      <c r="H1661">
        <v>61510</v>
      </c>
      <c r="I1661">
        <v>4406</v>
      </c>
      <c r="J1661">
        <v>19</v>
      </c>
      <c r="K1661">
        <v>4</v>
      </c>
      <c r="L1661">
        <v>3</v>
      </c>
      <c r="M1661" t="s">
        <v>25</v>
      </c>
      <c r="N1661">
        <v>3</v>
      </c>
      <c r="O1661">
        <v>4</v>
      </c>
      <c r="P1661">
        <v>7</v>
      </c>
      <c r="Q1661">
        <v>3</v>
      </c>
      <c r="R1661">
        <v>4</v>
      </c>
      <c r="S1661" t="s">
        <v>25</v>
      </c>
    </row>
    <row r="1662" spans="1:19" x14ac:dyDescent="0.25">
      <c r="A1662">
        <v>11661</v>
      </c>
      <c r="B1662">
        <v>54</v>
      </c>
      <c r="C1662" t="s">
        <v>19</v>
      </c>
      <c r="D1662" t="s">
        <v>20</v>
      </c>
      <c r="E1662" t="s">
        <v>36</v>
      </c>
      <c r="F1662" t="s">
        <v>39</v>
      </c>
      <c r="G1662" t="s">
        <v>30</v>
      </c>
      <c r="H1662">
        <v>51426</v>
      </c>
      <c r="I1662">
        <v>34846</v>
      </c>
      <c r="J1662">
        <v>17</v>
      </c>
      <c r="K1662">
        <v>2</v>
      </c>
      <c r="L1662">
        <v>3</v>
      </c>
      <c r="M1662" t="s">
        <v>24</v>
      </c>
      <c r="N1662">
        <v>2</v>
      </c>
      <c r="O1662">
        <v>37</v>
      </c>
      <c r="P1662">
        <v>41</v>
      </c>
      <c r="Q1662">
        <v>1</v>
      </c>
      <c r="R1662">
        <v>2</v>
      </c>
      <c r="S1662" t="s">
        <v>25</v>
      </c>
    </row>
    <row r="1663" spans="1:19" x14ac:dyDescent="0.25">
      <c r="A1663">
        <v>11662</v>
      </c>
      <c r="B1663">
        <v>49</v>
      </c>
      <c r="C1663" t="s">
        <v>31</v>
      </c>
      <c r="D1663" t="s">
        <v>32</v>
      </c>
      <c r="E1663" t="s">
        <v>36</v>
      </c>
      <c r="F1663" t="s">
        <v>22</v>
      </c>
      <c r="G1663" t="s">
        <v>30</v>
      </c>
      <c r="H1663">
        <v>46238</v>
      </c>
      <c r="I1663">
        <v>33547</v>
      </c>
      <c r="J1663">
        <v>22</v>
      </c>
      <c r="K1663">
        <v>12</v>
      </c>
      <c r="L1663">
        <v>3</v>
      </c>
      <c r="M1663" t="s">
        <v>25</v>
      </c>
      <c r="N1663">
        <v>1</v>
      </c>
      <c r="O1663">
        <v>28</v>
      </c>
      <c r="P1663">
        <v>19</v>
      </c>
      <c r="Q1663">
        <v>3</v>
      </c>
      <c r="R1663">
        <v>3</v>
      </c>
      <c r="S1663" t="s">
        <v>25</v>
      </c>
    </row>
    <row r="1664" spans="1:19" x14ac:dyDescent="0.25">
      <c r="A1664">
        <v>11663</v>
      </c>
      <c r="B1664">
        <v>36</v>
      </c>
      <c r="C1664" t="s">
        <v>19</v>
      </c>
      <c r="D1664" t="s">
        <v>20</v>
      </c>
      <c r="E1664" t="s">
        <v>21</v>
      </c>
      <c r="F1664" t="s">
        <v>22</v>
      </c>
      <c r="G1664" t="s">
        <v>38</v>
      </c>
      <c r="H1664">
        <v>120712</v>
      </c>
      <c r="I1664">
        <v>13207</v>
      </c>
      <c r="J1664">
        <v>6</v>
      </c>
      <c r="K1664">
        <v>7</v>
      </c>
      <c r="L1664">
        <v>4</v>
      </c>
      <c r="M1664" t="s">
        <v>25</v>
      </c>
      <c r="N1664">
        <v>3</v>
      </c>
      <c r="O1664">
        <v>26</v>
      </c>
      <c r="P1664">
        <v>56</v>
      </c>
      <c r="Q1664">
        <v>4</v>
      </c>
      <c r="R1664">
        <v>3</v>
      </c>
      <c r="S1664" t="s">
        <v>25</v>
      </c>
    </row>
    <row r="1665" spans="1:19" x14ac:dyDescent="0.25">
      <c r="A1665">
        <v>11664</v>
      </c>
      <c r="B1665">
        <v>46</v>
      </c>
      <c r="C1665" t="s">
        <v>19</v>
      </c>
      <c r="D1665" t="s">
        <v>41</v>
      </c>
      <c r="E1665" t="s">
        <v>27</v>
      </c>
      <c r="F1665" t="s">
        <v>39</v>
      </c>
      <c r="G1665" t="s">
        <v>30</v>
      </c>
      <c r="H1665">
        <v>71942</v>
      </c>
      <c r="I1665">
        <v>45884</v>
      </c>
      <c r="J1665">
        <v>11</v>
      </c>
      <c r="K1665">
        <v>12</v>
      </c>
      <c r="L1665">
        <v>4</v>
      </c>
      <c r="M1665" t="s">
        <v>25</v>
      </c>
      <c r="N1665">
        <v>4</v>
      </c>
      <c r="O1665">
        <v>36</v>
      </c>
      <c r="P1665">
        <v>6</v>
      </c>
      <c r="Q1665">
        <v>4</v>
      </c>
      <c r="R1665">
        <v>2</v>
      </c>
      <c r="S1665" t="s">
        <v>25</v>
      </c>
    </row>
    <row r="1666" spans="1:19" x14ac:dyDescent="0.25">
      <c r="A1666">
        <v>11665</v>
      </c>
      <c r="B1666">
        <v>31</v>
      </c>
      <c r="C1666" t="s">
        <v>19</v>
      </c>
      <c r="D1666" t="s">
        <v>20</v>
      </c>
      <c r="E1666" t="s">
        <v>21</v>
      </c>
      <c r="F1666" t="s">
        <v>22</v>
      </c>
      <c r="G1666" t="s">
        <v>38</v>
      </c>
      <c r="H1666">
        <v>121090</v>
      </c>
      <c r="I1666">
        <v>42016</v>
      </c>
      <c r="J1666">
        <v>17</v>
      </c>
      <c r="K1666">
        <v>2</v>
      </c>
      <c r="L1666">
        <v>2</v>
      </c>
      <c r="M1666" t="s">
        <v>25</v>
      </c>
      <c r="N1666">
        <v>4</v>
      </c>
      <c r="O1666">
        <v>19</v>
      </c>
      <c r="P1666">
        <v>5</v>
      </c>
      <c r="Q1666">
        <v>4</v>
      </c>
      <c r="R1666">
        <v>2</v>
      </c>
      <c r="S1666" t="s">
        <v>25</v>
      </c>
    </row>
    <row r="1667" spans="1:19" x14ac:dyDescent="0.25">
      <c r="A1667">
        <v>11666</v>
      </c>
      <c r="B1667">
        <v>45</v>
      </c>
      <c r="C1667" t="s">
        <v>31</v>
      </c>
      <c r="D1667" t="s">
        <v>28</v>
      </c>
      <c r="E1667" t="s">
        <v>27</v>
      </c>
      <c r="F1667" t="s">
        <v>39</v>
      </c>
      <c r="G1667" t="s">
        <v>30</v>
      </c>
      <c r="H1667">
        <v>82665</v>
      </c>
      <c r="I1667">
        <v>25533</v>
      </c>
      <c r="J1667">
        <v>11</v>
      </c>
      <c r="K1667">
        <v>7</v>
      </c>
      <c r="L1667">
        <v>4</v>
      </c>
      <c r="M1667" t="s">
        <v>25</v>
      </c>
      <c r="N1667">
        <v>1</v>
      </c>
      <c r="O1667">
        <v>8</v>
      </c>
      <c r="P1667">
        <v>37</v>
      </c>
      <c r="Q1667">
        <v>3</v>
      </c>
      <c r="R1667">
        <v>3</v>
      </c>
      <c r="S1667" t="s">
        <v>25</v>
      </c>
    </row>
    <row r="1668" spans="1:19" x14ac:dyDescent="0.25">
      <c r="A1668">
        <v>11667</v>
      </c>
      <c r="B1668">
        <v>57</v>
      </c>
      <c r="C1668" t="s">
        <v>19</v>
      </c>
      <c r="D1668" t="s">
        <v>41</v>
      </c>
      <c r="E1668" t="s">
        <v>21</v>
      </c>
      <c r="F1668" t="s">
        <v>39</v>
      </c>
      <c r="G1668" t="s">
        <v>30</v>
      </c>
      <c r="H1668">
        <v>124500</v>
      </c>
      <c r="I1668">
        <v>9176</v>
      </c>
      <c r="J1668">
        <v>23</v>
      </c>
      <c r="K1668">
        <v>13</v>
      </c>
      <c r="L1668">
        <v>3</v>
      </c>
      <c r="M1668" t="s">
        <v>25</v>
      </c>
      <c r="N1668">
        <v>1</v>
      </c>
      <c r="O1668">
        <v>23</v>
      </c>
      <c r="P1668">
        <v>50</v>
      </c>
      <c r="Q1668">
        <v>3</v>
      </c>
      <c r="R1668">
        <v>2</v>
      </c>
      <c r="S1668" t="s">
        <v>25</v>
      </c>
    </row>
    <row r="1669" spans="1:19" x14ac:dyDescent="0.25">
      <c r="A1669">
        <v>11668</v>
      </c>
      <c r="B1669">
        <v>32</v>
      </c>
      <c r="C1669" t="s">
        <v>19</v>
      </c>
      <c r="D1669" t="s">
        <v>20</v>
      </c>
      <c r="E1669" t="s">
        <v>40</v>
      </c>
      <c r="F1669" t="s">
        <v>39</v>
      </c>
      <c r="G1669" t="s">
        <v>38</v>
      </c>
      <c r="H1669">
        <v>11136</v>
      </c>
      <c r="I1669">
        <v>948</v>
      </c>
      <c r="J1669">
        <v>7</v>
      </c>
      <c r="K1669">
        <v>1</v>
      </c>
      <c r="L1669">
        <v>3</v>
      </c>
      <c r="M1669" t="s">
        <v>25</v>
      </c>
      <c r="N1669">
        <v>3</v>
      </c>
      <c r="O1669">
        <v>10</v>
      </c>
      <c r="P1669">
        <v>31</v>
      </c>
      <c r="Q1669">
        <v>3</v>
      </c>
      <c r="R1669">
        <v>3</v>
      </c>
      <c r="S1669" t="s">
        <v>25</v>
      </c>
    </row>
    <row r="1670" spans="1:19" x14ac:dyDescent="0.25">
      <c r="A1670">
        <v>11669</v>
      </c>
      <c r="B1670">
        <v>39</v>
      </c>
      <c r="C1670" t="s">
        <v>19</v>
      </c>
      <c r="D1670" t="s">
        <v>32</v>
      </c>
      <c r="E1670" t="s">
        <v>21</v>
      </c>
      <c r="F1670" t="s">
        <v>22</v>
      </c>
      <c r="G1670" t="s">
        <v>30</v>
      </c>
      <c r="H1670">
        <v>109572</v>
      </c>
      <c r="I1670">
        <v>9407</v>
      </c>
      <c r="J1670">
        <v>16</v>
      </c>
      <c r="K1670">
        <v>2</v>
      </c>
      <c r="L1670">
        <v>3</v>
      </c>
      <c r="M1670" t="s">
        <v>24</v>
      </c>
      <c r="N1670">
        <v>4</v>
      </c>
      <c r="O1670">
        <v>27</v>
      </c>
      <c r="P1670">
        <v>16</v>
      </c>
      <c r="Q1670">
        <v>2</v>
      </c>
      <c r="R1670">
        <v>3</v>
      </c>
      <c r="S1670" t="s">
        <v>25</v>
      </c>
    </row>
    <row r="1671" spans="1:19" x14ac:dyDescent="0.25">
      <c r="A1671">
        <v>11670</v>
      </c>
      <c r="B1671">
        <v>47</v>
      </c>
      <c r="C1671" t="s">
        <v>31</v>
      </c>
      <c r="D1671" t="s">
        <v>20</v>
      </c>
      <c r="E1671" t="s">
        <v>36</v>
      </c>
      <c r="F1671" t="s">
        <v>35</v>
      </c>
      <c r="G1671" t="s">
        <v>30</v>
      </c>
      <c r="H1671">
        <v>48337</v>
      </c>
      <c r="I1671">
        <v>28920</v>
      </c>
      <c r="J1671">
        <v>8</v>
      </c>
      <c r="K1671">
        <v>3</v>
      </c>
      <c r="L1671">
        <v>4</v>
      </c>
      <c r="M1671" t="s">
        <v>24</v>
      </c>
      <c r="N1671">
        <v>3</v>
      </c>
      <c r="O1671">
        <v>8</v>
      </c>
      <c r="P1671">
        <v>41</v>
      </c>
      <c r="Q1671">
        <v>2</v>
      </c>
      <c r="R1671">
        <v>3</v>
      </c>
      <c r="S1671" t="s">
        <v>25</v>
      </c>
    </row>
    <row r="1672" spans="1:19" x14ac:dyDescent="0.25">
      <c r="A1672">
        <v>11671</v>
      </c>
      <c r="B1672">
        <v>57</v>
      </c>
      <c r="C1672" t="s">
        <v>19</v>
      </c>
      <c r="D1672" t="s">
        <v>41</v>
      </c>
      <c r="E1672" t="s">
        <v>40</v>
      </c>
      <c r="F1672" t="s">
        <v>39</v>
      </c>
      <c r="G1672" t="s">
        <v>30</v>
      </c>
      <c r="H1672">
        <v>13735</v>
      </c>
      <c r="I1672">
        <v>19629</v>
      </c>
      <c r="J1672">
        <v>10</v>
      </c>
      <c r="K1672">
        <v>3</v>
      </c>
      <c r="L1672">
        <v>4</v>
      </c>
      <c r="M1672" t="s">
        <v>25</v>
      </c>
      <c r="N1672">
        <v>3</v>
      </c>
      <c r="O1672">
        <v>10</v>
      </c>
      <c r="P1672">
        <v>37</v>
      </c>
      <c r="Q1672">
        <v>3</v>
      </c>
      <c r="R1672">
        <v>2</v>
      </c>
      <c r="S1672" t="s">
        <v>25</v>
      </c>
    </row>
    <row r="1673" spans="1:19" x14ac:dyDescent="0.25">
      <c r="A1673">
        <v>11672</v>
      </c>
      <c r="B1673">
        <v>48</v>
      </c>
      <c r="C1673" t="s">
        <v>19</v>
      </c>
      <c r="D1673" t="s">
        <v>20</v>
      </c>
      <c r="E1673" t="s">
        <v>21</v>
      </c>
      <c r="F1673" t="s">
        <v>39</v>
      </c>
      <c r="G1673" t="s">
        <v>30</v>
      </c>
      <c r="H1673">
        <v>90844</v>
      </c>
      <c r="I1673">
        <v>22523</v>
      </c>
      <c r="J1673">
        <v>6</v>
      </c>
      <c r="K1673">
        <v>7</v>
      </c>
      <c r="L1673">
        <v>3</v>
      </c>
      <c r="M1673" t="s">
        <v>24</v>
      </c>
      <c r="N1673">
        <v>2</v>
      </c>
      <c r="O1673">
        <v>29</v>
      </c>
      <c r="P1673">
        <v>11</v>
      </c>
      <c r="Q1673">
        <v>4</v>
      </c>
      <c r="R1673">
        <v>2</v>
      </c>
      <c r="S1673" t="s">
        <v>25</v>
      </c>
    </row>
    <row r="1674" spans="1:19" x14ac:dyDescent="0.25">
      <c r="A1674">
        <v>11673</v>
      </c>
      <c r="B1674">
        <v>49</v>
      </c>
      <c r="C1674" t="s">
        <v>19</v>
      </c>
      <c r="D1674" t="s">
        <v>41</v>
      </c>
      <c r="E1674" t="s">
        <v>33</v>
      </c>
      <c r="F1674" t="s">
        <v>22</v>
      </c>
      <c r="G1674" t="s">
        <v>30</v>
      </c>
      <c r="H1674">
        <v>31380</v>
      </c>
      <c r="I1674">
        <v>19729</v>
      </c>
      <c r="J1674">
        <v>20</v>
      </c>
      <c r="K1674">
        <v>4</v>
      </c>
      <c r="L1674">
        <v>3</v>
      </c>
      <c r="M1674" t="s">
        <v>25</v>
      </c>
      <c r="N1674">
        <v>4</v>
      </c>
      <c r="O1674">
        <v>9</v>
      </c>
      <c r="P1674">
        <v>56</v>
      </c>
      <c r="Q1674">
        <v>4</v>
      </c>
      <c r="R1674">
        <v>4</v>
      </c>
      <c r="S1674" t="s">
        <v>25</v>
      </c>
    </row>
    <row r="1675" spans="1:19" x14ac:dyDescent="0.25">
      <c r="A1675">
        <v>11674</v>
      </c>
      <c r="B1675">
        <v>30</v>
      </c>
      <c r="C1675" t="s">
        <v>31</v>
      </c>
      <c r="D1675" t="s">
        <v>41</v>
      </c>
      <c r="E1675" t="s">
        <v>27</v>
      </c>
      <c r="F1675" t="s">
        <v>39</v>
      </c>
      <c r="G1675" t="s">
        <v>30</v>
      </c>
      <c r="H1675">
        <v>74548</v>
      </c>
      <c r="I1675">
        <v>35032</v>
      </c>
      <c r="J1675">
        <v>6</v>
      </c>
      <c r="K1675">
        <v>3</v>
      </c>
      <c r="L1675">
        <v>3</v>
      </c>
      <c r="M1675" t="s">
        <v>25</v>
      </c>
      <c r="N1675">
        <v>4</v>
      </c>
      <c r="O1675">
        <v>35</v>
      </c>
      <c r="P1675">
        <v>5</v>
      </c>
      <c r="Q1675">
        <v>4</v>
      </c>
      <c r="R1675">
        <v>1</v>
      </c>
      <c r="S1675" t="s">
        <v>24</v>
      </c>
    </row>
    <row r="1676" spans="1:19" x14ac:dyDescent="0.25">
      <c r="A1676">
        <v>11675</v>
      </c>
      <c r="B1676">
        <v>32</v>
      </c>
      <c r="C1676" t="s">
        <v>19</v>
      </c>
      <c r="D1676" t="s">
        <v>20</v>
      </c>
      <c r="E1676" t="s">
        <v>33</v>
      </c>
      <c r="F1676" t="s">
        <v>39</v>
      </c>
      <c r="G1676" t="s">
        <v>38</v>
      </c>
      <c r="H1676">
        <v>38658</v>
      </c>
      <c r="I1676">
        <v>18853</v>
      </c>
      <c r="J1676">
        <v>14</v>
      </c>
      <c r="K1676">
        <v>6</v>
      </c>
      <c r="L1676">
        <v>3</v>
      </c>
      <c r="M1676" t="s">
        <v>25</v>
      </c>
      <c r="N1676">
        <v>1</v>
      </c>
      <c r="O1676">
        <v>31</v>
      </c>
      <c r="P1676">
        <v>48</v>
      </c>
      <c r="Q1676">
        <v>4</v>
      </c>
      <c r="R1676">
        <v>3</v>
      </c>
      <c r="S1676" t="s">
        <v>25</v>
      </c>
    </row>
    <row r="1677" spans="1:19" x14ac:dyDescent="0.25">
      <c r="A1677">
        <v>11676</v>
      </c>
      <c r="B1677">
        <v>24</v>
      </c>
      <c r="C1677" t="s">
        <v>19</v>
      </c>
      <c r="D1677" t="s">
        <v>20</v>
      </c>
      <c r="E1677" t="s">
        <v>36</v>
      </c>
      <c r="F1677" t="s">
        <v>35</v>
      </c>
      <c r="G1677" t="s">
        <v>38</v>
      </c>
      <c r="H1677">
        <v>45574</v>
      </c>
      <c r="I1677">
        <v>34224</v>
      </c>
      <c r="J1677">
        <v>10</v>
      </c>
      <c r="K1677">
        <v>4</v>
      </c>
      <c r="L1677">
        <v>4</v>
      </c>
      <c r="M1677" t="s">
        <v>25</v>
      </c>
      <c r="N1677">
        <v>2</v>
      </c>
      <c r="O1677">
        <v>13</v>
      </c>
      <c r="P1677">
        <v>34</v>
      </c>
      <c r="Q1677">
        <v>3</v>
      </c>
      <c r="R1677">
        <v>4</v>
      </c>
      <c r="S1677" t="s">
        <v>25</v>
      </c>
    </row>
    <row r="1678" spans="1:19" x14ac:dyDescent="0.25">
      <c r="A1678">
        <v>11677</v>
      </c>
      <c r="B1678">
        <v>30</v>
      </c>
      <c r="C1678" t="s">
        <v>19</v>
      </c>
      <c r="D1678" t="s">
        <v>34</v>
      </c>
      <c r="E1678" t="s">
        <v>27</v>
      </c>
      <c r="F1678" t="s">
        <v>39</v>
      </c>
      <c r="G1678" t="s">
        <v>30</v>
      </c>
      <c r="H1678">
        <v>82446</v>
      </c>
      <c r="I1678">
        <v>47258</v>
      </c>
      <c r="J1678">
        <v>13</v>
      </c>
      <c r="K1678">
        <v>2</v>
      </c>
      <c r="L1678">
        <v>3</v>
      </c>
      <c r="M1678" t="s">
        <v>25</v>
      </c>
      <c r="N1678">
        <v>3</v>
      </c>
      <c r="O1678">
        <v>19</v>
      </c>
      <c r="P1678">
        <v>35</v>
      </c>
      <c r="Q1678">
        <v>3</v>
      </c>
      <c r="R1678">
        <v>3</v>
      </c>
      <c r="S1678" t="s">
        <v>25</v>
      </c>
    </row>
    <row r="1679" spans="1:19" x14ac:dyDescent="0.25">
      <c r="A1679">
        <v>11678</v>
      </c>
      <c r="B1679">
        <v>48</v>
      </c>
      <c r="C1679" t="s">
        <v>19</v>
      </c>
      <c r="D1679" t="s">
        <v>41</v>
      </c>
      <c r="E1679" t="s">
        <v>27</v>
      </c>
      <c r="F1679" t="s">
        <v>39</v>
      </c>
      <c r="G1679" t="s">
        <v>38</v>
      </c>
      <c r="H1679">
        <v>74694</v>
      </c>
      <c r="I1679">
        <v>19841</v>
      </c>
      <c r="J1679">
        <v>5</v>
      </c>
      <c r="K1679">
        <v>8</v>
      </c>
      <c r="L1679">
        <v>3</v>
      </c>
      <c r="M1679" t="s">
        <v>25</v>
      </c>
      <c r="N1679">
        <v>2</v>
      </c>
      <c r="O1679">
        <v>30</v>
      </c>
      <c r="P1679">
        <v>12</v>
      </c>
      <c r="Q1679">
        <v>3</v>
      </c>
      <c r="R1679">
        <v>1</v>
      </c>
      <c r="S1679" t="s">
        <v>25</v>
      </c>
    </row>
    <row r="1680" spans="1:19" x14ac:dyDescent="0.25">
      <c r="A1680">
        <v>11679</v>
      </c>
      <c r="B1680">
        <v>20</v>
      </c>
      <c r="C1680" t="s">
        <v>31</v>
      </c>
      <c r="D1680" t="s">
        <v>28</v>
      </c>
      <c r="E1680" t="s">
        <v>36</v>
      </c>
      <c r="F1680" t="s">
        <v>22</v>
      </c>
      <c r="G1680" t="s">
        <v>30</v>
      </c>
      <c r="H1680">
        <v>51454</v>
      </c>
      <c r="I1680">
        <v>17196</v>
      </c>
      <c r="J1680">
        <v>7</v>
      </c>
      <c r="K1680">
        <v>10</v>
      </c>
      <c r="L1680">
        <v>3</v>
      </c>
      <c r="M1680" t="s">
        <v>25</v>
      </c>
      <c r="N1680">
        <v>3</v>
      </c>
      <c r="O1680">
        <v>32</v>
      </c>
      <c r="P1680">
        <v>44</v>
      </c>
      <c r="Q1680">
        <v>3</v>
      </c>
      <c r="R1680">
        <v>3</v>
      </c>
      <c r="S1680" t="s">
        <v>25</v>
      </c>
    </row>
    <row r="1681" spans="1:19" x14ac:dyDescent="0.25">
      <c r="A1681">
        <v>11680</v>
      </c>
      <c r="B1681">
        <v>46</v>
      </c>
      <c r="C1681" t="s">
        <v>31</v>
      </c>
      <c r="D1681" t="s">
        <v>41</v>
      </c>
      <c r="E1681" t="s">
        <v>27</v>
      </c>
      <c r="F1681" t="s">
        <v>22</v>
      </c>
      <c r="G1681" t="s">
        <v>30</v>
      </c>
      <c r="H1681">
        <v>70452</v>
      </c>
      <c r="I1681">
        <v>20764</v>
      </c>
      <c r="J1681">
        <v>20</v>
      </c>
      <c r="K1681">
        <v>12</v>
      </c>
      <c r="L1681">
        <v>3</v>
      </c>
      <c r="M1681" t="s">
        <v>24</v>
      </c>
      <c r="N1681">
        <v>4</v>
      </c>
      <c r="O1681">
        <v>27</v>
      </c>
      <c r="P1681">
        <v>59</v>
      </c>
      <c r="Q1681">
        <v>4</v>
      </c>
      <c r="R1681">
        <v>1</v>
      </c>
      <c r="S1681" t="s">
        <v>25</v>
      </c>
    </row>
    <row r="1682" spans="1:19" x14ac:dyDescent="0.25">
      <c r="A1682">
        <v>11681</v>
      </c>
      <c r="B1682">
        <v>40</v>
      </c>
      <c r="C1682" t="s">
        <v>19</v>
      </c>
      <c r="D1682" t="s">
        <v>26</v>
      </c>
      <c r="E1682" t="s">
        <v>27</v>
      </c>
      <c r="F1682" t="s">
        <v>37</v>
      </c>
      <c r="G1682" t="s">
        <v>38</v>
      </c>
      <c r="H1682">
        <v>65233</v>
      </c>
      <c r="I1682">
        <v>44739</v>
      </c>
      <c r="J1682">
        <v>24</v>
      </c>
      <c r="K1682">
        <v>5</v>
      </c>
      <c r="L1682">
        <v>2</v>
      </c>
      <c r="M1682" t="s">
        <v>25</v>
      </c>
      <c r="N1682">
        <v>3</v>
      </c>
      <c r="O1682">
        <v>29</v>
      </c>
      <c r="P1682">
        <v>30</v>
      </c>
      <c r="Q1682">
        <v>2</v>
      </c>
      <c r="R1682">
        <v>4</v>
      </c>
      <c r="S1682" t="s">
        <v>25</v>
      </c>
    </row>
    <row r="1683" spans="1:19" x14ac:dyDescent="0.25">
      <c r="A1683">
        <v>11682</v>
      </c>
      <c r="B1683">
        <v>47</v>
      </c>
      <c r="C1683" t="s">
        <v>19</v>
      </c>
      <c r="D1683" t="s">
        <v>41</v>
      </c>
      <c r="E1683" t="s">
        <v>21</v>
      </c>
      <c r="F1683" t="s">
        <v>35</v>
      </c>
      <c r="G1683" t="s">
        <v>38</v>
      </c>
      <c r="H1683">
        <v>103550</v>
      </c>
      <c r="I1683">
        <v>16721</v>
      </c>
      <c r="J1683">
        <v>11</v>
      </c>
      <c r="K1683">
        <v>1</v>
      </c>
      <c r="L1683">
        <v>3</v>
      </c>
      <c r="M1683" t="s">
        <v>24</v>
      </c>
      <c r="N1683">
        <v>2</v>
      </c>
      <c r="O1683">
        <v>17</v>
      </c>
      <c r="P1683">
        <v>55</v>
      </c>
      <c r="Q1683">
        <v>3</v>
      </c>
      <c r="R1683">
        <v>3</v>
      </c>
      <c r="S1683" t="s">
        <v>25</v>
      </c>
    </row>
    <row r="1684" spans="1:19" x14ac:dyDescent="0.25">
      <c r="A1684">
        <v>11683</v>
      </c>
      <c r="B1684">
        <v>53</v>
      </c>
      <c r="C1684" t="s">
        <v>19</v>
      </c>
      <c r="D1684" t="s">
        <v>20</v>
      </c>
      <c r="E1684" t="s">
        <v>33</v>
      </c>
      <c r="F1684" t="s">
        <v>39</v>
      </c>
      <c r="G1684" t="s">
        <v>30</v>
      </c>
      <c r="H1684">
        <v>36699</v>
      </c>
      <c r="I1684">
        <v>8351</v>
      </c>
      <c r="J1684">
        <v>11</v>
      </c>
      <c r="K1684">
        <v>6</v>
      </c>
      <c r="L1684">
        <v>3</v>
      </c>
      <c r="M1684" t="s">
        <v>24</v>
      </c>
      <c r="N1684">
        <v>4</v>
      </c>
      <c r="O1684">
        <v>39</v>
      </c>
      <c r="P1684">
        <v>6</v>
      </c>
      <c r="Q1684">
        <v>3</v>
      </c>
      <c r="R1684">
        <v>3</v>
      </c>
      <c r="S1684" t="s">
        <v>25</v>
      </c>
    </row>
    <row r="1685" spans="1:19" x14ac:dyDescent="0.25">
      <c r="A1685">
        <v>11684</v>
      </c>
      <c r="B1685">
        <v>49</v>
      </c>
      <c r="C1685" t="s">
        <v>19</v>
      </c>
      <c r="D1685" t="s">
        <v>20</v>
      </c>
      <c r="E1685" t="s">
        <v>33</v>
      </c>
      <c r="F1685" t="s">
        <v>39</v>
      </c>
      <c r="G1685" t="s">
        <v>30</v>
      </c>
      <c r="H1685">
        <v>28747</v>
      </c>
      <c r="I1685">
        <v>28927</v>
      </c>
      <c r="J1685">
        <v>1</v>
      </c>
      <c r="K1685">
        <v>11</v>
      </c>
      <c r="L1685">
        <v>3</v>
      </c>
      <c r="M1685" t="s">
        <v>25</v>
      </c>
      <c r="N1685">
        <v>4</v>
      </c>
      <c r="O1685">
        <v>2</v>
      </c>
      <c r="P1685">
        <v>50</v>
      </c>
      <c r="Q1685">
        <v>3</v>
      </c>
      <c r="R1685">
        <v>4</v>
      </c>
      <c r="S1685" t="s">
        <v>25</v>
      </c>
    </row>
    <row r="1686" spans="1:19" x14ac:dyDescent="0.25">
      <c r="A1686">
        <v>11685</v>
      </c>
      <c r="B1686">
        <v>22</v>
      </c>
      <c r="C1686" t="s">
        <v>19</v>
      </c>
      <c r="D1686" t="s">
        <v>26</v>
      </c>
      <c r="E1686" t="s">
        <v>40</v>
      </c>
      <c r="F1686" t="s">
        <v>22</v>
      </c>
      <c r="G1686" t="s">
        <v>30</v>
      </c>
      <c r="H1686">
        <v>15098</v>
      </c>
      <c r="I1686">
        <v>33506</v>
      </c>
      <c r="J1686">
        <v>16</v>
      </c>
      <c r="K1686">
        <v>2</v>
      </c>
      <c r="L1686">
        <v>3</v>
      </c>
      <c r="M1686" t="s">
        <v>25</v>
      </c>
      <c r="N1686">
        <v>3</v>
      </c>
      <c r="O1686">
        <v>7</v>
      </c>
      <c r="P1686">
        <v>54</v>
      </c>
      <c r="Q1686">
        <v>3</v>
      </c>
      <c r="R1686">
        <v>1</v>
      </c>
      <c r="S1686" t="s">
        <v>25</v>
      </c>
    </row>
    <row r="1687" spans="1:19" x14ac:dyDescent="0.25">
      <c r="A1687">
        <v>11686</v>
      </c>
      <c r="B1687">
        <v>52</v>
      </c>
      <c r="C1687" t="s">
        <v>19</v>
      </c>
      <c r="D1687" t="s">
        <v>26</v>
      </c>
      <c r="E1687" t="s">
        <v>36</v>
      </c>
      <c r="F1687" t="s">
        <v>39</v>
      </c>
      <c r="G1687" t="s">
        <v>30</v>
      </c>
      <c r="H1687">
        <v>50339</v>
      </c>
      <c r="I1687">
        <v>1809</v>
      </c>
      <c r="J1687">
        <v>17</v>
      </c>
      <c r="K1687">
        <v>5</v>
      </c>
      <c r="L1687">
        <v>5</v>
      </c>
      <c r="M1687" t="s">
        <v>25</v>
      </c>
      <c r="N1687">
        <v>3</v>
      </c>
      <c r="O1687">
        <v>19</v>
      </c>
      <c r="P1687">
        <v>9</v>
      </c>
      <c r="Q1687">
        <v>4</v>
      </c>
      <c r="R1687">
        <v>3</v>
      </c>
      <c r="S1687" t="s">
        <v>25</v>
      </c>
    </row>
    <row r="1688" spans="1:19" x14ac:dyDescent="0.25">
      <c r="A1688">
        <v>11687</v>
      </c>
      <c r="B1688">
        <v>28</v>
      </c>
      <c r="C1688" t="s">
        <v>31</v>
      </c>
      <c r="D1688" t="s">
        <v>41</v>
      </c>
      <c r="E1688" t="s">
        <v>33</v>
      </c>
      <c r="F1688" t="s">
        <v>22</v>
      </c>
      <c r="G1688" t="s">
        <v>30</v>
      </c>
      <c r="H1688">
        <v>30202</v>
      </c>
      <c r="I1688">
        <v>41290</v>
      </c>
      <c r="J1688">
        <v>1</v>
      </c>
      <c r="K1688">
        <v>8</v>
      </c>
      <c r="L1688">
        <v>4</v>
      </c>
      <c r="M1688" t="s">
        <v>24</v>
      </c>
      <c r="N1688">
        <v>2</v>
      </c>
      <c r="O1688">
        <v>9</v>
      </c>
      <c r="P1688">
        <v>15</v>
      </c>
      <c r="Q1688">
        <v>1</v>
      </c>
      <c r="R1688">
        <v>2</v>
      </c>
      <c r="S1688" t="s">
        <v>24</v>
      </c>
    </row>
    <row r="1689" spans="1:19" x14ac:dyDescent="0.25">
      <c r="A1689">
        <v>11688</v>
      </c>
      <c r="B1689">
        <v>23</v>
      </c>
      <c r="C1689" t="s">
        <v>19</v>
      </c>
      <c r="D1689" t="s">
        <v>28</v>
      </c>
      <c r="E1689" t="s">
        <v>33</v>
      </c>
      <c r="F1689" t="s">
        <v>39</v>
      </c>
      <c r="G1689" t="s">
        <v>38</v>
      </c>
      <c r="H1689">
        <v>32148</v>
      </c>
      <c r="I1689">
        <v>44006</v>
      </c>
      <c r="J1689">
        <v>10</v>
      </c>
      <c r="K1689">
        <v>5</v>
      </c>
      <c r="L1689">
        <v>5</v>
      </c>
      <c r="M1689" t="s">
        <v>24</v>
      </c>
      <c r="N1689">
        <v>3</v>
      </c>
      <c r="O1689">
        <v>5</v>
      </c>
      <c r="P1689">
        <v>44</v>
      </c>
      <c r="Q1689">
        <v>3</v>
      </c>
      <c r="R1689">
        <v>3</v>
      </c>
      <c r="S1689" t="s">
        <v>25</v>
      </c>
    </row>
    <row r="1690" spans="1:19" x14ac:dyDescent="0.25">
      <c r="A1690">
        <v>11689</v>
      </c>
      <c r="B1690">
        <v>21</v>
      </c>
      <c r="C1690" t="s">
        <v>31</v>
      </c>
      <c r="D1690" t="s">
        <v>32</v>
      </c>
      <c r="E1690" t="s">
        <v>33</v>
      </c>
      <c r="F1690" t="s">
        <v>39</v>
      </c>
      <c r="G1690" t="s">
        <v>30</v>
      </c>
      <c r="H1690">
        <v>43508</v>
      </c>
      <c r="I1690">
        <v>1085</v>
      </c>
      <c r="J1690">
        <v>19</v>
      </c>
      <c r="K1690">
        <v>3</v>
      </c>
      <c r="L1690">
        <v>3</v>
      </c>
      <c r="M1690" t="s">
        <v>25</v>
      </c>
      <c r="N1690">
        <v>3</v>
      </c>
      <c r="O1690">
        <v>23</v>
      </c>
      <c r="P1690">
        <v>39</v>
      </c>
      <c r="Q1690">
        <v>3</v>
      </c>
      <c r="R1690">
        <v>3</v>
      </c>
      <c r="S1690" t="s">
        <v>25</v>
      </c>
    </row>
    <row r="1691" spans="1:19" x14ac:dyDescent="0.25">
      <c r="A1691">
        <v>11690</v>
      </c>
      <c r="B1691">
        <v>47</v>
      </c>
      <c r="C1691" t="s">
        <v>19</v>
      </c>
      <c r="D1691" t="s">
        <v>28</v>
      </c>
      <c r="E1691" t="s">
        <v>27</v>
      </c>
      <c r="F1691" t="s">
        <v>22</v>
      </c>
      <c r="G1691" t="s">
        <v>38</v>
      </c>
      <c r="H1691">
        <v>65263</v>
      </c>
      <c r="I1691">
        <v>21024</v>
      </c>
      <c r="J1691">
        <v>21</v>
      </c>
      <c r="K1691">
        <v>7</v>
      </c>
      <c r="L1691">
        <v>4</v>
      </c>
      <c r="M1691" t="s">
        <v>25</v>
      </c>
      <c r="N1691">
        <v>2</v>
      </c>
      <c r="O1691">
        <v>37</v>
      </c>
      <c r="P1691">
        <v>24</v>
      </c>
      <c r="Q1691">
        <v>4</v>
      </c>
      <c r="R1691">
        <v>1</v>
      </c>
      <c r="S1691" t="s">
        <v>25</v>
      </c>
    </row>
    <row r="1692" spans="1:19" x14ac:dyDescent="0.25">
      <c r="A1692">
        <v>11691</v>
      </c>
      <c r="B1692">
        <v>28</v>
      </c>
      <c r="C1692" t="s">
        <v>19</v>
      </c>
      <c r="D1692" t="s">
        <v>41</v>
      </c>
      <c r="E1692" t="s">
        <v>40</v>
      </c>
      <c r="F1692" t="s">
        <v>39</v>
      </c>
      <c r="G1692" t="s">
        <v>23</v>
      </c>
      <c r="H1692">
        <v>13853</v>
      </c>
      <c r="I1692">
        <v>48232</v>
      </c>
      <c r="J1692">
        <v>4</v>
      </c>
      <c r="K1692">
        <v>9</v>
      </c>
      <c r="L1692">
        <v>3</v>
      </c>
      <c r="M1692" t="s">
        <v>25</v>
      </c>
      <c r="N1692">
        <v>1</v>
      </c>
      <c r="O1692">
        <v>24</v>
      </c>
      <c r="P1692">
        <v>36</v>
      </c>
      <c r="Q1692">
        <v>1</v>
      </c>
      <c r="R1692">
        <v>1</v>
      </c>
      <c r="S1692" t="s">
        <v>24</v>
      </c>
    </row>
    <row r="1693" spans="1:19" x14ac:dyDescent="0.25">
      <c r="A1693">
        <v>11692</v>
      </c>
      <c r="B1693">
        <v>37</v>
      </c>
      <c r="C1693" t="s">
        <v>31</v>
      </c>
      <c r="D1693" t="s">
        <v>28</v>
      </c>
      <c r="E1693" t="s">
        <v>21</v>
      </c>
      <c r="F1693" t="s">
        <v>22</v>
      </c>
      <c r="G1693" t="s">
        <v>23</v>
      </c>
      <c r="H1693">
        <v>97174</v>
      </c>
      <c r="I1693">
        <v>29472</v>
      </c>
      <c r="J1693">
        <v>6</v>
      </c>
      <c r="K1693">
        <v>9</v>
      </c>
      <c r="L1693">
        <v>5</v>
      </c>
      <c r="M1693" t="s">
        <v>25</v>
      </c>
      <c r="N1693">
        <v>1</v>
      </c>
      <c r="O1693">
        <v>17</v>
      </c>
      <c r="P1693">
        <v>18</v>
      </c>
      <c r="Q1693">
        <v>2</v>
      </c>
      <c r="R1693">
        <v>3</v>
      </c>
      <c r="S1693" t="s">
        <v>25</v>
      </c>
    </row>
    <row r="1694" spans="1:19" x14ac:dyDescent="0.25">
      <c r="A1694">
        <v>11693</v>
      </c>
      <c r="B1694">
        <v>48</v>
      </c>
      <c r="C1694" t="s">
        <v>31</v>
      </c>
      <c r="D1694" t="s">
        <v>32</v>
      </c>
      <c r="E1694" t="s">
        <v>29</v>
      </c>
      <c r="F1694" t="s">
        <v>39</v>
      </c>
      <c r="G1694" t="s">
        <v>23</v>
      </c>
      <c r="H1694">
        <v>146015</v>
      </c>
      <c r="I1694">
        <v>42058</v>
      </c>
      <c r="J1694">
        <v>12</v>
      </c>
      <c r="K1694">
        <v>11</v>
      </c>
      <c r="L1694">
        <v>4</v>
      </c>
      <c r="M1694" t="s">
        <v>24</v>
      </c>
      <c r="N1694">
        <v>4</v>
      </c>
      <c r="O1694">
        <v>35</v>
      </c>
      <c r="P1694">
        <v>13</v>
      </c>
      <c r="Q1694">
        <v>4</v>
      </c>
      <c r="R1694">
        <v>3</v>
      </c>
      <c r="S1694" t="s">
        <v>25</v>
      </c>
    </row>
    <row r="1695" spans="1:19" x14ac:dyDescent="0.25">
      <c r="A1695">
        <v>11694</v>
      </c>
      <c r="B1695">
        <v>51</v>
      </c>
      <c r="C1695" t="s">
        <v>31</v>
      </c>
      <c r="D1695" t="s">
        <v>28</v>
      </c>
      <c r="E1695" t="s">
        <v>21</v>
      </c>
      <c r="F1695" t="s">
        <v>39</v>
      </c>
      <c r="G1695" t="s">
        <v>38</v>
      </c>
      <c r="H1695">
        <v>114871</v>
      </c>
      <c r="I1695">
        <v>4650</v>
      </c>
      <c r="J1695">
        <v>3</v>
      </c>
      <c r="K1695">
        <v>1</v>
      </c>
      <c r="L1695">
        <v>3</v>
      </c>
      <c r="M1695" t="s">
        <v>25</v>
      </c>
      <c r="N1695">
        <v>2</v>
      </c>
      <c r="O1695">
        <v>38</v>
      </c>
      <c r="P1695">
        <v>33</v>
      </c>
      <c r="Q1695">
        <v>2</v>
      </c>
      <c r="R1695">
        <v>1</v>
      </c>
      <c r="S1695" t="s">
        <v>25</v>
      </c>
    </row>
    <row r="1696" spans="1:19" x14ac:dyDescent="0.25">
      <c r="A1696">
        <v>11695</v>
      </c>
      <c r="B1696">
        <v>38</v>
      </c>
      <c r="C1696" t="s">
        <v>31</v>
      </c>
      <c r="D1696" t="s">
        <v>26</v>
      </c>
      <c r="E1696" t="s">
        <v>29</v>
      </c>
      <c r="F1696" t="s">
        <v>39</v>
      </c>
      <c r="G1696" t="s">
        <v>30</v>
      </c>
      <c r="H1696">
        <v>151764</v>
      </c>
      <c r="I1696">
        <v>33081</v>
      </c>
      <c r="J1696">
        <v>9</v>
      </c>
      <c r="K1696">
        <v>3</v>
      </c>
      <c r="L1696">
        <v>3</v>
      </c>
      <c r="M1696" t="s">
        <v>25</v>
      </c>
      <c r="N1696">
        <v>3</v>
      </c>
      <c r="O1696">
        <v>24</v>
      </c>
      <c r="P1696">
        <v>56</v>
      </c>
      <c r="Q1696">
        <v>1</v>
      </c>
      <c r="R1696">
        <v>4</v>
      </c>
      <c r="S1696" t="s">
        <v>24</v>
      </c>
    </row>
    <row r="1697" spans="1:19" x14ac:dyDescent="0.25">
      <c r="A1697">
        <v>11696</v>
      </c>
      <c r="B1697">
        <v>20</v>
      </c>
      <c r="C1697" t="s">
        <v>31</v>
      </c>
      <c r="D1697" t="s">
        <v>20</v>
      </c>
      <c r="E1697" t="s">
        <v>36</v>
      </c>
      <c r="F1697" t="s">
        <v>39</v>
      </c>
      <c r="G1697" t="s">
        <v>38</v>
      </c>
      <c r="H1697">
        <v>56169</v>
      </c>
      <c r="I1697">
        <v>19462</v>
      </c>
      <c r="J1697">
        <v>21</v>
      </c>
      <c r="K1697">
        <v>5</v>
      </c>
      <c r="L1697">
        <v>2</v>
      </c>
      <c r="M1697" t="s">
        <v>25</v>
      </c>
      <c r="N1697">
        <v>2</v>
      </c>
      <c r="O1697">
        <v>14</v>
      </c>
      <c r="P1697">
        <v>48</v>
      </c>
      <c r="Q1697">
        <v>1</v>
      </c>
      <c r="R1697">
        <v>2</v>
      </c>
      <c r="S1697" t="s">
        <v>25</v>
      </c>
    </row>
    <row r="1698" spans="1:19" x14ac:dyDescent="0.25">
      <c r="A1698">
        <v>11697</v>
      </c>
      <c r="B1698">
        <v>54</v>
      </c>
      <c r="C1698" t="s">
        <v>31</v>
      </c>
      <c r="D1698" t="s">
        <v>26</v>
      </c>
      <c r="E1698" t="s">
        <v>27</v>
      </c>
      <c r="F1698" t="s">
        <v>39</v>
      </c>
      <c r="G1698" t="s">
        <v>30</v>
      </c>
      <c r="H1698">
        <v>88411</v>
      </c>
      <c r="I1698">
        <v>23954</v>
      </c>
      <c r="J1698">
        <v>14</v>
      </c>
      <c r="K1698">
        <v>14</v>
      </c>
      <c r="L1698">
        <v>3</v>
      </c>
      <c r="M1698" t="s">
        <v>25</v>
      </c>
      <c r="N1698">
        <v>4</v>
      </c>
      <c r="O1698">
        <v>30</v>
      </c>
      <c r="P1698">
        <v>46</v>
      </c>
      <c r="Q1698">
        <v>3</v>
      </c>
      <c r="R1698">
        <v>3</v>
      </c>
      <c r="S1698" t="s">
        <v>25</v>
      </c>
    </row>
    <row r="1699" spans="1:19" x14ac:dyDescent="0.25">
      <c r="A1699">
        <v>11698</v>
      </c>
      <c r="B1699">
        <v>27</v>
      </c>
      <c r="C1699" t="s">
        <v>19</v>
      </c>
      <c r="D1699" t="s">
        <v>28</v>
      </c>
      <c r="E1699" t="s">
        <v>21</v>
      </c>
      <c r="F1699" t="s">
        <v>39</v>
      </c>
      <c r="G1699" t="s">
        <v>38</v>
      </c>
      <c r="H1699">
        <v>121049</v>
      </c>
      <c r="I1699">
        <v>36003</v>
      </c>
      <c r="J1699">
        <v>7</v>
      </c>
      <c r="K1699">
        <v>11</v>
      </c>
      <c r="L1699">
        <v>3</v>
      </c>
      <c r="M1699" t="s">
        <v>25</v>
      </c>
      <c r="N1699">
        <v>1</v>
      </c>
      <c r="O1699">
        <v>23</v>
      </c>
      <c r="P1699">
        <v>21</v>
      </c>
      <c r="Q1699">
        <v>2</v>
      </c>
      <c r="R1699">
        <v>4</v>
      </c>
      <c r="S1699" t="s">
        <v>25</v>
      </c>
    </row>
    <row r="1700" spans="1:19" x14ac:dyDescent="0.25">
      <c r="A1700">
        <v>11699</v>
      </c>
      <c r="B1700">
        <v>37</v>
      </c>
      <c r="C1700" t="s">
        <v>19</v>
      </c>
      <c r="D1700" t="s">
        <v>41</v>
      </c>
      <c r="E1700" t="s">
        <v>29</v>
      </c>
      <c r="F1700" t="s">
        <v>39</v>
      </c>
      <c r="G1700" t="s">
        <v>38</v>
      </c>
      <c r="H1700">
        <v>144525</v>
      </c>
      <c r="I1700">
        <v>15641</v>
      </c>
      <c r="J1700">
        <v>2</v>
      </c>
      <c r="K1700">
        <v>11</v>
      </c>
      <c r="L1700">
        <v>3</v>
      </c>
      <c r="M1700" t="s">
        <v>25</v>
      </c>
      <c r="N1700">
        <v>3</v>
      </c>
      <c r="O1700">
        <v>21</v>
      </c>
      <c r="P1700">
        <v>53</v>
      </c>
      <c r="Q1700">
        <v>1</v>
      </c>
      <c r="R1700">
        <v>2</v>
      </c>
      <c r="S1700" t="s">
        <v>25</v>
      </c>
    </row>
    <row r="1701" spans="1:19" x14ac:dyDescent="0.25">
      <c r="A1701">
        <v>11700</v>
      </c>
      <c r="B1701">
        <v>44</v>
      </c>
      <c r="C1701" t="s">
        <v>19</v>
      </c>
      <c r="D1701" t="s">
        <v>20</v>
      </c>
      <c r="E1701" t="s">
        <v>36</v>
      </c>
      <c r="F1701" t="s">
        <v>39</v>
      </c>
      <c r="G1701" t="s">
        <v>30</v>
      </c>
      <c r="H1701">
        <v>54027</v>
      </c>
      <c r="I1701">
        <v>14847</v>
      </c>
      <c r="J1701">
        <v>20</v>
      </c>
      <c r="K1701">
        <v>13</v>
      </c>
      <c r="L1701">
        <v>3</v>
      </c>
      <c r="M1701" t="s">
        <v>25</v>
      </c>
      <c r="N1701">
        <v>1</v>
      </c>
      <c r="O1701">
        <v>32</v>
      </c>
      <c r="P1701">
        <v>29</v>
      </c>
      <c r="Q1701">
        <v>4</v>
      </c>
      <c r="R1701">
        <v>3</v>
      </c>
      <c r="S1701" t="s">
        <v>25</v>
      </c>
    </row>
    <row r="1702" spans="1:19" x14ac:dyDescent="0.25">
      <c r="A1702">
        <v>11701</v>
      </c>
      <c r="B1702">
        <v>54</v>
      </c>
      <c r="C1702" t="s">
        <v>19</v>
      </c>
      <c r="D1702" t="s">
        <v>41</v>
      </c>
      <c r="E1702" t="s">
        <v>21</v>
      </c>
      <c r="F1702" t="s">
        <v>39</v>
      </c>
      <c r="G1702" t="s">
        <v>23</v>
      </c>
      <c r="H1702">
        <v>102682</v>
      </c>
      <c r="I1702">
        <v>26048</v>
      </c>
      <c r="J1702">
        <v>19</v>
      </c>
      <c r="K1702">
        <v>4</v>
      </c>
      <c r="L1702">
        <v>4</v>
      </c>
      <c r="M1702" t="s">
        <v>25</v>
      </c>
      <c r="N1702">
        <v>1</v>
      </c>
      <c r="O1702">
        <v>13</v>
      </c>
      <c r="P1702">
        <v>35</v>
      </c>
      <c r="Q1702">
        <v>1</v>
      </c>
      <c r="R1702">
        <v>3</v>
      </c>
      <c r="S1702" t="s">
        <v>24</v>
      </c>
    </row>
    <row r="1703" spans="1:19" x14ac:dyDescent="0.25">
      <c r="A1703">
        <v>11702</v>
      </c>
      <c r="B1703">
        <v>28</v>
      </c>
      <c r="C1703" t="s">
        <v>19</v>
      </c>
      <c r="D1703" t="s">
        <v>41</v>
      </c>
      <c r="E1703" t="s">
        <v>27</v>
      </c>
      <c r="F1703" t="s">
        <v>35</v>
      </c>
      <c r="G1703" t="s">
        <v>38</v>
      </c>
      <c r="H1703">
        <v>65615</v>
      </c>
      <c r="I1703">
        <v>20019</v>
      </c>
      <c r="J1703">
        <v>17</v>
      </c>
      <c r="K1703">
        <v>9</v>
      </c>
      <c r="L1703">
        <v>4</v>
      </c>
      <c r="M1703" t="s">
        <v>25</v>
      </c>
      <c r="N1703">
        <v>1</v>
      </c>
      <c r="O1703">
        <v>24</v>
      </c>
      <c r="P1703">
        <v>58</v>
      </c>
      <c r="Q1703">
        <v>3</v>
      </c>
      <c r="R1703">
        <v>2</v>
      </c>
      <c r="S1703" t="s">
        <v>24</v>
      </c>
    </row>
    <row r="1704" spans="1:19" x14ac:dyDescent="0.25">
      <c r="A1704">
        <v>11703</v>
      </c>
      <c r="B1704">
        <v>49</v>
      </c>
      <c r="C1704" t="s">
        <v>19</v>
      </c>
      <c r="D1704" t="s">
        <v>20</v>
      </c>
      <c r="E1704" t="s">
        <v>33</v>
      </c>
      <c r="F1704" t="s">
        <v>39</v>
      </c>
      <c r="G1704" t="s">
        <v>30</v>
      </c>
      <c r="H1704">
        <v>38064</v>
      </c>
      <c r="I1704">
        <v>22570</v>
      </c>
      <c r="J1704">
        <v>9</v>
      </c>
      <c r="K1704">
        <v>12</v>
      </c>
      <c r="L1704">
        <v>5</v>
      </c>
      <c r="M1704" t="s">
        <v>24</v>
      </c>
      <c r="N1704">
        <v>3</v>
      </c>
      <c r="O1704">
        <v>5</v>
      </c>
      <c r="P1704">
        <v>10</v>
      </c>
      <c r="Q1704">
        <v>4</v>
      </c>
      <c r="R1704">
        <v>3</v>
      </c>
      <c r="S1704" t="s">
        <v>25</v>
      </c>
    </row>
    <row r="1705" spans="1:19" x14ac:dyDescent="0.25">
      <c r="A1705">
        <v>11704</v>
      </c>
      <c r="B1705">
        <v>49</v>
      </c>
      <c r="C1705" t="s">
        <v>31</v>
      </c>
      <c r="D1705" t="s">
        <v>28</v>
      </c>
      <c r="E1705" t="s">
        <v>36</v>
      </c>
      <c r="F1705" t="s">
        <v>35</v>
      </c>
      <c r="G1705" t="s">
        <v>38</v>
      </c>
      <c r="H1705">
        <v>66787</v>
      </c>
      <c r="I1705">
        <v>46267</v>
      </c>
      <c r="J1705">
        <v>14</v>
      </c>
      <c r="K1705">
        <v>9</v>
      </c>
      <c r="L1705">
        <v>3</v>
      </c>
      <c r="M1705" t="s">
        <v>25</v>
      </c>
      <c r="N1705">
        <v>4</v>
      </c>
      <c r="O1705">
        <v>3</v>
      </c>
      <c r="P1705">
        <v>9</v>
      </c>
      <c r="Q1705">
        <v>1</v>
      </c>
      <c r="R1705">
        <v>4</v>
      </c>
      <c r="S1705" t="s">
        <v>25</v>
      </c>
    </row>
    <row r="1706" spans="1:19" x14ac:dyDescent="0.25">
      <c r="A1706">
        <v>11705</v>
      </c>
      <c r="B1706">
        <v>57</v>
      </c>
      <c r="C1706" t="s">
        <v>19</v>
      </c>
      <c r="D1706" t="s">
        <v>20</v>
      </c>
      <c r="E1706" t="s">
        <v>33</v>
      </c>
      <c r="F1706" t="s">
        <v>37</v>
      </c>
      <c r="G1706" t="s">
        <v>38</v>
      </c>
      <c r="H1706">
        <v>37484</v>
      </c>
      <c r="I1706">
        <v>26025</v>
      </c>
      <c r="J1706">
        <v>0</v>
      </c>
      <c r="K1706">
        <v>10</v>
      </c>
      <c r="L1706">
        <v>3</v>
      </c>
      <c r="M1706" t="s">
        <v>24</v>
      </c>
      <c r="N1706">
        <v>3</v>
      </c>
      <c r="O1706">
        <v>30</v>
      </c>
      <c r="P1706">
        <v>51</v>
      </c>
      <c r="Q1706">
        <v>3</v>
      </c>
      <c r="R1706">
        <v>2</v>
      </c>
      <c r="S1706" t="s">
        <v>25</v>
      </c>
    </row>
    <row r="1707" spans="1:19" x14ac:dyDescent="0.25">
      <c r="A1707">
        <v>11706</v>
      </c>
      <c r="B1707">
        <v>27</v>
      </c>
      <c r="C1707" t="s">
        <v>31</v>
      </c>
      <c r="D1707" t="s">
        <v>20</v>
      </c>
      <c r="E1707" t="s">
        <v>40</v>
      </c>
      <c r="F1707" t="s">
        <v>35</v>
      </c>
      <c r="G1707" t="s">
        <v>38</v>
      </c>
      <c r="H1707">
        <v>11411</v>
      </c>
      <c r="I1707">
        <v>29248</v>
      </c>
      <c r="J1707">
        <v>24</v>
      </c>
      <c r="K1707">
        <v>9</v>
      </c>
      <c r="L1707">
        <v>3</v>
      </c>
      <c r="M1707" t="s">
        <v>25</v>
      </c>
      <c r="N1707">
        <v>3</v>
      </c>
      <c r="O1707">
        <v>31</v>
      </c>
      <c r="P1707">
        <v>30</v>
      </c>
      <c r="Q1707">
        <v>4</v>
      </c>
      <c r="R1707">
        <v>3</v>
      </c>
      <c r="S1707" t="s">
        <v>25</v>
      </c>
    </row>
    <row r="1708" spans="1:19" x14ac:dyDescent="0.25">
      <c r="A1708">
        <v>11707</v>
      </c>
      <c r="B1708">
        <v>44</v>
      </c>
      <c r="C1708" t="s">
        <v>19</v>
      </c>
      <c r="D1708" t="s">
        <v>41</v>
      </c>
      <c r="E1708" t="s">
        <v>27</v>
      </c>
      <c r="F1708" t="s">
        <v>22</v>
      </c>
      <c r="G1708" t="s">
        <v>30</v>
      </c>
      <c r="H1708">
        <v>68862</v>
      </c>
      <c r="I1708">
        <v>7370</v>
      </c>
      <c r="J1708">
        <v>4</v>
      </c>
      <c r="K1708">
        <v>8</v>
      </c>
      <c r="L1708">
        <v>3</v>
      </c>
      <c r="M1708" t="s">
        <v>25</v>
      </c>
      <c r="N1708">
        <v>4</v>
      </c>
      <c r="O1708">
        <v>2</v>
      </c>
      <c r="P1708">
        <v>30</v>
      </c>
      <c r="Q1708">
        <v>3</v>
      </c>
      <c r="R1708">
        <v>3</v>
      </c>
      <c r="S1708" t="s">
        <v>25</v>
      </c>
    </row>
    <row r="1709" spans="1:19" x14ac:dyDescent="0.25">
      <c r="A1709">
        <v>11708</v>
      </c>
      <c r="B1709">
        <v>33</v>
      </c>
      <c r="C1709" t="s">
        <v>31</v>
      </c>
      <c r="D1709" t="s">
        <v>41</v>
      </c>
      <c r="E1709" t="s">
        <v>33</v>
      </c>
      <c r="F1709" t="s">
        <v>39</v>
      </c>
      <c r="G1709" t="s">
        <v>30</v>
      </c>
      <c r="H1709">
        <v>32897</v>
      </c>
      <c r="I1709">
        <v>9782</v>
      </c>
      <c r="J1709">
        <v>24</v>
      </c>
      <c r="K1709">
        <v>12</v>
      </c>
      <c r="L1709">
        <v>1</v>
      </c>
      <c r="M1709" t="s">
        <v>25</v>
      </c>
      <c r="N1709">
        <v>2</v>
      </c>
      <c r="O1709">
        <v>4</v>
      </c>
      <c r="P1709">
        <v>24</v>
      </c>
      <c r="Q1709">
        <v>3</v>
      </c>
      <c r="R1709">
        <v>4</v>
      </c>
      <c r="S1709" t="s">
        <v>25</v>
      </c>
    </row>
    <row r="1710" spans="1:19" x14ac:dyDescent="0.25">
      <c r="A1710">
        <v>11709</v>
      </c>
      <c r="B1710">
        <v>43</v>
      </c>
      <c r="C1710" t="s">
        <v>19</v>
      </c>
      <c r="D1710" t="s">
        <v>32</v>
      </c>
      <c r="E1710" t="s">
        <v>36</v>
      </c>
      <c r="F1710" t="s">
        <v>39</v>
      </c>
      <c r="G1710" t="s">
        <v>30</v>
      </c>
      <c r="H1710">
        <v>59823</v>
      </c>
      <c r="I1710">
        <v>33110</v>
      </c>
      <c r="J1710">
        <v>8</v>
      </c>
      <c r="K1710">
        <v>8</v>
      </c>
      <c r="L1710">
        <v>2</v>
      </c>
      <c r="M1710" t="s">
        <v>25</v>
      </c>
      <c r="N1710">
        <v>3</v>
      </c>
      <c r="O1710">
        <v>17</v>
      </c>
      <c r="P1710">
        <v>47</v>
      </c>
      <c r="Q1710">
        <v>3</v>
      </c>
      <c r="R1710">
        <v>3</v>
      </c>
      <c r="S1710" t="s">
        <v>25</v>
      </c>
    </row>
    <row r="1711" spans="1:19" x14ac:dyDescent="0.25">
      <c r="A1711">
        <v>11710</v>
      </c>
      <c r="B1711">
        <v>46</v>
      </c>
      <c r="C1711" t="s">
        <v>19</v>
      </c>
      <c r="D1711" t="s">
        <v>41</v>
      </c>
      <c r="E1711" t="s">
        <v>27</v>
      </c>
      <c r="F1711" t="s">
        <v>22</v>
      </c>
      <c r="G1711" t="s">
        <v>38</v>
      </c>
      <c r="H1711">
        <v>73037</v>
      </c>
      <c r="I1711">
        <v>18922</v>
      </c>
      <c r="J1711">
        <v>3</v>
      </c>
      <c r="K1711">
        <v>0</v>
      </c>
      <c r="L1711">
        <v>3</v>
      </c>
      <c r="M1711" t="s">
        <v>25</v>
      </c>
      <c r="N1711">
        <v>3</v>
      </c>
      <c r="O1711">
        <v>17</v>
      </c>
      <c r="P1711">
        <v>45</v>
      </c>
      <c r="Q1711">
        <v>3</v>
      </c>
      <c r="R1711">
        <v>4</v>
      </c>
      <c r="S1711" t="s">
        <v>25</v>
      </c>
    </row>
    <row r="1712" spans="1:19" x14ac:dyDescent="0.25">
      <c r="A1712">
        <v>11711</v>
      </c>
      <c r="B1712">
        <v>20</v>
      </c>
      <c r="C1712" t="s">
        <v>19</v>
      </c>
      <c r="D1712" t="s">
        <v>34</v>
      </c>
      <c r="E1712" t="s">
        <v>33</v>
      </c>
      <c r="F1712" t="s">
        <v>39</v>
      </c>
      <c r="G1712" t="s">
        <v>38</v>
      </c>
      <c r="H1712">
        <v>29339</v>
      </c>
      <c r="I1712">
        <v>32033</v>
      </c>
      <c r="J1712">
        <v>16</v>
      </c>
      <c r="K1712">
        <v>13</v>
      </c>
      <c r="L1712">
        <v>1</v>
      </c>
      <c r="M1712" t="s">
        <v>25</v>
      </c>
      <c r="N1712">
        <v>1</v>
      </c>
      <c r="O1712">
        <v>22</v>
      </c>
      <c r="P1712">
        <v>8</v>
      </c>
      <c r="Q1712">
        <v>2</v>
      </c>
      <c r="R1712">
        <v>4</v>
      </c>
      <c r="S1712" t="s">
        <v>25</v>
      </c>
    </row>
    <row r="1713" spans="1:19" x14ac:dyDescent="0.25">
      <c r="A1713">
        <v>11712</v>
      </c>
      <c r="B1713">
        <v>27</v>
      </c>
      <c r="C1713" t="s">
        <v>31</v>
      </c>
      <c r="D1713" t="s">
        <v>32</v>
      </c>
      <c r="E1713" t="s">
        <v>33</v>
      </c>
      <c r="F1713" t="s">
        <v>39</v>
      </c>
      <c r="G1713" t="s">
        <v>38</v>
      </c>
      <c r="H1713">
        <v>40235</v>
      </c>
      <c r="I1713">
        <v>11928</v>
      </c>
      <c r="J1713">
        <v>20</v>
      </c>
      <c r="K1713">
        <v>13</v>
      </c>
      <c r="L1713">
        <v>3</v>
      </c>
      <c r="M1713" t="s">
        <v>24</v>
      </c>
      <c r="N1713">
        <v>3</v>
      </c>
      <c r="O1713">
        <v>10</v>
      </c>
      <c r="P1713">
        <v>47</v>
      </c>
      <c r="Q1713">
        <v>3</v>
      </c>
      <c r="R1713">
        <v>3</v>
      </c>
      <c r="S1713" t="s">
        <v>25</v>
      </c>
    </row>
    <row r="1714" spans="1:19" x14ac:dyDescent="0.25">
      <c r="A1714">
        <v>11713</v>
      </c>
      <c r="B1714">
        <v>30</v>
      </c>
      <c r="C1714" t="s">
        <v>19</v>
      </c>
      <c r="D1714" t="s">
        <v>20</v>
      </c>
      <c r="E1714" t="s">
        <v>27</v>
      </c>
      <c r="F1714" t="s">
        <v>39</v>
      </c>
      <c r="G1714" t="s">
        <v>23</v>
      </c>
      <c r="H1714">
        <v>76689</v>
      </c>
      <c r="I1714">
        <v>18242</v>
      </c>
      <c r="J1714">
        <v>15</v>
      </c>
      <c r="K1714">
        <v>3</v>
      </c>
      <c r="L1714">
        <v>3</v>
      </c>
      <c r="M1714" t="s">
        <v>25</v>
      </c>
      <c r="N1714">
        <v>2</v>
      </c>
      <c r="O1714">
        <v>20</v>
      </c>
      <c r="P1714">
        <v>21</v>
      </c>
      <c r="Q1714">
        <v>1</v>
      </c>
      <c r="R1714">
        <v>3</v>
      </c>
      <c r="S1714" t="s">
        <v>25</v>
      </c>
    </row>
    <row r="1715" spans="1:19" x14ac:dyDescent="0.25">
      <c r="A1715">
        <v>11714</v>
      </c>
      <c r="B1715">
        <v>49</v>
      </c>
      <c r="C1715" t="s">
        <v>19</v>
      </c>
      <c r="D1715" t="s">
        <v>20</v>
      </c>
      <c r="E1715" t="s">
        <v>36</v>
      </c>
      <c r="F1715" t="s">
        <v>37</v>
      </c>
      <c r="G1715" t="s">
        <v>30</v>
      </c>
      <c r="H1715">
        <v>65771</v>
      </c>
      <c r="I1715">
        <v>17331</v>
      </c>
      <c r="J1715">
        <v>4</v>
      </c>
      <c r="K1715">
        <v>12</v>
      </c>
      <c r="L1715">
        <v>3</v>
      </c>
      <c r="M1715" t="s">
        <v>25</v>
      </c>
      <c r="N1715">
        <v>1</v>
      </c>
      <c r="O1715">
        <v>15</v>
      </c>
      <c r="P1715">
        <v>45</v>
      </c>
      <c r="Q1715">
        <v>3</v>
      </c>
      <c r="R1715">
        <v>1</v>
      </c>
      <c r="S1715" t="s">
        <v>25</v>
      </c>
    </row>
    <row r="1716" spans="1:19" x14ac:dyDescent="0.25">
      <c r="A1716">
        <v>11715</v>
      </c>
      <c r="B1716">
        <v>23</v>
      </c>
      <c r="C1716" t="s">
        <v>19</v>
      </c>
      <c r="D1716" t="s">
        <v>41</v>
      </c>
      <c r="E1716" t="s">
        <v>21</v>
      </c>
      <c r="F1716" t="s">
        <v>22</v>
      </c>
      <c r="G1716" t="s">
        <v>30</v>
      </c>
      <c r="H1716">
        <v>119236</v>
      </c>
      <c r="I1716">
        <v>33226</v>
      </c>
      <c r="J1716">
        <v>4</v>
      </c>
      <c r="K1716">
        <v>1</v>
      </c>
      <c r="L1716">
        <v>3</v>
      </c>
      <c r="M1716" t="s">
        <v>25</v>
      </c>
      <c r="N1716">
        <v>3</v>
      </c>
      <c r="O1716">
        <v>25</v>
      </c>
      <c r="P1716">
        <v>39</v>
      </c>
      <c r="Q1716">
        <v>3</v>
      </c>
      <c r="R1716">
        <v>3</v>
      </c>
      <c r="S1716" t="s">
        <v>25</v>
      </c>
    </row>
    <row r="1717" spans="1:19" x14ac:dyDescent="0.25">
      <c r="A1717">
        <v>11716</v>
      </c>
      <c r="B1717">
        <v>28</v>
      </c>
      <c r="C1717" t="s">
        <v>19</v>
      </c>
      <c r="D1717" t="s">
        <v>28</v>
      </c>
      <c r="E1717" t="s">
        <v>27</v>
      </c>
      <c r="F1717" t="s">
        <v>35</v>
      </c>
      <c r="G1717" t="s">
        <v>38</v>
      </c>
      <c r="H1717">
        <v>71804</v>
      </c>
      <c r="I1717">
        <v>23709</v>
      </c>
      <c r="J1717">
        <v>13</v>
      </c>
      <c r="K1717">
        <v>9</v>
      </c>
      <c r="L1717">
        <v>3</v>
      </c>
      <c r="M1717" t="s">
        <v>24</v>
      </c>
      <c r="N1717">
        <v>3</v>
      </c>
      <c r="O1717">
        <v>28</v>
      </c>
      <c r="P1717">
        <v>20</v>
      </c>
      <c r="Q1717">
        <v>3</v>
      </c>
      <c r="R1717">
        <v>4</v>
      </c>
      <c r="S1717" t="s">
        <v>25</v>
      </c>
    </row>
    <row r="1718" spans="1:19" x14ac:dyDescent="0.25">
      <c r="A1718">
        <v>11717</v>
      </c>
      <c r="B1718">
        <v>49</v>
      </c>
      <c r="C1718" t="s">
        <v>19</v>
      </c>
      <c r="D1718" t="s">
        <v>28</v>
      </c>
      <c r="E1718" t="s">
        <v>29</v>
      </c>
      <c r="F1718" t="s">
        <v>35</v>
      </c>
      <c r="G1718" t="s">
        <v>23</v>
      </c>
      <c r="H1718">
        <v>155074</v>
      </c>
      <c r="I1718">
        <v>11159</v>
      </c>
      <c r="J1718">
        <v>19</v>
      </c>
      <c r="K1718">
        <v>14</v>
      </c>
      <c r="L1718">
        <v>5</v>
      </c>
      <c r="M1718" t="s">
        <v>25</v>
      </c>
      <c r="N1718">
        <v>1</v>
      </c>
      <c r="O1718">
        <v>34</v>
      </c>
      <c r="P1718">
        <v>20</v>
      </c>
      <c r="Q1718">
        <v>4</v>
      </c>
      <c r="R1718">
        <v>4</v>
      </c>
      <c r="S1718" t="s">
        <v>25</v>
      </c>
    </row>
    <row r="1719" spans="1:19" x14ac:dyDescent="0.25">
      <c r="A1719">
        <v>11718</v>
      </c>
      <c r="B1719">
        <v>43</v>
      </c>
      <c r="C1719" t="s">
        <v>19</v>
      </c>
      <c r="D1719" t="s">
        <v>20</v>
      </c>
      <c r="E1719" t="s">
        <v>33</v>
      </c>
      <c r="F1719" t="s">
        <v>39</v>
      </c>
      <c r="G1719" t="s">
        <v>38</v>
      </c>
      <c r="H1719">
        <v>31176</v>
      </c>
      <c r="I1719">
        <v>37978</v>
      </c>
      <c r="J1719">
        <v>10</v>
      </c>
      <c r="K1719">
        <v>6</v>
      </c>
      <c r="L1719">
        <v>5</v>
      </c>
      <c r="M1719" t="s">
        <v>25</v>
      </c>
      <c r="N1719">
        <v>3</v>
      </c>
      <c r="O1719">
        <v>28</v>
      </c>
      <c r="P1719">
        <v>49</v>
      </c>
      <c r="Q1719">
        <v>3</v>
      </c>
      <c r="R1719">
        <v>2</v>
      </c>
      <c r="S1719" t="s">
        <v>25</v>
      </c>
    </row>
    <row r="1720" spans="1:19" x14ac:dyDescent="0.25">
      <c r="A1720">
        <v>11719</v>
      </c>
      <c r="B1720">
        <v>47</v>
      </c>
      <c r="C1720" t="s">
        <v>19</v>
      </c>
      <c r="D1720" t="s">
        <v>20</v>
      </c>
      <c r="E1720" t="s">
        <v>33</v>
      </c>
      <c r="F1720" t="s">
        <v>35</v>
      </c>
      <c r="G1720" t="s">
        <v>38</v>
      </c>
      <c r="H1720">
        <v>38259</v>
      </c>
      <c r="I1720">
        <v>32791</v>
      </c>
      <c r="J1720">
        <v>12</v>
      </c>
      <c r="K1720">
        <v>12</v>
      </c>
      <c r="L1720">
        <v>3</v>
      </c>
      <c r="M1720" t="s">
        <v>25</v>
      </c>
      <c r="N1720">
        <v>3</v>
      </c>
      <c r="O1720">
        <v>20</v>
      </c>
      <c r="P1720">
        <v>25</v>
      </c>
      <c r="Q1720">
        <v>3</v>
      </c>
      <c r="R1720">
        <v>3</v>
      </c>
      <c r="S1720" t="s">
        <v>25</v>
      </c>
    </row>
    <row r="1721" spans="1:19" x14ac:dyDescent="0.25">
      <c r="A1721">
        <v>11720</v>
      </c>
      <c r="B1721">
        <v>50</v>
      </c>
      <c r="C1721" t="s">
        <v>31</v>
      </c>
      <c r="D1721" t="s">
        <v>28</v>
      </c>
      <c r="E1721" t="s">
        <v>36</v>
      </c>
      <c r="F1721" t="s">
        <v>35</v>
      </c>
      <c r="G1721" t="s">
        <v>30</v>
      </c>
      <c r="H1721">
        <v>50337</v>
      </c>
      <c r="I1721">
        <v>17061</v>
      </c>
      <c r="J1721">
        <v>18</v>
      </c>
      <c r="K1721">
        <v>14</v>
      </c>
      <c r="L1721">
        <v>3</v>
      </c>
      <c r="M1721" t="s">
        <v>25</v>
      </c>
      <c r="N1721">
        <v>2</v>
      </c>
      <c r="O1721">
        <v>23</v>
      </c>
      <c r="P1721">
        <v>22</v>
      </c>
      <c r="Q1721">
        <v>3</v>
      </c>
      <c r="R1721">
        <v>1</v>
      </c>
      <c r="S1721" t="s">
        <v>25</v>
      </c>
    </row>
    <row r="1722" spans="1:19" x14ac:dyDescent="0.25">
      <c r="A1722">
        <v>11721</v>
      </c>
      <c r="B1722">
        <v>54</v>
      </c>
      <c r="C1722" t="s">
        <v>19</v>
      </c>
      <c r="D1722" t="s">
        <v>20</v>
      </c>
      <c r="E1722" t="s">
        <v>21</v>
      </c>
      <c r="F1722" t="s">
        <v>35</v>
      </c>
      <c r="G1722" t="s">
        <v>23</v>
      </c>
      <c r="H1722">
        <v>93314</v>
      </c>
      <c r="I1722">
        <v>44852</v>
      </c>
      <c r="J1722">
        <v>22</v>
      </c>
      <c r="K1722">
        <v>3</v>
      </c>
      <c r="L1722">
        <v>2</v>
      </c>
      <c r="M1722" t="s">
        <v>24</v>
      </c>
      <c r="N1722">
        <v>4</v>
      </c>
      <c r="O1722">
        <v>28</v>
      </c>
      <c r="P1722">
        <v>15</v>
      </c>
      <c r="Q1722">
        <v>1</v>
      </c>
      <c r="R1722">
        <v>1</v>
      </c>
      <c r="S1722" t="s">
        <v>24</v>
      </c>
    </row>
    <row r="1723" spans="1:19" x14ac:dyDescent="0.25">
      <c r="A1723">
        <v>11722</v>
      </c>
      <c r="B1723">
        <v>58</v>
      </c>
      <c r="C1723" t="s">
        <v>31</v>
      </c>
      <c r="D1723" t="s">
        <v>20</v>
      </c>
      <c r="E1723" t="s">
        <v>36</v>
      </c>
      <c r="F1723" t="s">
        <v>39</v>
      </c>
      <c r="G1723" t="s">
        <v>38</v>
      </c>
      <c r="H1723">
        <v>51363</v>
      </c>
      <c r="I1723">
        <v>13240</v>
      </c>
      <c r="J1723">
        <v>22</v>
      </c>
      <c r="K1723">
        <v>1</v>
      </c>
      <c r="L1723">
        <v>4</v>
      </c>
      <c r="M1723" t="s">
        <v>25</v>
      </c>
      <c r="N1723">
        <v>3</v>
      </c>
      <c r="O1723">
        <v>21</v>
      </c>
      <c r="P1723">
        <v>12</v>
      </c>
      <c r="Q1723">
        <v>4</v>
      </c>
      <c r="R1723">
        <v>3</v>
      </c>
      <c r="S1723" t="s">
        <v>25</v>
      </c>
    </row>
    <row r="1724" spans="1:19" x14ac:dyDescent="0.25">
      <c r="A1724">
        <v>11723</v>
      </c>
      <c r="B1724">
        <v>22</v>
      </c>
      <c r="C1724" t="s">
        <v>19</v>
      </c>
      <c r="D1724" t="s">
        <v>34</v>
      </c>
      <c r="E1724" t="s">
        <v>21</v>
      </c>
      <c r="F1724" t="s">
        <v>22</v>
      </c>
      <c r="G1724" t="s">
        <v>30</v>
      </c>
      <c r="H1724">
        <v>104016</v>
      </c>
      <c r="I1724">
        <v>14133</v>
      </c>
      <c r="J1724">
        <v>15</v>
      </c>
      <c r="K1724">
        <v>13</v>
      </c>
      <c r="L1724">
        <v>5</v>
      </c>
      <c r="M1724" t="s">
        <v>25</v>
      </c>
      <c r="N1724">
        <v>3</v>
      </c>
      <c r="O1724">
        <v>33</v>
      </c>
      <c r="P1724">
        <v>29</v>
      </c>
      <c r="Q1724">
        <v>3</v>
      </c>
      <c r="R1724">
        <v>3</v>
      </c>
      <c r="S1724" t="s">
        <v>25</v>
      </c>
    </row>
    <row r="1725" spans="1:19" x14ac:dyDescent="0.25">
      <c r="A1725">
        <v>11724</v>
      </c>
      <c r="B1725">
        <v>43</v>
      </c>
      <c r="C1725" t="s">
        <v>19</v>
      </c>
      <c r="D1725" t="s">
        <v>20</v>
      </c>
      <c r="E1725" t="s">
        <v>36</v>
      </c>
      <c r="F1725" t="s">
        <v>35</v>
      </c>
      <c r="G1725" t="s">
        <v>30</v>
      </c>
      <c r="H1725">
        <v>58759</v>
      </c>
      <c r="I1725">
        <v>34061</v>
      </c>
      <c r="J1725">
        <v>16</v>
      </c>
      <c r="K1725">
        <v>8</v>
      </c>
      <c r="L1725">
        <v>2</v>
      </c>
      <c r="M1725" t="s">
        <v>24</v>
      </c>
      <c r="N1725">
        <v>3</v>
      </c>
      <c r="O1725">
        <v>30</v>
      </c>
      <c r="P1725">
        <v>41</v>
      </c>
      <c r="Q1725">
        <v>2</v>
      </c>
      <c r="R1725">
        <v>2</v>
      </c>
      <c r="S1725" t="s">
        <v>25</v>
      </c>
    </row>
    <row r="1726" spans="1:19" x14ac:dyDescent="0.25">
      <c r="A1726">
        <v>11725</v>
      </c>
      <c r="B1726">
        <v>49</v>
      </c>
      <c r="C1726" t="s">
        <v>19</v>
      </c>
      <c r="D1726" t="s">
        <v>20</v>
      </c>
      <c r="E1726" t="s">
        <v>36</v>
      </c>
      <c r="F1726" t="s">
        <v>22</v>
      </c>
      <c r="G1726" t="s">
        <v>30</v>
      </c>
      <c r="H1726">
        <v>57607</v>
      </c>
      <c r="I1726">
        <v>7085</v>
      </c>
      <c r="J1726">
        <v>22</v>
      </c>
      <c r="K1726">
        <v>3</v>
      </c>
      <c r="L1726">
        <v>3</v>
      </c>
      <c r="M1726" t="s">
        <v>24</v>
      </c>
      <c r="N1726">
        <v>2</v>
      </c>
      <c r="O1726">
        <v>25</v>
      </c>
      <c r="P1726">
        <v>55</v>
      </c>
      <c r="Q1726">
        <v>3</v>
      </c>
      <c r="R1726">
        <v>2</v>
      </c>
      <c r="S1726" t="s">
        <v>25</v>
      </c>
    </row>
    <row r="1727" spans="1:19" x14ac:dyDescent="0.25">
      <c r="A1727">
        <v>11726</v>
      </c>
      <c r="B1727">
        <v>40</v>
      </c>
      <c r="C1727" t="s">
        <v>19</v>
      </c>
      <c r="D1727" t="s">
        <v>34</v>
      </c>
      <c r="E1727" t="s">
        <v>21</v>
      </c>
      <c r="F1727" t="s">
        <v>39</v>
      </c>
      <c r="G1727" t="s">
        <v>38</v>
      </c>
      <c r="H1727">
        <v>117513</v>
      </c>
      <c r="I1727">
        <v>15154</v>
      </c>
      <c r="J1727">
        <v>21</v>
      </c>
      <c r="K1727">
        <v>10</v>
      </c>
      <c r="L1727">
        <v>4</v>
      </c>
      <c r="M1727" t="s">
        <v>25</v>
      </c>
      <c r="N1727">
        <v>1</v>
      </c>
      <c r="O1727">
        <v>8</v>
      </c>
      <c r="P1727">
        <v>30</v>
      </c>
      <c r="Q1727">
        <v>2</v>
      </c>
      <c r="R1727">
        <v>2</v>
      </c>
      <c r="S1727" t="s">
        <v>25</v>
      </c>
    </row>
    <row r="1728" spans="1:19" x14ac:dyDescent="0.25">
      <c r="A1728">
        <v>11727</v>
      </c>
      <c r="B1728">
        <v>36</v>
      </c>
      <c r="C1728" t="s">
        <v>19</v>
      </c>
      <c r="D1728" t="s">
        <v>26</v>
      </c>
      <c r="E1728" t="s">
        <v>36</v>
      </c>
      <c r="F1728" t="s">
        <v>39</v>
      </c>
      <c r="G1728" t="s">
        <v>38</v>
      </c>
      <c r="H1728">
        <v>58500</v>
      </c>
      <c r="I1728">
        <v>16652</v>
      </c>
      <c r="J1728">
        <v>13</v>
      </c>
      <c r="K1728">
        <v>4</v>
      </c>
      <c r="L1728">
        <v>3</v>
      </c>
      <c r="M1728" t="s">
        <v>25</v>
      </c>
      <c r="N1728">
        <v>2</v>
      </c>
      <c r="O1728">
        <v>34</v>
      </c>
      <c r="P1728">
        <v>31</v>
      </c>
      <c r="Q1728">
        <v>3</v>
      </c>
      <c r="R1728">
        <v>2</v>
      </c>
      <c r="S1728" t="s">
        <v>25</v>
      </c>
    </row>
    <row r="1729" spans="1:19" x14ac:dyDescent="0.25">
      <c r="A1729">
        <v>11728</v>
      </c>
      <c r="B1729">
        <v>59</v>
      </c>
      <c r="C1729" t="s">
        <v>19</v>
      </c>
      <c r="D1729" t="s">
        <v>20</v>
      </c>
      <c r="E1729" t="s">
        <v>40</v>
      </c>
      <c r="F1729" t="s">
        <v>39</v>
      </c>
      <c r="G1729" t="s">
        <v>38</v>
      </c>
      <c r="H1729">
        <v>16438</v>
      </c>
      <c r="I1729">
        <v>27061</v>
      </c>
      <c r="J1729">
        <v>5</v>
      </c>
      <c r="K1729">
        <v>10</v>
      </c>
      <c r="L1729">
        <v>3</v>
      </c>
      <c r="M1729" t="s">
        <v>24</v>
      </c>
      <c r="N1729">
        <v>4</v>
      </c>
      <c r="O1729">
        <v>29</v>
      </c>
      <c r="P1729">
        <v>27</v>
      </c>
      <c r="Q1729">
        <v>3</v>
      </c>
      <c r="R1729">
        <v>1</v>
      </c>
      <c r="S1729" t="s">
        <v>25</v>
      </c>
    </row>
    <row r="1730" spans="1:19" x14ac:dyDescent="0.25">
      <c r="A1730">
        <v>11729</v>
      </c>
      <c r="B1730">
        <v>56</v>
      </c>
      <c r="C1730" t="s">
        <v>19</v>
      </c>
      <c r="D1730" t="s">
        <v>41</v>
      </c>
      <c r="E1730" t="s">
        <v>40</v>
      </c>
      <c r="F1730" t="s">
        <v>39</v>
      </c>
      <c r="G1730" t="s">
        <v>38</v>
      </c>
      <c r="H1730">
        <v>14756</v>
      </c>
      <c r="I1730">
        <v>27301</v>
      </c>
      <c r="J1730">
        <v>13</v>
      </c>
      <c r="K1730">
        <v>10</v>
      </c>
      <c r="L1730">
        <v>2</v>
      </c>
      <c r="M1730" t="s">
        <v>25</v>
      </c>
      <c r="N1730">
        <v>3</v>
      </c>
      <c r="O1730">
        <v>38</v>
      </c>
      <c r="P1730">
        <v>45</v>
      </c>
      <c r="Q1730">
        <v>4</v>
      </c>
      <c r="R1730">
        <v>3</v>
      </c>
      <c r="S1730" t="s">
        <v>25</v>
      </c>
    </row>
    <row r="1731" spans="1:19" x14ac:dyDescent="0.25">
      <c r="A1731">
        <v>11730</v>
      </c>
      <c r="B1731">
        <v>27</v>
      </c>
      <c r="C1731" t="s">
        <v>19</v>
      </c>
      <c r="D1731" t="s">
        <v>26</v>
      </c>
      <c r="E1731" t="s">
        <v>36</v>
      </c>
      <c r="F1731" t="s">
        <v>39</v>
      </c>
      <c r="G1731" t="s">
        <v>30</v>
      </c>
      <c r="H1731">
        <v>64529</v>
      </c>
      <c r="I1731">
        <v>31782</v>
      </c>
      <c r="J1731">
        <v>13</v>
      </c>
      <c r="K1731">
        <v>6</v>
      </c>
      <c r="L1731">
        <v>2</v>
      </c>
      <c r="M1731" t="s">
        <v>25</v>
      </c>
      <c r="N1731">
        <v>1</v>
      </c>
      <c r="O1731">
        <v>2</v>
      </c>
      <c r="P1731">
        <v>39</v>
      </c>
      <c r="Q1731">
        <v>1</v>
      </c>
      <c r="R1731">
        <v>2</v>
      </c>
      <c r="S1731" t="s">
        <v>25</v>
      </c>
    </row>
    <row r="1732" spans="1:19" x14ac:dyDescent="0.25">
      <c r="A1732">
        <v>11731</v>
      </c>
      <c r="B1732">
        <v>59</v>
      </c>
      <c r="C1732" t="s">
        <v>19</v>
      </c>
      <c r="D1732" t="s">
        <v>28</v>
      </c>
      <c r="E1732" t="s">
        <v>33</v>
      </c>
      <c r="F1732" t="s">
        <v>39</v>
      </c>
      <c r="G1732" t="s">
        <v>38</v>
      </c>
      <c r="H1732">
        <v>28367</v>
      </c>
      <c r="I1732">
        <v>23414</v>
      </c>
      <c r="J1732">
        <v>18</v>
      </c>
      <c r="K1732">
        <v>5</v>
      </c>
      <c r="L1732">
        <v>5</v>
      </c>
      <c r="M1732" t="s">
        <v>24</v>
      </c>
      <c r="N1732">
        <v>3</v>
      </c>
      <c r="O1732">
        <v>39</v>
      </c>
      <c r="P1732">
        <v>36</v>
      </c>
      <c r="Q1732">
        <v>4</v>
      </c>
      <c r="R1732">
        <v>1</v>
      </c>
      <c r="S1732" t="s">
        <v>25</v>
      </c>
    </row>
    <row r="1733" spans="1:19" x14ac:dyDescent="0.25">
      <c r="A1733">
        <v>11732</v>
      </c>
      <c r="B1733">
        <v>49</v>
      </c>
      <c r="C1733" t="s">
        <v>19</v>
      </c>
      <c r="D1733" t="s">
        <v>41</v>
      </c>
      <c r="E1733" t="s">
        <v>33</v>
      </c>
      <c r="F1733" t="s">
        <v>22</v>
      </c>
      <c r="G1733" t="s">
        <v>30</v>
      </c>
      <c r="H1733">
        <v>38130</v>
      </c>
      <c r="I1733">
        <v>20534</v>
      </c>
      <c r="J1733">
        <v>5</v>
      </c>
      <c r="K1733">
        <v>2</v>
      </c>
      <c r="L1733">
        <v>2</v>
      </c>
      <c r="M1733" t="s">
        <v>24</v>
      </c>
      <c r="N1733">
        <v>2</v>
      </c>
      <c r="O1733">
        <v>23</v>
      </c>
      <c r="P1733">
        <v>19</v>
      </c>
      <c r="Q1733">
        <v>1</v>
      </c>
      <c r="R1733">
        <v>2</v>
      </c>
      <c r="S1733" t="s">
        <v>24</v>
      </c>
    </row>
    <row r="1734" spans="1:19" x14ac:dyDescent="0.25">
      <c r="A1734">
        <v>11733</v>
      </c>
      <c r="B1734">
        <v>42</v>
      </c>
      <c r="C1734" t="s">
        <v>19</v>
      </c>
      <c r="D1734" t="s">
        <v>20</v>
      </c>
      <c r="E1734" t="s">
        <v>21</v>
      </c>
      <c r="F1734" t="s">
        <v>35</v>
      </c>
      <c r="G1734" t="s">
        <v>30</v>
      </c>
      <c r="H1734">
        <v>121289</v>
      </c>
      <c r="I1734">
        <v>5220</v>
      </c>
      <c r="J1734">
        <v>3</v>
      </c>
      <c r="K1734">
        <v>13</v>
      </c>
      <c r="L1734">
        <v>3</v>
      </c>
      <c r="M1734" t="s">
        <v>25</v>
      </c>
      <c r="N1734">
        <v>4</v>
      </c>
      <c r="O1734">
        <v>32</v>
      </c>
      <c r="P1734">
        <v>7</v>
      </c>
      <c r="Q1734">
        <v>2</v>
      </c>
      <c r="R1734">
        <v>2</v>
      </c>
      <c r="S1734" t="s">
        <v>25</v>
      </c>
    </row>
    <row r="1735" spans="1:19" x14ac:dyDescent="0.25">
      <c r="A1735">
        <v>11734</v>
      </c>
      <c r="B1735">
        <v>29</v>
      </c>
      <c r="C1735" t="s">
        <v>19</v>
      </c>
      <c r="D1735" t="s">
        <v>34</v>
      </c>
      <c r="E1735" t="s">
        <v>40</v>
      </c>
      <c r="F1735" t="s">
        <v>35</v>
      </c>
      <c r="G1735" t="s">
        <v>38</v>
      </c>
      <c r="H1735">
        <v>13911</v>
      </c>
      <c r="I1735">
        <v>15503</v>
      </c>
      <c r="J1735">
        <v>18</v>
      </c>
      <c r="K1735">
        <v>10</v>
      </c>
      <c r="L1735">
        <v>5</v>
      </c>
      <c r="M1735" t="s">
        <v>25</v>
      </c>
      <c r="N1735">
        <v>2</v>
      </c>
      <c r="O1735">
        <v>26</v>
      </c>
      <c r="P1735">
        <v>48</v>
      </c>
      <c r="Q1735">
        <v>1</v>
      </c>
      <c r="R1735">
        <v>3</v>
      </c>
      <c r="S1735" t="s">
        <v>25</v>
      </c>
    </row>
    <row r="1736" spans="1:19" x14ac:dyDescent="0.25">
      <c r="A1736">
        <v>11735</v>
      </c>
      <c r="B1736">
        <v>32</v>
      </c>
      <c r="C1736" t="s">
        <v>31</v>
      </c>
      <c r="D1736" t="s">
        <v>41</v>
      </c>
      <c r="E1736" t="s">
        <v>40</v>
      </c>
      <c r="F1736" t="s">
        <v>37</v>
      </c>
      <c r="G1736" t="s">
        <v>23</v>
      </c>
      <c r="H1736">
        <v>19004</v>
      </c>
      <c r="I1736">
        <v>6078</v>
      </c>
      <c r="J1736">
        <v>11</v>
      </c>
      <c r="K1736">
        <v>14</v>
      </c>
      <c r="L1736">
        <v>4</v>
      </c>
      <c r="M1736" t="s">
        <v>25</v>
      </c>
      <c r="N1736">
        <v>2</v>
      </c>
      <c r="O1736">
        <v>2</v>
      </c>
      <c r="P1736">
        <v>53</v>
      </c>
      <c r="Q1736">
        <v>4</v>
      </c>
      <c r="R1736">
        <v>1</v>
      </c>
      <c r="S1736" t="s">
        <v>24</v>
      </c>
    </row>
    <row r="1737" spans="1:19" x14ac:dyDescent="0.25">
      <c r="A1737">
        <v>11736</v>
      </c>
      <c r="B1737">
        <v>53</v>
      </c>
      <c r="C1737" t="s">
        <v>19</v>
      </c>
      <c r="D1737" t="s">
        <v>20</v>
      </c>
      <c r="E1737" t="s">
        <v>33</v>
      </c>
      <c r="F1737" t="s">
        <v>35</v>
      </c>
      <c r="G1737" t="s">
        <v>30</v>
      </c>
      <c r="H1737">
        <v>30098</v>
      </c>
      <c r="I1737">
        <v>28670</v>
      </c>
      <c r="J1737">
        <v>12</v>
      </c>
      <c r="K1737">
        <v>5</v>
      </c>
      <c r="L1737">
        <v>3</v>
      </c>
      <c r="M1737" t="s">
        <v>25</v>
      </c>
      <c r="N1737">
        <v>2</v>
      </c>
      <c r="O1737">
        <v>20</v>
      </c>
      <c r="P1737">
        <v>39</v>
      </c>
      <c r="Q1737">
        <v>2</v>
      </c>
      <c r="R1737">
        <v>2</v>
      </c>
      <c r="S1737" t="s">
        <v>25</v>
      </c>
    </row>
    <row r="1738" spans="1:19" x14ac:dyDescent="0.25">
      <c r="A1738">
        <v>11737</v>
      </c>
      <c r="B1738">
        <v>26</v>
      </c>
      <c r="C1738" t="s">
        <v>19</v>
      </c>
      <c r="D1738" t="s">
        <v>26</v>
      </c>
      <c r="E1738" t="s">
        <v>36</v>
      </c>
      <c r="F1738" t="s">
        <v>35</v>
      </c>
      <c r="G1738" t="s">
        <v>23</v>
      </c>
      <c r="H1738">
        <v>60344</v>
      </c>
      <c r="I1738">
        <v>24717</v>
      </c>
      <c r="J1738">
        <v>5</v>
      </c>
      <c r="K1738">
        <v>8</v>
      </c>
      <c r="L1738">
        <v>3</v>
      </c>
      <c r="M1738" t="s">
        <v>25</v>
      </c>
      <c r="N1738">
        <v>3</v>
      </c>
      <c r="O1738">
        <v>16</v>
      </c>
      <c r="P1738">
        <v>9</v>
      </c>
      <c r="Q1738">
        <v>2</v>
      </c>
      <c r="R1738">
        <v>4</v>
      </c>
      <c r="S1738" t="s">
        <v>25</v>
      </c>
    </row>
    <row r="1739" spans="1:19" x14ac:dyDescent="0.25">
      <c r="A1739">
        <v>11738</v>
      </c>
      <c r="B1739">
        <v>28</v>
      </c>
      <c r="C1739" t="s">
        <v>19</v>
      </c>
      <c r="D1739" t="s">
        <v>26</v>
      </c>
      <c r="E1739" t="s">
        <v>33</v>
      </c>
      <c r="F1739" t="s">
        <v>39</v>
      </c>
      <c r="G1739" t="s">
        <v>23</v>
      </c>
      <c r="H1739">
        <v>35871</v>
      </c>
      <c r="I1739">
        <v>45199</v>
      </c>
      <c r="J1739">
        <v>23</v>
      </c>
      <c r="K1739">
        <v>4</v>
      </c>
      <c r="L1739">
        <v>4</v>
      </c>
      <c r="M1739" t="s">
        <v>25</v>
      </c>
      <c r="N1739">
        <v>3</v>
      </c>
      <c r="O1739">
        <v>11</v>
      </c>
      <c r="P1739">
        <v>37</v>
      </c>
      <c r="Q1739">
        <v>3</v>
      </c>
      <c r="R1739">
        <v>3</v>
      </c>
      <c r="S1739" t="s">
        <v>25</v>
      </c>
    </row>
    <row r="1740" spans="1:19" x14ac:dyDescent="0.25">
      <c r="A1740">
        <v>11739</v>
      </c>
      <c r="B1740">
        <v>56</v>
      </c>
      <c r="C1740" t="s">
        <v>31</v>
      </c>
      <c r="D1740" t="s">
        <v>34</v>
      </c>
      <c r="E1740" t="s">
        <v>40</v>
      </c>
      <c r="F1740" t="s">
        <v>35</v>
      </c>
      <c r="G1740" t="s">
        <v>38</v>
      </c>
      <c r="H1740">
        <v>13162</v>
      </c>
      <c r="I1740">
        <v>33675</v>
      </c>
      <c r="J1740">
        <v>11</v>
      </c>
      <c r="K1740">
        <v>5</v>
      </c>
      <c r="L1740">
        <v>3</v>
      </c>
      <c r="M1740" t="s">
        <v>24</v>
      </c>
      <c r="N1740">
        <v>2</v>
      </c>
      <c r="O1740">
        <v>17</v>
      </c>
      <c r="P1740">
        <v>7</v>
      </c>
      <c r="Q1740">
        <v>4</v>
      </c>
      <c r="R1740">
        <v>4</v>
      </c>
      <c r="S1740" t="s">
        <v>25</v>
      </c>
    </row>
    <row r="1741" spans="1:19" x14ac:dyDescent="0.25">
      <c r="A1741">
        <v>11740</v>
      </c>
      <c r="B1741">
        <v>52</v>
      </c>
      <c r="C1741" t="s">
        <v>19</v>
      </c>
      <c r="D1741" t="s">
        <v>28</v>
      </c>
      <c r="E1741" t="s">
        <v>27</v>
      </c>
      <c r="F1741" t="s">
        <v>22</v>
      </c>
      <c r="G1741" t="s">
        <v>30</v>
      </c>
      <c r="H1741">
        <v>88447</v>
      </c>
      <c r="I1741">
        <v>37844</v>
      </c>
      <c r="J1741">
        <v>6</v>
      </c>
      <c r="K1741">
        <v>1</v>
      </c>
      <c r="L1741">
        <v>2</v>
      </c>
      <c r="M1741" t="s">
        <v>25</v>
      </c>
      <c r="N1741">
        <v>2</v>
      </c>
      <c r="O1741">
        <v>17</v>
      </c>
      <c r="P1741">
        <v>23</v>
      </c>
      <c r="Q1741">
        <v>4</v>
      </c>
      <c r="R1741">
        <v>4</v>
      </c>
      <c r="S1741" t="s">
        <v>25</v>
      </c>
    </row>
    <row r="1742" spans="1:19" x14ac:dyDescent="0.25">
      <c r="A1742">
        <v>11741</v>
      </c>
      <c r="B1742">
        <v>39</v>
      </c>
      <c r="C1742" t="s">
        <v>19</v>
      </c>
      <c r="D1742" t="s">
        <v>20</v>
      </c>
      <c r="E1742" t="s">
        <v>40</v>
      </c>
      <c r="F1742" t="s">
        <v>39</v>
      </c>
      <c r="G1742" t="s">
        <v>30</v>
      </c>
      <c r="H1742">
        <v>15351</v>
      </c>
      <c r="I1742">
        <v>11291</v>
      </c>
      <c r="J1742">
        <v>1</v>
      </c>
      <c r="K1742">
        <v>5</v>
      </c>
      <c r="L1742">
        <v>3</v>
      </c>
      <c r="M1742" t="s">
        <v>25</v>
      </c>
      <c r="N1742">
        <v>3</v>
      </c>
      <c r="O1742">
        <v>12</v>
      </c>
      <c r="P1742">
        <v>7</v>
      </c>
      <c r="Q1742">
        <v>3</v>
      </c>
      <c r="R1742">
        <v>1</v>
      </c>
      <c r="S1742" t="s">
        <v>25</v>
      </c>
    </row>
    <row r="1743" spans="1:19" x14ac:dyDescent="0.25">
      <c r="A1743">
        <v>11742</v>
      </c>
      <c r="B1743">
        <v>34</v>
      </c>
      <c r="C1743" t="s">
        <v>19</v>
      </c>
      <c r="D1743" t="s">
        <v>20</v>
      </c>
      <c r="E1743" t="s">
        <v>40</v>
      </c>
      <c r="F1743" t="s">
        <v>35</v>
      </c>
      <c r="G1743" t="s">
        <v>30</v>
      </c>
      <c r="H1743">
        <v>14352</v>
      </c>
      <c r="I1743">
        <v>13198</v>
      </c>
      <c r="J1743">
        <v>21</v>
      </c>
      <c r="K1743">
        <v>11</v>
      </c>
      <c r="L1743">
        <v>4</v>
      </c>
      <c r="M1743" t="s">
        <v>25</v>
      </c>
      <c r="N1743">
        <v>3</v>
      </c>
      <c r="O1743">
        <v>35</v>
      </c>
      <c r="P1743">
        <v>22</v>
      </c>
      <c r="Q1743">
        <v>4</v>
      </c>
      <c r="R1743">
        <v>3</v>
      </c>
      <c r="S1743" t="s">
        <v>25</v>
      </c>
    </row>
    <row r="1744" spans="1:19" x14ac:dyDescent="0.25">
      <c r="A1744">
        <v>11743</v>
      </c>
      <c r="B1744">
        <v>53</v>
      </c>
      <c r="C1744" t="s">
        <v>19</v>
      </c>
      <c r="D1744" t="s">
        <v>41</v>
      </c>
      <c r="E1744" t="s">
        <v>21</v>
      </c>
      <c r="F1744" t="s">
        <v>39</v>
      </c>
      <c r="G1744" t="s">
        <v>30</v>
      </c>
      <c r="H1744">
        <v>111154</v>
      </c>
      <c r="I1744">
        <v>24553</v>
      </c>
      <c r="J1744">
        <v>10</v>
      </c>
      <c r="K1744">
        <v>4</v>
      </c>
      <c r="L1744">
        <v>2</v>
      </c>
      <c r="M1744" t="s">
        <v>24</v>
      </c>
      <c r="N1744">
        <v>4</v>
      </c>
      <c r="O1744">
        <v>16</v>
      </c>
      <c r="P1744">
        <v>14</v>
      </c>
      <c r="Q1744">
        <v>2</v>
      </c>
      <c r="R1744">
        <v>3</v>
      </c>
      <c r="S1744" t="s">
        <v>25</v>
      </c>
    </row>
    <row r="1745" spans="1:19" x14ac:dyDescent="0.25">
      <c r="A1745">
        <v>11744</v>
      </c>
      <c r="B1745">
        <v>21</v>
      </c>
      <c r="C1745" t="s">
        <v>31</v>
      </c>
      <c r="D1745" t="s">
        <v>32</v>
      </c>
      <c r="E1745" t="s">
        <v>27</v>
      </c>
      <c r="F1745" t="s">
        <v>37</v>
      </c>
      <c r="G1745" t="s">
        <v>23</v>
      </c>
      <c r="H1745">
        <v>75785</v>
      </c>
      <c r="I1745">
        <v>22148</v>
      </c>
      <c r="J1745">
        <v>23</v>
      </c>
      <c r="K1745">
        <v>14</v>
      </c>
      <c r="L1745">
        <v>3</v>
      </c>
      <c r="M1745" t="s">
        <v>25</v>
      </c>
      <c r="N1745">
        <v>1</v>
      </c>
      <c r="O1745">
        <v>9</v>
      </c>
      <c r="P1745">
        <v>38</v>
      </c>
      <c r="Q1745">
        <v>4</v>
      </c>
      <c r="R1745">
        <v>2</v>
      </c>
      <c r="S1745" t="s">
        <v>25</v>
      </c>
    </row>
    <row r="1746" spans="1:19" x14ac:dyDescent="0.25">
      <c r="A1746">
        <v>11745</v>
      </c>
      <c r="B1746">
        <v>45</v>
      </c>
      <c r="C1746" t="s">
        <v>19</v>
      </c>
      <c r="D1746" t="s">
        <v>34</v>
      </c>
      <c r="E1746" t="s">
        <v>33</v>
      </c>
      <c r="F1746" t="s">
        <v>35</v>
      </c>
      <c r="G1746" t="s">
        <v>30</v>
      </c>
      <c r="H1746">
        <v>39702</v>
      </c>
      <c r="I1746">
        <v>2416</v>
      </c>
      <c r="J1746">
        <v>12</v>
      </c>
      <c r="K1746">
        <v>1</v>
      </c>
      <c r="L1746">
        <v>3</v>
      </c>
      <c r="M1746" t="s">
        <v>25</v>
      </c>
      <c r="N1746">
        <v>1</v>
      </c>
      <c r="O1746">
        <v>4</v>
      </c>
      <c r="P1746">
        <v>38</v>
      </c>
      <c r="Q1746">
        <v>1</v>
      </c>
      <c r="R1746">
        <v>4</v>
      </c>
      <c r="S1746" t="s">
        <v>24</v>
      </c>
    </row>
    <row r="1747" spans="1:19" x14ac:dyDescent="0.25">
      <c r="A1747">
        <v>11746</v>
      </c>
      <c r="B1747">
        <v>48</v>
      </c>
      <c r="C1747" t="s">
        <v>19</v>
      </c>
      <c r="D1747" t="s">
        <v>20</v>
      </c>
      <c r="E1747" t="s">
        <v>40</v>
      </c>
      <c r="F1747" t="s">
        <v>35</v>
      </c>
      <c r="G1747" t="s">
        <v>38</v>
      </c>
      <c r="H1747">
        <v>19362</v>
      </c>
      <c r="I1747">
        <v>45772</v>
      </c>
      <c r="J1747">
        <v>13</v>
      </c>
      <c r="K1747">
        <v>7</v>
      </c>
      <c r="L1747">
        <v>3</v>
      </c>
      <c r="M1747" t="s">
        <v>25</v>
      </c>
      <c r="N1747">
        <v>3</v>
      </c>
      <c r="O1747">
        <v>33</v>
      </c>
      <c r="P1747">
        <v>23</v>
      </c>
      <c r="Q1747">
        <v>1</v>
      </c>
      <c r="R1747">
        <v>3</v>
      </c>
      <c r="S1747" t="s">
        <v>25</v>
      </c>
    </row>
    <row r="1748" spans="1:19" x14ac:dyDescent="0.25">
      <c r="A1748">
        <v>11747</v>
      </c>
      <c r="B1748">
        <v>54</v>
      </c>
      <c r="C1748" t="s">
        <v>31</v>
      </c>
      <c r="D1748" t="s">
        <v>32</v>
      </c>
      <c r="E1748" t="s">
        <v>36</v>
      </c>
      <c r="F1748" t="s">
        <v>22</v>
      </c>
      <c r="G1748" t="s">
        <v>30</v>
      </c>
      <c r="H1748">
        <v>65774</v>
      </c>
      <c r="I1748">
        <v>15515</v>
      </c>
      <c r="J1748">
        <v>19</v>
      </c>
      <c r="K1748">
        <v>0</v>
      </c>
      <c r="L1748">
        <v>3</v>
      </c>
      <c r="M1748" t="s">
        <v>24</v>
      </c>
      <c r="N1748">
        <v>2</v>
      </c>
      <c r="O1748">
        <v>11</v>
      </c>
      <c r="P1748">
        <v>22</v>
      </c>
      <c r="Q1748">
        <v>3</v>
      </c>
      <c r="R1748">
        <v>4</v>
      </c>
      <c r="S1748" t="s">
        <v>25</v>
      </c>
    </row>
    <row r="1749" spans="1:19" x14ac:dyDescent="0.25">
      <c r="A1749">
        <v>11748</v>
      </c>
      <c r="B1749">
        <v>35</v>
      </c>
      <c r="C1749" t="s">
        <v>19</v>
      </c>
      <c r="D1749" t="s">
        <v>20</v>
      </c>
      <c r="E1749" t="s">
        <v>33</v>
      </c>
      <c r="F1749" t="s">
        <v>39</v>
      </c>
      <c r="G1749" t="s">
        <v>30</v>
      </c>
      <c r="H1749">
        <v>34757</v>
      </c>
      <c r="I1749">
        <v>17431</v>
      </c>
      <c r="J1749">
        <v>22</v>
      </c>
      <c r="K1749">
        <v>10</v>
      </c>
      <c r="L1749">
        <v>5</v>
      </c>
      <c r="M1749" t="s">
        <v>24</v>
      </c>
      <c r="N1749">
        <v>3</v>
      </c>
      <c r="O1749">
        <v>30</v>
      </c>
      <c r="P1749">
        <v>6</v>
      </c>
      <c r="Q1749">
        <v>3</v>
      </c>
      <c r="R1749">
        <v>1</v>
      </c>
      <c r="S1749" t="s">
        <v>25</v>
      </c>
    </row>
    <row r="1750" spans="1:19" x14ac:dyDescent="0.25">
      <c r="A1750">
        <v>11749</v>
      </c>
      <c r="B1750">
        <v>32</v>
      </c>
      <c r="C1750" t="s">
        <v>19</v>
      </c>
      <c r="D1750" t="s">
        <v>28</v>
      </c>
      <c r="E1750" t="s">
        <v>21</v>
      </c>
      <c r="F1750" t="s">
        <v>39</v>
      </c>
      <c r="G1750" t="s">
        <v>30</v>
      </c>
      <c r="H1750">
        <v>118831</v>
      </c>
      <c r="I1750">
        <v>7054</v>
      </c>
      <c r="J1750">
        <v>6</v>
      </c>
      <c r="K1750">
        <v>12</v>
      </c>
      <c r="L1750">
        <v>3</v>
      </c>
      <c r="M1750" t="s">
        <v>25</v>
      </c>
      <c r="N1750">
        <v>4</v>
      </c>
      <c r="O1750">
        <v>31</v>
      </c>
      <c r="P1750">
        <v>55</v>
      </c>
      <c r="Q1750">
        <v>4</v>
      </c>
      <c r="R1750">
        <v>1</v>
      </c>
      <c r="S1750" t="s">
        <v>25</v>
      </c>
    </row>
    <row r="1751" spans="1:19" x14ac:dyDescent="0.25">
      <c r="A1751">
        <v>11750</v>
      </c>
      <c r="B1751">
        <v>49</v>
      </c>
      <c r="C1751" t="s">
        <v>19</v>
      </c>
      <c r="D1751" t="s">
        <v>41</v>
      </c>
      <c r="E1751" t="s">
        <v>27</v>
      </c>
      <c r="F1751" t="s">
        <v>35</v>
      </c>
      <c r="G1751" t="s">
        <v>38</v>
      </c>
      <c r="H1751">
        <v>70270</v>
      </c>
      <c r="I1751">
        <v>12886</v>
      </c>
      <c r="J1751">
        <v>0</v>
      </c>
      <c r="K1751">
        <v>2</v>
      </c>
      <c r="L1751">
        <v>3</v>
      </c>
      <c r="M1751" t="s">
        <v>25</v>
      </c>
      <c r="N1751">
        <v>3</v>
      </c>
      <c r="O1751">
        <v>37</v>
      </c>
      <c r="P1751">
        <v>10</v>
      </c>
      <c r="Q1751">
        <v>4</v>
      </c>
      <c r="R1751">
        <v>3</v>
      </c>
      <c r="S1751" t="s">
        <v>25</v>
      </c>
    </row>
    <row r="1752" spans="1:19" x14ac:dyDescent="0.25">
      <c r="A1752">
        <v>11751</v>
      </c>
      <c r="B1752">
        <v>34</v>
      </c>
      <c r="C1752" t="s">
        <v>31</v>
      </c>
      <c r="D1752" t="s">
        <v>20</v>
      </c>
      <c r="E1752" t="s">
        <v>40</v>
      </c>
      <c r="F1752" t="s">
        <v>39</v>
      </c>
      <c r="G1752" t="s">
        <v>30</v>
      </c>
      <c r="H1752">
        <v>13045</v>
      </c>
      <c r="I1752">
        <v>6352</v>
      </c>
      <c r="J1752">
        <v>6</v>
      </c>
      <c r="K1752">
        <v>6</v>
      </c>
      <c r="L1752">
        <v>3</v>
      </c>
      <c r="M1752" t="s">
        <v>25</v>
      </c>
      <c r="N1752">
        <v>1</v>
      </c>
      <c r="O1752">
        <v>2</v>
      </c>
      <c r="P1752">
        <v>25</v>
      </c>
      <c r="Q1752">
        <v>4</v>
      </c>
      <c r="R1752">
        <v>4</v>
      </c>
      <c r="S1752" t="s">
        <v>25</v>
      </c>
    </row>
    <row r="1753" spans="1:19" x14ac:dyDescent="0.25">
      <c r="A1753">
        <v>11752</v>
      </c>
      <c r="B1753">
        <v>41</v>
      </c>
      <c r="C1753" t="s">
        <v>31</v>
      </c>
      <c r="D1753" t="s">
        <v>34</v>
      </c>
      <c r="E1753" t="s">
        <v>36</v>
      </c>
      <c r="F1753" t="s">
        <v>39</v>
      </c>
      <c r="G1753" t="s">
        <v>30</v>
      </c>
      <c r="H1753">
        <v>53508</v>
      </c>
      <c r="I1753">
        <v>44747</v>
      </c>
      <c r="J1753">
        <v>16</v>
      </c>
      <c r="K1753">
        <v>8</v>
      </c>
      <c r="L1753">
        <v>3</v>
      </c>
      <c r="M1753" t="s">
        <v>25</v>
      </c>
      <c r="N1753">
        <v>1</v>
      </c>
      <c r="O1753">
        <v>9</v>
      </c>
      <c r="P1753">
        <v>34</v>
      </c>
      <c r="Q1753">
        <v>1</v>
      </c>
      <c r="R1753">
        <v>4</v>
      </c>
      <c r="S1753" t="s">
        <v>25</v>
      </c>
    </row>
    <row r="1754" spans="1:19" x14ac:dyDescent="0.25">
      <c r="A1754">
        <v>11753</v>
      </c>
      <c r="B1754">
        <v>37</v>
      </c>
      <c r="C1754" t="s">
        <v>19</v>
      </c>
      <c r="D1754" t="s">
        <v>20</v>
      </c>
      <c r="E1754" t="s">
        <v>36</v>
      </c>
      <c r="F1754" t="s">
        <v>35</v>
      </c>
      <c r="G1754" t="s">
        <v>23</v>
      </c>
      <c r="H1754">
        <v>49597</v>
      </c>
      <c r="I1754">
        <v>40726</v>
      </c>
      <c r="J1754">
        <v>8</v>
      </c>
      <c r="K1754">
        <v>5</v>
      </c>
      <c r="L1754">
        <v>3</v>
      </c>
      <c r="M1754" t="s">
        <v>25</v>
      </c>
      <c r="N1754">
        <v>4</v>
      </c>
      <c r="O1754">
        <v>15</v>
      </c>
      <c r="P1754">
        <v>56</v>
      </c>
      <c r="Q1754">
        <v>3</v>
      </c>
      <c r="R1754">
        <v>2</v>
      </c>
      <c r="S1754" t="s">
        <v>25</v>
      </c>
    </row>
    <row r="1755" spans="1:19" x14ac:dyDescent="0.25">
      <c r="A1755">
        <v>11754</v>
      </c>
      <c r="B1755">
        <v>45</v>
      </c>
      <c r="C1755" t="s">
        <v>31</v>
      </c>
      <c r="D1755" t="s">
        <v>20</v>
      </c>
      <c r="E1755" t="s">
        <v>36</v>
      </c>
      <c r="F1755" t="s">
        <v>35</v>
      </c>
      <c r="G1755" t="s">
        <v>38</v>
      </c>
      <c r="H1755">
        <v>55082</v>
      </c>
      <c r="I1755">
        <v>25853</v>
      </c>
      <c r="J1755">
        <v>19</v>
      </c>
      <c r="K1755">
        <v>13</v>
      </c>
      <c r="L1755">
        <v>5</v>
      </c>
      <c r="M1755" t="s">
        <v>25</v>
      </c>
      <c r="N1755">
        <v>4</v>
      </c>
      <c r="O1755">
        <v>5</v>
      </c>
      <c r="P1755">
        <v>17</v>
      </c>
      <c r="Q1755">
        <v>2</v>
      </c>
      <c r="R1755">
        <v>2</v>
      </c>
      <c r="S1755" t="s">
        <v>25</v>
      </c>
    </row>
    <row r="1756" spans="1:19" x14ac:dyDescent="0.25">
      <c r="A1756">
        <v>11755</v>
      </c>
      <c r="B1756">
        <v>44</v>
      </c>
      <c r="C1756" t="s">
        <v>19</v>
      </c>
      <c r="D1756" t="s">
        <v>20</v>
      </c>
      <c r="E1756" t="s">
        <v>33</v>
      </c>
      <c r="F1756" t="s">
        <v>39</v>
      </c>
      <c r="G1756" t="s">
        <v>30</v>
      </c>
      <c r="H1756">
        <v>35033</v>
      </c>
      <c r="I1756">
        <v>29482</v>
      </c>
      <c r="J1756">
        <v>16</v>
      </c>
      <c r="K1756">
        <v>4</v>
      </c>
      <c r="L1756">
        <v>2</v>
      </c>
      <c r="M1756" t="s">
        <v>25</v>
      </c>
      <c r="N1756">
        <v>1</v>
      </c>
      <c r="O1756">
        <v>4</v>
      </c>
      <c r="P1756">
        <v>48</v>
      </c>
      <c r="Q1756">
        <v>2</v>
      </c>
      <c r="R1756">
        <v>3</v>
      </c>
      <c r="S1756" t="s">
        <v>24</v>
      </c>
    </row>
    <row r="1757" spans="1:19" x14ac:dyDescent="0.25">
      <c r="A1757">
        <v>11756</v>
      </c>
      <c r="B1757">
        <v>47</v>
      </c>
      <c r="C1757" t="s">
        <v>19</v>
      </c>
      <c r="D1757" t="s">
        <v>20</v>
      </c>
      <c r="E1757" t="s">
        <v>21</v>
      </c>
      <c r="F1757" t="s">
        <v>39</v>
      </c>
      <c r="G1757" t="s">
        <v>23</v>
      </c>
      <c r="H1757">
        <v>101274</v>
      </c>
      <c r="I1757">
        <v>27314</v>
      </c>
      <c r="J1757">
        <v>11</v>
      </c>
      <c r="K1757">
        <v>1</v>
      </c>
      <c r="L1757">
        <v>3</v>
      </c>
      <c r="M1757" t="s">
        <v>24</v>
      </c>
      <c r="N1757">
        <v>2</v>
      </c>
      <c r="O1757">
        <v>4</v>
      </c>
      <c r="P1757">
        <v>57</v>
      </c>
      <c r="Q1757">
        <v>4</v>
      </c>
      <c r="R1757">
        <v>3</v>
      </c>
      <c r="S1757" t="s">
        <v>25</v>
      </c>
    </row>
    <row r="1758" spans="1:19" x14ac:dyDescent="0.25">
      <c r="A1758">
        <v>11757</v>
      </c>
      <c r="B1758">
        <v>37</v>
      </c>
      <c r="C1758" t="s">
        <v>31</v>
      </c>
      <c r="D1758" t="s">
        <v>20</v>
      </c>
      <c r="E1758" t="s">
        <v>36</v>
      </c>
      <c r="F1758" t="s">
        <v>22</v>
      </c>
      <c r="G1758" t="s">
        <v>38</v>
      </c>
      <c r="H1758">
        <v>53803</v>
      </c>
      <c r="I1758">
        <v>48091</v>
      </c>
      <c r="J1758">
        <v>16</v>
      </c>
      <c r="K1758">
        <v>8</v>
      </c>
      <c r="L1758">
        <v>3</v>
      </c>
      <c r="M1758" t="s">
        <v>25</v>
      </c>
      <c r="N1758">
        <v>3</v>
      </c>
      <c r="O1758">
        <v>7</v>
      </c>
      <c r="P1758">
        <v>51</v>
      </c>
      <c r="Q1758">
        <v>3</v>
      </c>
      <c r="R1758">
        <v>2</v>
      </c>
      <c r="S1758" t="s">
        <v>25</v>
      </c>
    </row>
    <row r="1759" spans="1:19" x14ac:dyDescent="0.25">
      <c r="A1759">
        <v>11758</v>
      </c>
      <c r="B1759">
        <v>46</v>
      </c>
      <c r="C1759" t="s">
        <v>19</v>
      </c>
      <c r="D1759" t="s">
        <v>28</v>
      </c>
      <c r="E1759" t="s">
        <v>21</v>
      </c>
      <c r="F1759" t="s">
        <v>39</v>
      </c>
      <c r="G1759" t="s">
        <v>30</v>
      </c>
      <c r="H1759">
        <v>120235</v>
      </c>
      <c r="I1759">
        <v>2216</v>
      </c>
      <c r="J1759">
        <v>5</v>
      </c>
      <c r="K1759">
        <v>7</v>
      </c>
      <c r="L1759">
        <v>3</v>
      </c>
      <c r="M1759" t="s">
        <v>25</v>
      </c>
      <c r="N1759">
        <v>3</v>
      </c>
      <c r="O1759">
        <v>34</v>
      </c>
      <c r="P1759">
        <v>12</v>
      </c>
      <c r="Q1759">
        <v>2</v>
      </c>
      <c r="R1759">
        <v>3</v>
      </c>
      <c r="S1759" t="s">
        <v>25</v>
      </c>
    </row>
    <row r="1760" spans="1:19" x14ac:dyDescent="0.25">
      <c r="A1760">
        <v>11759</v>
      </c>
      <c r="B1760">
        <v>40</v>
      </c>
      <c r="C1760" t="s">
        <v>31</v>
      </c>
      <c r="D1760" t="s">
        <v>28</v>
      </c>
      <c r="E1760" t="s">
        <v>33</v>
      </c>
      <c r="F1760" t="s">
        <v>39</v>
      </c>
      <c r="G1760" t="s">
        <v>23</v>
      </c>
      <c r="H1760">
        <v>32421</v>
      </c>
      <c r="I1760">
        <v>46595</v>
      </c>
      <c r="J1760">
        <v>16</v>
      </c>
      <c r="K1760">
        <v>9</v>
      </c>
      <c r="L1760">
        <v>3</v>
      </c>
      <c r="M1760" t="s">
        <v>25</v>
      </c>
      <c r="N1760">
        <v>4</v>
      </c>
      <c r="O1760">
        <v>7</v>
      </c>
      <c r="P1760">
        <v>48</v>
      </c>
      <c r="Q1760">
        <v>4</v>
      </c>
      <c r="R1760">
        <v>2</v>
      </c>
      <c r="S1760" t="s">
        <v>25</v>
      </c>
    </row>
    <row r="1761" spans="1:19" x14ac:dyDescent="0.25">
      <c r="A1761">
        <v>11760</v>
      </c>
      <c r="B1761">
        <v>51</v>
      </c>
      <c r="C1761" t="s">
        <v>31</v>
      </c>
      <c r="D1761" t="s">
        <v>20</v>
      </c>
      <c r="E1761" t="s">
        <v>36</v>
      </c>
      <c r="F1761" t="s">
        <v>22</v>
      </c>
      <c r="G1761" t="s">
        <v>30</v>
      </c>
      <c r="H1761">
        <v>61015</v>
      </c>
      <c r="I1761">
        <v>13276</v>
      </c>
      <c r="J1761">
        <v>12</v>
      </c>
      <c r="K1761">
        <v>7</v>
      </c>
      <c r="L1761">
        <v>2</v>
      </c>
      <c r="M1761" t="s">
        <v>25</v>
      </c>
      <c r="N1761">
        <v>2</v>
      </c>
      <c r="O1761">
        <v>10</v>
      </c>
      <c r="P1761">
        <v>42</v>
      </c>
      <c r="Q1761">
        <v>2</v>
      </c>
      <c r="R1761">
        <v>3</v>
      </c>
      <c r="S1761" t="s">
        <v>24</v>
      </c>
    </row>
    <row r="1762" spans="1:19" x14ac:dyDescent="0.25">
      <c r="A1762">
        <v>11761</v>
      </c>
      <c r="B1762">
        <v>31</v>
      </c>
      <c r="C1762" t="s">
        <v>19</v>
      </c>
      <c r="D1762" t="s">
        <v>41</v>
      </c>
      <c r="E1762" t="s">
        <v>36</v>
      </c>
      <c r="F1762" t="s">
        <v>39</v>
      </c>
      <c r="G1762" t="s">
        <v>38</v>
      </c>
      <c r="H1762">
        <v>63574</v>
      </c>
      <c r="I1762">
        <v>39962</v>
      </c>
      <c r="J1762">
        <v>9</v>
      </c>
      <c r="K1762">
        <v>10</v>
      </c>
      <c r="L1762">
        <v>3</v>
      </c>
      <c r="M1762" t="s">
        <v>25</v>
      </c>
      <c r="N1762">
        <v>2</v>
      </c>
      <c r="O1762">
        <v>15</v>
      </c>
      <c r="P1762">
        <v>33</v>
      </c>
      <c r="Q1762">
        <v>4</v>
      </c>
      <c r="R1762">
        <v>3</v>
      </c>
      <c r="S1762" t="s">
        <v>25</v>
      </c>
    </row>
    <row r="1763" spans="1:19" x14ac:dyDescent="0.25">
      <c r="A1763">
        <v>11762</v>
      </c>
      <c r="B1763">
        <v>45</v>
      </c>
      <c r="C1763" t="s">
        <v>19</v>
      </c>
      <c r="D1763" t="s">
        <v>20</v>
      </c>
      <c r="E1763" t="s">
        <v>36</v>
      </c>
      <c r="F1763" t="s">
        <v>39</v>
      </c>
      <c r="G1763" t="s">
        <v>30</v>
      </c>
      <c r="H1763">
        <v>50489</v>
      </c>
      <c r="I1763">
        <v>19999</v>
      </c>
      <c r="J1763">
        <v>21</v>
      </c>
      <c r="K1763">
        <v>5</v>
      </c>
      <c r="L1763">
        <v>3</v>
      </c>
      <c r="M1763" t="s">
        <v>24</v>
      </c>
      <c r="N1763">
        <v>4</v>
      </c>
      <c r="O1763">
        <v>12</v>
      </c>
      <c r="P1763">
        <v>55</v>
      </c>
      <c r="Q1763">
        <v>4</v>
      </c>
      <c r="R1763">
        <v>1</v>
      </c>
      <c r="S1763" t="s">
        <v>25</v>
      </c>
    </row>
    <row r="1764" spans="1:19" x14ac:dyDescent="0.25">
      <c r="A1764">
        <v>11763</v>
      </c>
      <c r="B1764">
        <v>42</v>
      </c>
      <c r="C1764" t="s">
        <v>19</v>
      </c>
      <c r="D1764" t="s">
        <v>41</v>
      </c>
      <c r="E1764" t="s">
        <v>21</v>
      </c>
      <c r="F1764" t="s">
        <v>39</v>
      </c>
      <c r="G1764" t="s">
        <v>38</v>
      </c>
      <c r="H1764">
        <v>105637</v>
      </c>
      <c r="I1764">
        <v>43886</v>
      </c>
      <c r="J1764">
        <v>19</v>
      </c>
      <c r="K1764">
        <v>2</v>
      </c>
      <c r="L1764">
        <v>5</v>
      </c>
      <c r="M1764" t="s">
        <v>24</v>
      </c>
      <c r="N1764">
        <v>1</v>
      </c>
      <c r="O1764">
        <v>35</v>
      </c>
      <c r="P1764">
        <v>25</v>
      </c>
      <c r="Q1764">
        <v>4</v>
      </c>
      <c r="R1764">
        <v>1</v>
      </c>
      <c r="S1764" t="s">
        <v>25</v>
      </c>
    </row>
    <row r="1765" spans="1:19" x14ac:dyDescent="0.25">
      <c r="A1765">
        <v>11764</v>
      </c>
      <c r="B1765">
        <v>25</v>
      </c>
      <c r="C1765" t="s">
        <v>19</v>
      </c>
      <c r="D1765" t="s">
        <v>34</v>
      </c>
      <c r="E1765" t="s">
        <v>36</v>
      </c>
      <c r="F1765" t="s">
        <v>35</v>
      </c>
      <c r="G1765" t="s">
        <v>30</v>
      </c>
      <c r="H1765">
        <v>56955</v>
      </c>
      <c r="I1765">
        <v>48139</v>
      </c>
      <c r="J1765">
        <v>11</v>
      </c>
      <c r="K1765">
        <v>5</v>
      </c>
      <c r="L1765">
        <v>5</v>
      </c>
      <c r="M1765" t="s">
        <v>25</v>
      </c>
      <c r="N1765">
        <v>3</v>
      </c>
      <c r="O1765">
        <v>39</v>
      </c>
      <c r="P1765">
        <v>13</v>
      </c>
      <c r="Q1765">
        <v>4</v>
      </c>
      <c r="R1765">
        <v>3</v>
      </c>
      <c r="S1765" t="s">
        <v>25</v>
      </c>
    </row>
    <row r="1766" spans="1:19" x14ac:dyDescent="0.25">
      <c r="A1766">
        <v>11765</v>
      </c>
      <c r="B1766">
        <v>50</v>
      </c>
      <c r="C1766" t="s">
        <v>19</v>
      </c>
      <c r="D1766" t="s">
        <v>34</v>
      </c>
      <c r="E1766" t="s">
        <v>33</v>
      </c>
      <c r="F1766" t="s">
        <v>22</v>
      </c>
      <c r="G1766" t="s">
        <v>30</v>
      </c>
      <c r="H1766">
        <v>32166</v>
      </c>
      <c r="I1766">
        <v>28581</v>
      </c>
      <c r="J1766">
        <v>2</v>
      </c>
      <c r="K1766">
        <v>14</v>
      </c>
      <c r="L1766">
        <v>3</v>
      </c>
      <c r="M1766" t="s">
        <v>25</v>
      </c>
      <c r="N1766">
        <v>2</v>
      </c>
      <c r="O1766">
        <v>3</v>
      </c>
      <c r="P1766">
        <v>9</v>
      </c>
      <c r="Q1766">
        <v>4</v>
      </c>
      <c r="R1766">
        <v>4</v>
      </c>
      <c r="S1766" t="s">
        <v>25</v>
      </c>
    </row>
    <row r="1767" spans="1:19" x14ac:dyDescent="0.25">
      <c r="A1767">
        <v>11766</v>
      </c>
      <c r="B1767">
        <v>44</v>
      </c>
      <c r="C1767" t="s">
        <v>31</v>
      </c>
      <c r="D1767" t="s">
        <v>20</v>
      </c>
      <c r="E1767" t="s">
        <v>33</v>
      </c>
      <c r="F1767" t="s">
        <v>39</v>
      </c>
      <c r="G1767" t="s">
        <v>30</v>
      </c>
      <c r="H1767">
        <v>35060</v>
      </c>
      <c r="I1767">
        <v>47516</v>
      </c>
      <c r="J1767">
        <v>17</v>
      </c>
      <c r="K1767">
        <v>7</v>
      </c>
      <c r="L1767">
        <v>3</v>
      </c>
      <c r="M1767" t="s">
        <v>25</v>
      </c>
      <c r="N1767">
        <v>4</v>
      </c>
      <c r="O1767">
        <v>26</v>
      </c>
      <c r="P1767">
        <v>27</v>
      </c>
      <c r="Q1767">
        <v>3</v>
      </c>
      <c r="R1767">
        <v>2</v>
      </c>
      <c r="S1767" t="s">
        <v>25</v>
      </c>
    </row>
    <row r="1768" spans="1:19" x14ac:dyDescent="0.25">
      <c r="A1768">
        <v>11767</v>
      </c>
      <c r="B1768">
        <v>43</v>
      </c>
      <c r="C1768" t="s">
        <v>19</v>
      </c>
      <c r="D1768" t="s">
        <v>20</v>
      </c>
      <c r="E1768" t="s">
        <v>36</v>
      </c>
      <c r="F1768" t="s">
        <v>39</v>
      </c>
      <c r="G1768" t="s">
        <v>38</v>
      </c>
      <c r="H1768">
        <v>65885</v>
      </c>
      <c r="I1768">
        <v>24708</v>
      </c>
      <c r="J1768">
        <v>7</v>
      </c>
      <c r="K1768">
        <v>4</v>
      </c>
      <c r="L1768">
        <v>4</v>
      </c>
      <c r="M1768" t="s">
        <v>24</v>
      </c>
      <c r="N1768">
        <v>4</v>
      </c>
      <c r="O1768">
        <v>2</v>
      </c>
      <c r="P1768">
        <v>41</v>
      </c>
      <c r="Q1768">
        <v>2</v>
      </c>
      <c r="R1768">
        <v>3</v>
      </c>
      <c r="S1768" t="s">
        <v>25</v>
      </c>
    </row>
    <row r="1769" spans="1:19" x14ac:dyDescent="0.25">
      <c r="A1769">
        <v>11768</v>
      </c>
      <c r="B1769">
        <v>54</v>
      </c>
      <c r="C1769" t="s">
        <v>31</v>
      </c>
      <c r="D1769" t="s">
        <v>34</v>
      </c>
      <c r="E1769" t="s">
        <v>33</v>
      </c>
      <c r="F1769" t="s">
        <v>35</v>
      </c>
      <c r="G1769" t="s">
        <v>38</v>
      </c>
      <c r="H1769">
        <v>40840</v>
      </c>
      <c r="I1769">
        <v>19822</v>
      </c>
      <c r="J1769">
        <v>0</v>
      </c>
      <c r="K1769">
        <v>5</v>
      </c>
      <c r="L1769">
        <v>3</v>
      </c>
      <c r="M1769" t="s">
        <v>24</v>
      </c>
      <c r="N1769">
        <v>2</v>
      </c>
      <c r="O1769">
        <v>6</v>
      </c>
      <c r="P1769">
        <v>56</v>
      </c>
      <c r="Q1769">
        <v>2</v>
      </c>
      <c r="R1769">
        <v>3</v>
      </c>
      <c r="S1769" t="s">
        <v>25</v>
      </c>
    </row>
    <row r="1770" spans="1:19" x14ac:dyDescent="0.25">
      <c r="A1770">
        <v>11769</v>
      </c>
      <c r="B1770">
        <v>25</v>
      </c>
      <c r="C1770" t="s">
        <v>19</v>
      </c>
      <c r="D1770" t="s">
        <v>20</v>
      </c>
      <c r="E1770" t="s">
        <v>36</v>
      </c>
      <c r="F1770" t="s">
        <v>39</v>
      </c>
      <c r="G1770" t="s">
        <v>38</v>
      </c>
      <c r="H1770">
        <v>51120</v>
      </c>
      <c r="I1770">
        <v>43176</v>
      </c>
      <c r="J1770">
        <v>10</v>
      </c>
      <c r="K1770">
        <v>1</v>
      </c>
      <c r="L1770">
        <v>1</v>
      </c>
      <c r="M1770" t="s">
        <v>24</v>
      </c>
      <c r="N1770">
        <v>3</v>
      </c>
      <c r="O1770">
        <v>31</v>
      </c>
      <c r="P1770">
        <v>28</v>
      </c>
      <c r="Q1770">
        <v>1</v>
      </c>
      <c r="R1770">
        <v>3</v>
      </c>
      <c r="S1770" t="s">
        <v>24</v>
      </c>
    </row>
    <row r="1771" spans="1:19" x14ac:dyDescent="0.25">
      <c r="A1771">
        <v>11770</v>
      </c>
      <c r="B1771">
        <v>33</v>
      </c>
      <c r="C1771" t="s">
        <v>19</v>
      </c>
      <c r="D1771" t="s">
        <v>34</v>
      </c>
      <c r="E1771" t="s">
        <v>21</v>
      </c>
      <c r="F1771" t="s">
        <v>35</v>
      </c>
      <c r="G1771" t="s">
        <v>30</v>
      </c>
      <c r="H1771">
        <v>104426</v>
      </c>
      <c r="I1771">
        <v>11804</v>
      </c>
      <c r="J1771">
        <v>15</v>
      </c>
      <c r="K1771">
        <v>5</v>
      </c>
      <c r="L1771">
        <v>3</v>
      </c>
      <c r="M1771" t="s">
        <v>24</v>
      </c>
      <c r="N1771">
        <v>4</v>
      </c>
      <c r="O1771">
        <v>17</v>
      </c>
      <c r="P1771">
        <v>17</v>
      </c>
      <c r="Q1771">
        <v>2</v>
      </c>
      <c r="R1771">
        <v>4</v>
      </c>
      <c r="S1771" t="s">
        <v>25</v>
      </c>
    </row>
    <row r="1772" spans="1:19" x14ac:dyDescent="0.25">
      <c r="A1772">
        <v>11771</v>
      </c>
      <c r="B1772">
        <v>20</v>
      </c>
      <c r="C1772" t="s">
        <v>19</v>
      </c>
      <c r="D1772" t="s">
        <v>20</v>
      </c>
      <c r="E1772" t="s">
        <v>33</v>
      </c>
      <c r="F1772" t="s">
        <v>37</v>
      </c>
      <c r="G1772" t="s">
        <v>30</v>
      </c>
      <c r="H1772">
        <v>32878</v>
      </c>
      <c r="I1772">
        <v>15178</v>
      </c>
      <c r="J1772">
        <v>4</v>
      </c>
      <c r="K1772">
        <v>1</v>
      </c>
      <c r="L1772">
        <v>2</v>
      </c>
      <c r="M1772" t="s">
        <v>25</v>
      </c>
      <c r="N1772">
        <v>3</v>
      </c>
      <c r="O1772">
        <v>5</v>
      </c>
      <c r="P1772">
        <v>33</v>
      </c>
      <c r="Q1772">
        <v>2</v>
      </c>
      <c r="R1772">
        <v>3</v>
      </c>
      <c r="S1772" t="s">
        <v>25</v>
      </c>
    </row>
    <row r="1773" spans="1:19" x14ac:dyDescent="0.25">
      <c r="A1773">
        <v>11772</v>
      </c>
      <c r="B1773">
        <v>27</v>
      </c>
      <c r="C1773" t="s">
        <v>19</v>
      </c>
      <c r="D1773" t="s">
        <v>26</v>
      </c>
      <c r="E1773" t="s">
        <v>33</v>
      </c>
      <c r="F1773" t="s">
        <v>35</v>
      </c>
      <c r="G1773" t="s">
        <v>38</v>
      </c>
      <c r="H1773">
        <v>25620</v>
      </c>
      <c r="I1773">
        <v>32923</v>
      </c>
      <c r="J1773">
        <v>0</v>
      </c>
      <c r="K1773">
        <v>6</v>
      </c>
      <c r="L1773">
        <v>2</v>
      </c>
      <c r="M1773" t="s">
        <v>25</v>
      </c>
      <c r="N1773">
        <v>2</v>
      </c>
      <c r="O1773">
        <v>28</v>
      </c>
      <c r="P1773">
        <v>56</v>
      </c>
      <c r="Q1773">
        <v>4</v>
      </c>
      <c r="R1773">
        <v>4</v>
      </c>
      <c r="S1773" t="s">
        <v>25</v>
      </c>
    </row>
    <row r="1774" spans="1:19" x14ac:dyDescent="0.25">
      <c r="A1774">
        <v>11773</v>
      </c>
      <c r="B1774">
        <v>58</v>
      </c>
      <c r="C1774" t="s">
        <v>31</v>
      </c>
      <c r="D1774" t="s">
        <v>32</v>
      </c>
      <c r="E1774" t="s">
        <v>33</v>
      </c>
      <c r="F1774" t="s">
        <v>39</v>
      </c>
      <c r="G1774" t="s">
        <v>23</v>
      </c>
      <c r="H1774">
        <v>27819</v>
      </c>
      <c r="I1774">
        <v>10985</v>
      </c>
      <c r="J1774">
        <v>7</v>
      </c>
      <c r="K1774">
        <v>13</v>
      </c>
      <c r="L1774">
        <v>2</v>
      </c>
      <c r="M1774" t="s">
        <v>25</v>
      </c>
      <c r="N1774">
        <v>4</v>
      </c>
      <c r="O1774">
        <v>18</v>
      </c>
      <c r="P1774">
        <v>56</v>
      </c>
      <c r="Q1774">
        <v>1</v>
      </c>
      <c r="R1774">
        <v>3</v>
      </c>
      <c r="S1774" t="s">
        <v>25</v>
      </c>
    </row>
    <row r="1775" spans="1:19" x14ac:dyDescent="0.25">
      <c r="A1775">
        <v>11774</v>
      </c>
      <c r="B1775">
        <v>37</v>
      </c>
      <c r="C1775" t="s">
        <v>31</v>
      </c>
      <c r="D1775" t="s">
        <v>41</v>
      </c>
      <c r="E1775" t="s">
        <v>33</v>
      </c>
      <c r="F1775" t="s">
        <v>39</v>
      </c>
      <c r="G1775" t="s">
        <v>23</v>
      </c>
      <c r="H1775">
        <v>28922</v>
      </c>
      <c r="I1775">
        <v>31285</v>
      </c>
      <c r="J1775">
        <v>14</v>
      </c>
      <c r="K1775">
        <v>7</v>
      </c>
      <c r="L1775">
        <v>4</v>
      </c>
      <c r="M1775" t="s">
        <v>25</v>
      </c>
      <c r="N1775">
        <v>2</v>
      </c>
      <c r="O1775">
        <v>27</v>
      </c>
      <c r="P1775">
        <v>12</v>
      </c>
      <c r="Q1775">
        <v>3</v>
      </c>
      <c r="R1775">
        <v>3</v>
      </c>
      <c r="S1775" t="s">
        <v>24</v>
      </c>
    </row>
    <row r="1776" spans="1:19" x14ac:dyDescent="0.25">
      <c r="A1776">
        <v>11775</v>
      </c>
      <c r="B1776">
        <v>32</v>
      </c>
      <c r="C1776" t="s">
        <v>19</v>
      </c>
      <c r="D1776" t="s">
        <v>41</v>
      </c>
      <c r="E1776" t="s">
        <v>27</v>
      </c>
      <c r="F1776" t="s">
        <v>22</v>
      </c>
      <c r="G1776" t="s">
        <v>30</v>
      </c>
      <c r="H1776">
        <v>61259</v>
      </c>
      <c r="I1776">
        <v>17946</v>
      </c>
      <c r="J1776">
        <v>19</v>
      </c>
      <c r="K1776">
        <v>5</v>
      </c>
      <c r="L1776">
        <v>4</v>
      </c>
      <c r="M1776" t="s">
        <v>24</v>
      </c>
      <c r="N1776">
        <v>3</v>
      </c>
      <c r="O1776">
        <v>39</v>
      </c>
      <c r="P1776">
        <v>35</v>
      </c>
      <c r="Q1776">
        <v>4</v>
      </c>
      <c r="R1776">
        <v>3</v>
      </c>
      <c r="S1776" t="s">
        <v>25</v>
      </c>
    </row>
    <row r="1777" spans="1:19" x14ac:dyDescent="0.25">
      <c r="A1777">
        <v>11776</v>
      </c>
      <c r="B1777">
        <v>37</v>
      </c>
      <c r="C1777" t="s">
        <v>31</v>
      </c>
      <c r="D1777" t="s">
        <v>26</v>
      </c>
      <c r="E1777" t="s">
        <v>21</v>
      </c>
      <c r="F1777" t="s">
        <v>39</v>
      </c>
      <c r="G1777" t="s">
        <v>38</v>
      </c>
      <c r="H1777">
        <v>127031</v>
      </c>
      <c r="I1777">
        <v>36965</v>
      </c>
      <c r="J1777">
        <v>23</v>
      </c>
      <c r="K1777">
        <v>13</v>
      </c>
      <c r="L1777">
        <v>3</v>
      </c>
      <c r="M1777" t="s">
        <v>25</v>
      </c>
      <c r="N1777">
        <v>2</v>
      </c>
      <c r="O1777">
        <v>31</v>
      </c>
      <c r="P1777">
        <v>54</v>
      </c>
      <c r="Q1777">
        <v>2</v>
      </c>
      <c r="R1777">
        <v>3</v>
      </c>
      <c r="S1777" t="s">
        <v>24</v>
      </c>
    </row>
    <row r="1778" spans="1:19" x14ac:dyDescent="0.25">
      <c r="A1778">
        <v>11777</v>
      </c>
      <c r="B1778">
        <v>49</v>
      </c>
      <c r="C1778" t="s">
        <v>19</v>
      </c>
      <c r="D1778" t="s">
        <v>34</v>
      </c>
      <c r="E1778" t="s">
        <v>36</v>
      </c>
      <c r="F1778" t="s">
        <v>39</v>
      </c>
      <c r="G1778" t="s">
        <v>23</v>
      </c>
      <c r="H1778">
        <v>58088</v>
      </c>
      <c r="I1778">
        <v>16475</v>
      </c>
      <c r="J1778">
        <v>3</v>
      </c>
      <c r="K1778">
        <v>13</v>
      </c>
      <c r="L1778">
        <v>4</v>
      </c>
      <c r="M1778" t="s">
        <v>25</v>
      </c>
      <c r="N1778">
        <v>2</v>
      </c>
      <c r="O1778">
        <v>3</v>
      </c>
      <c r="P1778">
        <v>19</v>
      </c>
      <c r="Q1778">
        <v>3</v>
      </c>
      <c r="R1778">
        <v>4</v>
      </c>
      <c r="S1778" t="s">
        <v>25</v>
      </c>
    </row>
    <row r="1779" spans="1:19" x14ac:dyDescent="0.25">
      <c r="A1779">
        <v>11778</v>
      </c>
      <c r="B1779">
        <v>36</v>
      </c>
      <c r="C1779" t="s">
        <v>31</v>
      </c>
      <c r="D1779" t="s">
        <v>28</v>
      </c>
      <c r="E1779" t="s">
        <v>29</v>
      </c>
      <c r="F1779" t="s">
        <v>39</v>
      </c>
      <c r="G1779" t="s">
        <v>38</v>
      </c>
      <c r="H1779">
        <v>120909</v>
      </c>
      <c r="I1779">
        <v>38921</v>
      </c>
      <c r="J1779">
        <v>13</v>
      </c>
      <c r="K1779">
        <v>3</v>
      </c>
      <c r="L1779">
        <v>3</v>
      </c>
      <c r="M1779" t="s">
        <v>25</v>
      </c>
      <c r="N1779">
        <v>2</v>
      </c>
      <c r="O1779">
        <v>24</v>
      </c>
      <c r="P1779">
        <v>22</v>
      </c>
      <c r="Q1779">
        <v>4</v>
      </c>
      <c r="R1779">
        <v>3</v>
      </c>
      <c r="S1779" t="s">
        <v>25</v>
      </c>
    </row>
    <row r="1780" spans="1:19" x14ac:dyDescent="0.25">
      <c r="A1780">
        <v>11779</v>
      </c>
      <c r="B1780">
        <v>23</v>
      </c>
      <c r="C1780" t="s">
        <v>19</v>
      </c>
      <c r="D1780" t="s">
        <v>20</v>
      </c>
      <c r="E1780" t="s">
        <v>21</v>
      </c>
      <c r="F1780" t="s">
        <v>39</v>
      </c>
      <c r="G1780" t="s">
        <v>23</v>
      </c>
      <c r="H1780">
        <v>108155</v>
      </c>
      <c r="I1780">
        <v>8697</v>
      </c>
      <c r="J1780">
        <v>17</v>
      </c>
      <c r="K1780">
        <v>9</v>
      </c>
      <c r="L1780">
        <v>2</v>
      </c>
      <c r="M1780" t="s">
        <v>24</v>
      </c>
      <c r="N1780">
        <v>3</v>
      </c>
      <c r="O1780">
        <v>26</v>
      </c>
      <c r="P1780">
        <v>28</v>
      </c>
      <c r="Q1780">
        <v>2</v>
      </c>
      <c r="R1780">
        <v>2</v>
      </c>
      <c r="S1780" t="s">
        <v>25</v>
      </c>
    </row>
    <row r="1781" spans="1:19" x14ac:dyDescent="0.25">
      <c r="A1781">
        <v>11780</v>
      </c>
      <c r="B1781">
        <v>59</v>
      </c>
      <c r="C1781" t="s">
        <v>19</v>
      </c>
      <c r="D1781" t="s">
        <v>20</v>
      </c>
      <c r="E1781" t="s">
        <v>36</v>
      </c>
      <c r="F1781" t="s">
        <v>39</v>
      </c>
      <c r="G1781" t="s">
        <v>30</v>
      </c>
      <c r="H1781">
        <v>46324</v>
      </c>
      <c r="I1781">
        <v>12286</v>
      </c>
      <c r="J1781">
        <v>19</v>
      </c>
      <c r="K1781">
        <v>3</v>
      </c>
      <c r="L1781">
        <v>5</v>
      </c>
      <c r="M1781" t="s">
        <v>25</v>
      </c>
      <c r="N1781">
        <v>4</v>
      </c>
      <c r="O1781">
        <v>15</v>
      </c>
      <c r="P1781">
        <v>53</v>
      </c>
      <c r="Q1781">
        <v>3</v>
      </c>
      <c r="R1781">
        <v>2</v>
      </c>
      <c r="S1781" t="s">
        <v>25</v>
      </c>
    </row>
    <row r="1782" spans="1:19" x14ac:dyDescent="0.25">
      <c r="A1782">
        <v>11781</v>
      </c>
      <c r="B1782">
        <v>35</v>
      </c>
      <c r="C1782" t="s">
        <v>31</v>
      </c>
      <c r="D1782" t="s">
        <v>34</v>
      </c>
      <c r="E1782" t="s">
        <v>27</v>
      </c>
      <c r="F1782" t="s">
        <v>39</v>
      </c>
      <c r="G1782" t="s">
        <v>30</v>
      </c>
      <c r="H1782">
        <v>60533</v>
      </c>
      <c r="I1782">
        <v>49216</v>
      </c>
      <c r="J1782">
        <v>21</v>
      </c>
      <c r="K1782">
        <v>10</v>
      </c>
      <c r="L1782">
        <v>3</v>
      </c>
      <c r="M1782" t="s">
        <v>25</v>
      </c>
      <c r="N1782">
        <v>4</v>
      </c>
      <c r="O1782">
        <v>27</v>
      </c>
      <c r="P1782">
        <v>14</v>
      </c>
      <c r="Q1782">
        <v>4</v>
      </c>
      <c r="R1782">
        <v>2</v>
      </c>
      <c r="S1782" t="s">
        <v>25</v>
      </c>
    </row>
    <row r="1783" spans="1:19" x14ac:dyDescent="0.25">
      <c r="A1783">
        <v>11782</v>
      </c>
      <c r="B1783">
        <v>22</v>
      </c>
      <c r="C1783" t="s">
        <v>19</v>
      </c>
      <c r="D1783" t="s">
        <v>34</v>
      </c>
      <c r="E1783" t="s">
        <v>40</v>
      </c>
      <c r="F1783" t="s">
        <v>39</v>
      </c>
      <c r="G1783" t="s">
        <v>38</v>
      </c>
      <c r="H1783">
        <v>16696</v>
      </c>
      <c r="I1783">
        <v>27510</v>
      </c>
      <c r="J1783">
        <v>2</v>
      </c>
      <c r="K1783">
        <v>7</v>
      </c>
      <c r="L1783">
        <v>3</v>
      </c>
      <c r="M1783" t="s">
        <v>25</v>
      </c>
      <c r="N1783">
        <v>3</v>
      </c>
      <c r="O1783">
        <v>7</v>
      </c>
      <c r="P1783">
        <v>53</v>
      </c>
      <c r="Q1783">
        <v>1</v>
      </c>
      <c r="R1783">
        <v>2</v>
      </c>
      <c r="S1783" t="s">
        <v>25</v>
      </c>
    </row>
    <row r="1784" spans="1:19" x14ac:dyDescent="0.25">
      <c r="A1784">
        <v>11783</v>
      </c>
      <c r="B1784">
        <v>41</v>
      </c>
      <c r="C1784" t="s">
        <v>31</v>
      </c>
      <c r="D1784" t="s">
        <v>41</v>
      </c>
      <c r="E1784" t="s">
        <v>40</v>
      </c>
      <c r="F1784" t="s">
        <v>22</v>
      </c>
      <c r="G1784" t="s">
        <v>38</v>
      </c>
      <c r="H1784">
        <v>18339</v>
      </c>
      <c r="I1784">
        <v>28321</v>
      </c>
      <c r="J1784">
        <v>18</v>
      </c>
      <c r="K1784">
        <v>10</v>
      </c>
      <c r="L1784">
        <v>2</v>
      </c>
      <c r="M1784" t="s">
        <v>25</v>
      </c>
      <c r="N1784">
        <v>3</v>
      </c>
      <c r="O1784">
        <v>23</v>
      </c>
      <c r="P1784">
        <v>47</v>
      </c>
      <c r="Q1784">
        <v>2</v>
      </c>
      <c r="R1784">
        <v>4</v>
      </c>
      <c r="S1784" t="s">
        <v>25</v>
      </c>
    </row>
    <row r="1785" spans="1:19" x14ac:dyDescent="0.25">
      <c r="A1785">
        <v>11784</v>
      </c>
      <c r="B1785">
        <v>50</v>
      </c>
      <c r="C1785" t="s">
        <v>19</v>
      </c>
      <c r="D1785" t="s">
        <v>32</v>
      </c>
      <c r="E1785" t="s">
        <v>36</v>
      </c>
      <c r="F1785" t="s">
        <v>39</v>
      </c>
      <c r="G1785" t="s">
        <v>30</v>
      </c>
      <c r="H1785">
        <v>45443</v>
      </c>
      <c r="I1785">
        <v>14265</v>
      </c>
      <c r="J1785">
        <v>3</v>
      </c>
      <c r="K1785">
        <v>1</v>
      </c>
      <c r="L1785">
        <v>3</v>
      </c>
      <c r="M1785" t="s">
        <v>25</v>
      </c>
      <c r="N1785">
        <v>3</v>
      </c>
      <c r="O1785">
        <v>23</v>
      </c>
      <c r="P1785">
        <v>8</v>
      </c>
      <c r="Q1785">
        <v>1</v>
      </c>
      <c r="R1785">
        <v>3</v>
      </c>
      <c r="S1785" t="s">
        <v>25</v>
      </c>
    </row>
    <row r="1786" spans="1:19" x14ac:dyDescent="0.25">
      <c r="A1786">
        <v>11785</v>
      </c>
      <c r="B1786">
        <v>28</v>
      </c>
      <c r="C1786" t="s">
        <v>31</v>
      </c>
      <c r="D1786" t="s">
        <v>20</v>
      </c>
      <c r="E1786" t="s">
        <v>27</v>
      </c>
      <c r="F1786" t="s">
        <v>35</v>
      </c>
      <c r="G1786" t="s">
        <v>38</v>
      </c>
      <c r="H1786">
        <v>65575</v>
      </c>
      <c r="I1786">
        <v>10863</v>
      </c>
      <c r="J1786">
        <v>17</v>
      </c>
      <c r="K1786">
        <v>7</v>
      </c>
      <c r="L1786">
        <v>2</v>
      </c>
      <c r="M1786" t="s">
        <v>24</v>
      </c>
      <c r="N1786">
        <v>4</v>
      </c>
      <c r="O1786">
        <v>31</v>
      </c>
      <c r="P1786">
        <v>43</v>
      </c>
      <c r="Q1786">
        <v>1</v>
      </c>
      <c r="R1786">
        <v>1</v>
      </c>
      <c r="S1786" t="s">
        <v>25</v>
      </c>
    </row>
    <row r="1787" spans="1:19" x14ac:dyDescent="0.25">
      <c r="A1787">
        <v>11786</v>
      </c>
      <c r="B1787">
        <v>46</v>
      </c>
      <c r="C1787" t="s">
        <v>19</v>
      </c>
      <c r="D1787" t="s">
        <v>26</v>
      </c>
      <c r="E1787" t="s">
        <v>36</v>
      </c>
      <c r="F1787" t="s">
        <v>39</v>
      </c>
      <c r="G1787" t="s">
        <v>38</v>
      </c>
      <c r="H1787">
        <v>47052</v>
      </c>
      <c r="I1787">
        <v>25</v>
      </c>
      <c r="J1787">
        <v>10</v>
      </c>
      <c r="K1787">
        <v>1</v>
      </c>
      <c r="L1787">
        <v>4</v>
      </c>
      <c r="M1787" t="s">
        <v>24</v>
      </c>
      <c r="N1787">
        <v>4</v>
      </c>
      <c r="O1787">
        <v>12</v>
      </c>
      <c r="P1787">
        <v>13</v>
      </c>
      <c r="Q1787">
        <v>3</v>
      </c>
      <c r="R1787">
        <v>2</v>
      </c>
      <c r="S1787" t="s">
        <v>25</v>
      </c>
    </row>
    <row r="1788" spans="1:19" x14ac:dyDescent="0.25">
      <c r="A1788">
        <v>11787</v>
      </c>
      <c r="B1788">
        <v>29</v>
      </c>
      <c r="C1788" t="s">
        <v>31</v>
      </c>
      <c r="D1788" t="s">
        <v>26</v>
      </c>
      <c r="E1788" t="s">
        <v>27</v>
      </c>
      <c r="F1788" t="s">
        <v>39</v>
      </c>
      <c r="G1788" t="s">
        <v>30</v>
      </c>
      <c r="H1788">
        <v>82281</v>
      </c>
      <c r="I1788">
        <v>1828</v>
      </c>
      <c r="J1788">
        <v>8</v>
      </c>
      <c r="K1788">
        <v>5</v>
      </c>
      <c r="L1788">
        <v>2</v>
      </c>
      <c r="M1788" t="s">
        <v>25</v>
      </c>
      <c r="N1788">
        <v>1</v>
      </c>
      <c r="O1788">
        <v>35</v>
      </c>
      <c r="P1788">
        <v>52</v>
      </c>
      <c r="Q1788">
        <v>3</v>
      </c>
      <c r="R1788">
        <v>2</v>
      </c>
      <c r="S1788" t="s">
        <v>25</v>
      </c>
    </row>
    <row r="1789" spans="1:19" x14ac:dyDescent="0.25">
      <c r="A1789">
        <v>11788</v>
      </c>
      <c r="B1789">
        <v>39</v>
      </c>
      <c r="C1789" t="s">
        <v>31</v>
      </c>
      <c r="D1789" t="s">
        <v>32</v>
      </c>
      <c r="E1789" t="s">
        <v>36</v>
      </c>
      <c r="F1789" t="s">
        <v>39</v>
      </c>
      <c r="G1789" t="s">
        <v>30</v>
      </c>
      <c r="H1789">
        <v>64984</v>
      </c>
      <c r="I1789">
        <v>40966</v>
      </c>
      <c r="J1789">
        <v>1</v>
      </c>
      <c r="K1789">
        <v>11</v>
      </c>
      <c r="L1789">
        <v>2</v>
      </c>
      <c r="M1789" t="s">
        <v>25</v>
      </c>
      <c r="N1789">
        <v>4</v>
      </c>
      <c r="O1789">
        <v>26</v>
      </c>
      <c r="P1789">
        <v>44</v>
      </c>
      <c r="Q1789">
        <v>3</v>
      </c>
      <c r="R1789">
        <v>2</v>
      </c>
      <c r="S1789" t="s">
        <v>25</v>
      </c>
    </row>
    <row r="1790" spans="1:19" x14ac:dyDescent="0.25">
      <c r="A1790">
        <v>11789</v>
      </c>
      <c r="B1790">
        <v>59</v>
      </c>
      <c r="C1790" t="s">
        <v>19</v>
      </c>
      <c r="D1790" t="s">
        <v>26</v>
      </c>
      <c r="E1790" t="s">
        <v>27</v>
      </c>
      <c r="F1790" t="s">
        <v>35</v>
      </c>
      <c r="G1790" t="s">
        <v>38</v>
      </c>
      <c r="H1790">
        <v>66898</v>
      </c>
      <c r="I1790">
        <v>27943</v>
      </c>
      <c r="J1790">
        <v>0</v>
      </c>
      <c r="K1790">
        <v>13</v>
      </c>
      <c r="L1790">
        <v>3</v>
      </c>
      <c r="M1790" t="s">
        <v>24</v>
      </c>
      <c r="N1790">
        <v>3</v>
      </c>
      <c r="O1790">
        <v>36</v>
      </c>
      <c r="P1790">
        <v>25</v>
      </c>
      <c r="Q1790">
        <v>2</v>
      </c>
      <c r="R1790">
        <v>2</v>
      </c>
      <c r="S1790" t="s">
        <v>24</v>
      </c>
    </row>
    <row r="1791" spans="1:19" x14ac:dyDescent="0.25">
      <c r="A1791">
        <v>11790</v>
      </c>
      <c r="B1791">
        <v>23</v>
      </c>
      <c r="C1791" t="s">
        <v>19</v>
      </c>
      <c r="D1791" t="s">
        <v>20</v>
      </c>
      <c r="E1791" t="s">
        <v>21</v>
      </c>
      <c r="F1791" t="s">
        <v>35</v>
      </c>
      <c r="G1791" t="s">
        <v>23</v>
      </c>
      <c r="H1791">
        <v>92169</v>
      </c>
      <c r="I1791">
        <v>32948</v>
      </c>
      <c r="J1791">
        <v>6</v>
      </c>
      <c r="K1791">
        <v>9</v>
      </c>
      <c r="L1791">
        <v>3</v>
      </c>
      <c r="M1791" t="s">
        <v>25</v>
      </c>
      <c r="N1791">
        <v>4</v>
      </c>
      <c r="O1791">
        <v>8</v>
      </c>
      <c r="P1791">
        <v>27</v>
      </c>
      <c r="Q1791">
        <v>3</v>
      </c>
      <c r="R1791">
        <v>1</v>
      </c>
      <c r="S1791" t="s">
        <v>25</v>
      </c>
    </row>
    <row r="1792" spans="1:19" x14ac:dyDescent="0.25">
      <c r="A1792">
        <v>11791</v>
      </c>
      <c r="B1792">
        <v>21</v>
      </c>
      <c r="C1792" t="s">
        <v>31</v>
      </c>
      <c r="D1792" t="s">
        <v>26</v>
      </c>
      <c r="E1792" t="s">
        <v>21</v>
      </c>
      <c r="F1792" t="s">
        <v>39</v>
      </c>
      <c r="G1792" t="s">
        <v>38</v>
      </c>
      <c r="H1792">
        <v>90660</v>
      </c>
      <c r="I1792">
        <v>26627</v>
      </c>
      <c r="J1792">
        <v>2</v>
      </c>
      <c r="K1792">
        <v>1</v>
      </c>
      <c r="L1792">
        <v>3</v>
      </c>
      <c r="M1792" t="s">
        <v>24</v>
      </c>
      <c r="N1792">
        <v>1</v>
      </c>
      <c r="O1792">
        <v>27</v>
      </c>
      <c r="P1792">
        <v>5</v>
      </c>
      <c r="Q1792">
        <v>4</v>
      </c>
      <c r="R1792">
        <v>2</v>
      </c>
      <c r="S1792" t="s">
        <v>25</v>
      </c>
    </row>
    <row r="1793" spans="1:19" x14ac:dyDescent="0.25">
      <c r="A1793">
        <v>11792</v>
      </c>
      <c r="B1793">
        <v>29</v>
      </c>
      <c r="C1793" t="s">
        <v>19</v>
      </c>
      <c r="D1793" t="s">
        <v>26</v>
      </c>
      <c r="E1793" t="s">
        <v>36</v>
      </c>
      <c r="F1793" t="s">
        <v>39</v>
      </c>
      <c r="G1793" t="s">
        <v>30</v>
      </c>
      <c r="H1793">
        <v>63764</v>
      </c>
      <c r="I1793">
        <v>42207</v>
      </c>
      <c r="J1793">
        <v>0</v>
      </c>
      <c r="K1793">
        <v>12</v>
      </c>
      <c r="L1793">
        <v>3</v>
      </c>
      <c r="M1793" t="s">
        <v>24</v>
      </c>
      <c r="N1793">
        <v>2</v>
      </c>
      <c r="O1793">
        <v>15</v>
      </c>
      <c r="P1793">
        <v>33</v>
      </c>
      <c r="Q1793">
        <v>3</v>
      </c>
      <c r="R1793">
        <v>3</v>
      </c>
      <c r="S1793" t="s">
        <v>25</v>
      </c>
    </row>
    <row r="1794" spans="1:19" x14ac:dyDescent="0.25">
      <c r="A1794">
        <v>11793</v>
      </c>
      <c r="B1794">
        <v>25</v>
      </c>
      <c r="C1794" t="s">
        <v>19</v>
      </c>
      <c r="D1794" t="s">
        <v>20</v>
      </c>
      <c r="E1794" t="s">
        <v>33</v>
      </c>
      <c r="F1794" t="s">
        <v>39</v>
      </c>
      <c r="G1794" t="s">
        <v>23</v>
      </c>
      <c r="H1794">
        <v>30208</v>
      </c>
      <c r="I1794">
        <v>45057</v>
      </c>
      <c r="J1794">
        <v>3</v>
      </c>
      <c r="K1794">
        <v>3</v>
      </c>
      <c r="L1794">
        <v>2</v>
      </c>
      <c r="M1794" t="s">
        <v>24</v>
      </c>
      <c r="N1794">
        <v>4</v>
      </c>
      <c r="O1794">
        <v>33</v>
      </c>
      <c r="P1794">
        <v>52</v>
      </c>
      <c r="Q1794">
        <v>2</v>
      </c>
      <c r="R1794">
        <v>2</v>
      </c>
      <c r="S1794" t="s">
        <v>25</v>
      </c>
    </row>
    <row r="1795" spans="1:19" x14ac:dyDescent="0.25">
      <c r="A1795">
        <v>11794</v>
      </c>
      <c r="B1795">
        <v>22</v>
      </c>
      <c r="C1795" t="s">
        <v>31</v>
      </c>
      <c r="D1795" t="s">
        <v>20</v>
      </c>
      <c r="E1795" t="s">
        <v>36</v>
      </c>
      <c r="F1795" t="s">
        <v>39</v>
      </c>
      <c r="G1795" t="s">
        <v>38</v>
      </c>
      <c r="H1795">
        <v>64881</v>
      </c>
      <c r="I1795">
        <v>44016</v>
      </c>
      <c r="J1795">
        <v>17</v>
      </c>
      <c r="K1795">
        <v>9</v>
      </c>
      <c r="L1795">
        <v>5</v>
      </c>
      <c r="M1795" t="s">
        <v>25</v>
      </c>
      <c r="N1795">
        <v>2</v>
      </c>
      <c r="O1795">
        <v>27</v>
      </c>
      <c r="P1795">
        <v>12</v>
      </c>
      <c r="Q1795">
        <v>3</v>
      </c>
      <c r="R1795">
        <v>4</v>
      </c>
      <c r="S1795" t="s">
        <v>25</v>
      </c>
    </row>
    <row r="1796" spans="1:19" x14ac:dyDescent="0.25">
      <c r="A1796">
        <v>11795</v>
      </c>
      <c r="B1796">
        <v>30</v>
      </c>
      <c r="C1796" t="s">
        <v>31</v>
      </c>
      <c r="D1796" t="s">
        <v>28</v>
      </c>
      <c r="E1796" t="s">
        <v>36</v>
      </c>
      <c r="F1796" t="s">
        <v>22</v>
      </c>
      <c r="G1796" t="s">
        <v>30</v>
      </c>
      <c r="H1796">
        <v>45973</v>
      </c>
      <c r="I1796">
        <v>17572</v>
      </c>
      <c r="J1796">
        <v>19</v>
      </c>
      <c r="K1796">
        <v>14</v>
      </c>
      <c r="L1796">
        <v>2</v>
      </c>
      <c r="M1796" t="s">
        <v>25</v>
      </c>
      <c r="N1796">
        <v>3</v>
      </c>
      <c r="O1796">
        <v>21</v>
      </c>
      <c r="P1796">
        <v>13</v>
      </c>
      <c r="Q1796">
        <v>3</v>
      </c>
      <c r="R1796">
        <v>2</v>
      </c>
      <c r="S1796" t="s">
        <v>25</v>
      </c>
    </row>
    <row r="1797" spans="1:19" x14ac:dyDescent="0.25">
      <c r="A1797">
        <v>11796</v>
      </c>
      <c r="B1797">
        <v>53</v>
      </c>
      <c r="C1797" t="s">
        <v>31</v>
      </c>
      <c r="D1797" t="s">
        <v>41</v>
      </c>
      <c r="E1797" t="s">
        <v>33</v>
      </c>
      <c r="F1797" t="s">
        <v>39</v>
      </c>
      <c r="G1797" t="s">
        <v>38</v>
      </c>
      <c r="H1797">
        <v>28337</v>
      </c>
      <c r="I1797">
        <v>5756</v>
      </c>
      <c r="J1797">
        <v>9</v>
      </c>
      <c r="K1797">
        <v>14</v>
      </c>
      <c r="L1797">
        <v>2</v>
      </c>
      <c r="M1797" t="s">
        <v>25</v>
      </c>
      <c r="N1797">
        <v>3</v>
      </c>
      <c r="O1797">
        <v>7</v>
      </c>
      <c r="P1797">
        <v>6</v>
      </c>
      <c r="Q1797">
        <v>2</v>
      </c>
      <c r="R1797">
        <v>2</v>
      </c>
      <c r="S1797" t="s">
        <v>25</v>
      </c>
    </row>
    <row r="1798" spans="1:19" x14ac:dyDescent="0.25">
      <c r="A1798">
        <v>11797</v>
      </c>
      <c r="B1798">
        <v>52</v>
      </c>
      <c r="C1798" t="s">
        <v>19</v>
      </c>
      <c r="D1798" t="s">
        <v>32</v>
      </c>
      <c r="E1798" t="s">
        <v>29</v>
      </c>
      <c r="F1798" t="s">
        <v>39</v>
      </c>
      <c r="G1798" t="s">
        <v>38</v>
      </c>
      <c r="H1798">
        <v>168014</v>
      </c>
      <c r="I1798">
        <v>32235</v>
      </c>
      <c r="J1798">
        <v>19</v>
      </c>
      <c r="K1798">
        <v>12</v>
      </c>
      <c r="L1798">
        <v>3</v>
      </c>
      <c r="M1798" t="s">
        <v>25</v>
      </c>
      <c r="N1798">
        <v>2</v>
      </c>
      <c r="O1798">
        <v>7</v>
      </c>
      <c r="P1798">
        <v>35</v>
      </c>
      <c r="Q1798">
        <v>2</v>
      </c>
      <c r="R1798">
        <v>1</v>
      </c>
      <c r="S1798" t="s">
        <v>25</v>
      </c>
    </row>
    <row r="1799" spans="1:19" x14ac:dyDescent="0.25">
      <c r="A1799">
        <v>11798</v>
      </c>
      <c r="B1799">
        <v>30</v>
      </c>
      <c r="C1799" t="s">
        <v>19</v>
      </c>
      <c r="D1799" t="s">
        <v>20</v>
      </c>
      <c r="E1799" t="s">
        <v>27</v>
      </c>
      <c r="F1799" t="s">
        <v>35</v>
      </c>
      <c r="G1799" t="s">
        <v>38</v>
      </c>
      <c r="H1799">
        <v>64665</v>
      </c>
      <c r="I1799">
        <v>12494</v>
      </c>
      <c r="J1799">
        <v>23</v>
      </c>
      <c r="K1799">
        <v>13</v>
      </c>
      <c r="L1799">
        <v>4</v>
      </c>
      <c r="M1799" t="s">
        <v>24</v>
      </c>
      <c r="N1799">
        <v>3</v>
      </c>
      <c r="O1799">
        <v>23</v>
      </c>
      <c r="P1799">
        <v>40</v>
      </c>
      <c r="Q1799">
        <v>4</v>
      </c>
      <c r="R1799">
        <v>3</v>
      </c>
      <c r="S1799" t="s">
        <v>25</v>
      </c>
    </row>
    <row r="1800" spans="1:19" x14ac:dyDescent="0.25">
      <c r="A1800">
        <v>11799</v>
      </c>
      <c r="B1800">
        <v>58</v>
      </c>
      <c r="C1800" t="s">
        <v>31</v>
      </c>
      <c r="D1800" t="s">
        <v>41</v>
      </c>
      <c r="E1800" t="s">
        <v>27</v>
      </c>
      <c r="F1800" t="s">
        <v>39</v>
      </c>
      <c r="G1800" t="s">
        <v>30</v>
      </c>
      <c r="H1800">
        <v>80192</v>
      </c>
      <c r="I1800">
        <v>29501</v>
      </c>
      <c r="J1800">
        <v>22</v>
      </c>
      <c r="K1800">
        <v>4</v>
      </c>
      <c r="L1800">
        <v>5</v>
      </c>
      <c r="M1800" t="s">
        <v>24</v>
      </c>
      <c r="N1800">
        <v>3</v>
      </c>
      <c r="O1800">
        <v>33</v>
      </c>
      <c r="P1800">
        <v>31</v>
      </c>
      <c r="Q1800">
        <v>4</v>
      </c>
      <c r="R1800">
        <v>4</v>
      </c>
      <c r="S1800" t="s">
        <v>25</v>
      </c>
    </row>
    <row r="1801" spans="1:19" x14ac:dyDescent="0.25">
      <c r="A1801">
        <v>11800</v>
      </c>
      <c r="B1801">
        <v>23</v>
      </c>
      <c r="C1801" t="s">
        <v>19</v>
      </c>
      <c r="D1801" t="s">
        <v>34</v>
      </c>
      <c r="E1801" t="s">
        <v>33</v>
      </c>
      <c r="F1801" t="s">
        <v>35</v>
      </c>
      <c r="G1801" t="s">
        <v>38</v>
      </c>
      <c r="H1801">
        <v>37137</v>
      </c>
      <c r="I1801">
        <v>40424</v>
      </c>
      <c r="J1801">
        <v>12</v>
      </c>
      <c r="K1801">
        <v>9</v>
      </c>
      <c r="L1801">
        <v>3</v>
      </c>
      <c r="M1801" t="s">
        <v>25</v>
      </c>
      <c r="N1801">
        <v>4</v>
      </c>
      <c r="O1801">
        <v>9</v>
      </c>
      <c r="P1801">
        <v>18</v>
      </c>
      <c r="Q1801">
        <v>2</v>
      </c>
      <c r="R1801">
        <v>2</v>
      </c>
      <c r="S1801" t="s">
        <v>24</v>
      </c>
    </row>
    <row r="1802" spans="1:19" x14ac:dyDescent="0.25">
      <c r="A1802">
        <v>11801</v>
      </c>
      <c r="B1802">
        <v>39</v>
      </c>
      <c r="C1802" t="s">
        <v>31</v>
      </c>
      <c r="D1802" t="s">
        <v>20</v>
      </c>
      <c r="E1802" t="s">
        <v>40</v>
      </c>
      <c r="F1802" t="s">
        <v>39</v>
      </c>
      <c r="G1802" t="s">
        <v>30</v>
      </c>
      <c r="H1802">
        <v>15347</v>
      </c>
      <c r="I1802">
        <v>25561</v>
      </c>
      <c r="J1802">
        <v>8</v>
      </c>
      <c r="K1802">
        <v>3</v>
      </c>
      <c r="L1802">
        <v>5</v>
      </c>
      <c r="M1802" t="s">
        <v>25</v>
      </c>
      <c r="N1802">
        <v>2</v>
      </c>
      <c r="O1802">
        <v>7</v>
      </c>
      <c r="P1802">
        <v>40</v>
      </c>
      <c r="Q1802">
        <v>4</v>
      </c>
      <c r="R1802">
        <v>1</v>
      </c>
      <c r="S1802" t="s">
        <v>25</v>
      </c>
    </row>
    <row r="1803" spans="1:19" x14ac:dyDescent="0.25">
      <c r="A1803">
        <v>11802</v>
      </c>
      <c r="B1803">
        <v>37</v>
      </c>
      <c r="C1803" t="s">
        <v>31</v>
      </c>
      <c r="D1803" t="s">
        <v>41</v>
      </c>
      <c r="E1803" t="s">
        <v>40</v>
      </c>
      <c r="F1803" t="s">
        <v>22</v>
      </c>
      <c r="G1803" t="s">
        <v>30</v>
      </c>
      <c r="H1803">
        <v>17901</v>
      </c>
      <c r="I1803">
        <v>33002</v>
      </c>
      <c r="J1803">
        <v>10</v>
      </c>
      <c r="K1803">
        <v>8</v>
      </c>
      <c r="L1803">
        <v>2</v>
      </c>
      <c r="M1803" t="s">
        <v>25</v>
      </c>
      <c r="N1803">
        <v>4</v>
      </c>
      <c r="O1803">
        <v>32</v>
      </c>
      <c r="P1803">
        <v>47</v>
      </c>
      <c r="Q1803">
        <v>3</v>
      </c>
      <c r="R1803">
        <v>3</v>
      </c>
      <c r="S1803" t="s">
        <v>25</v>
      </c>
    </row>
    <row r="1804" spans="1:19" x14ac:dyDescent="0.25">
      <c r="A1804">
        <v>11803</v>
      </c>
      <c r="B1804">
        <v>32</v>
      </c>
      <c r="C1804" t="s">
        <v>19</v>
      </c>
      <c r="D1804" t="s">
        <v>20</v>
      </c>
      <c r="E1804" t="s">
        <v>36</v>
      </c>
      <c r="F1804" t="s">
        <v>39</v>
      </c>
      <c r="G1804" t="s">
        <v>38</v>
      </c>
      <c r="H1804">
        <v>65379</v>
      </c>
      <c r="I1804">
        <v>25118</v>
      </c>
      <c r="J1804">
        <v>6</v>
      </c>
      <c r="K1804">
        <v>6</v>
      </c>
      <c r="L1804">
        <v>5</v>
      </c>
      <c r="M1804" t="s">
        <v>25</v>
      </c>
      <c r="N1804">
        <v>3</v>
      </c>
      <c r="O1804">
        <v>38</v>
      </c>
      <c r="P1804">
        <v>8</v>
      </c>
      <c r="Q1804">
        <v>4</v>
      </c>
      <c r="R1804">
        <v>4</v>
      </c>
      <c r="S1804" t="s">
        <v>25</v>
      </c>
    </row>
    <row r="1805" spans="1:19" x14ac:dyDescent="0.25">
      <c r="A1805">
        <v>11804</v>
      </c>
      <c r="B1805">
        <v>32</v>
      </c>
      <c r="C1805" t="s">
        <v>31</v>
      </c>
      <c r="D1805" t="s">
        <v>26</v>
      </c>
      <c r="E1805" t="s">
        <v>33</v>
      </c>
      <c r="F1805" t="s">
        <v>35</v>
      </c>
      <c r="G1805" t="s">
        <v>23</v>
      </c>
      <c r="H1805">
        <v>40314</v>
      </c>
      <c r="I1805">
        <v>31833</v>
      </c>
      <c r="J1805">
        <v>15</v>
      </c>
      <c r="K1805">
        <v>9</v>
      </c>
      <c r="L1805">
        <v>1</v>
      </c>
      <c r="M1805" t="s">
        <v>25</v>
      </c>
      <c r="N1805">
        <v>3</v>
      </c>
      <c r="O1805">
        <v>3</v>
      </c>
      <c r="P1805">
        <v>11</v>
      </c>
      <c r="Q1805">
        <v>2</v>
      </c>
      <c r="R1805">
        <v>1</v>
      </c>
      <c r="S1805" t="s">
        <v>24</v>
      </c>
    </row>
    <row r="1806" spans="1:19" x14ac:dyDescent="0.25">
      <c r="A1806">
        <v>11805</v>
      </c>
      <c r="B1806">
        <v>46</v>
      </c>
      <c r="C1806" t="s">
        <v>31</v>
      </c>
      <c r="D1806" t="s">
        <v>26</v>
      </c>
      <c r="E1806" t="s">
        <v>33</v>
      </c>
      <c r="F1806" t="s">
        <v>39</v>
      </c>
      <c r="G1806" t="s">
        <v>30</v>
      </c>
      <c r="H1806">
        <v>43121</v>
      </c>
      <c r="I1806">
        <v>35222</v>
      </c>
      <c r="J1806">
        <v>20</v>
      </c>
      <c r="K1806">
        <v>3</v>
      </c>
      <c r="L1806">
        <v>3</v>
      </c>
      <c r="M1806" t="s">
        <v>25</v>
      </c>
      <c r="N1806">
        <v>3</v>
      </c>
      <c r="O1806">
        <v>39</v>
      </c>
      <c r="P1806">
        <v>59</v>
      </c>
      <c r="Q1806">
        <v>3</v>
      </c>
      <c r="R1806">
        <v>2</v>
      </c>
      <c r="S1806" t="s">
        <v>25</v>
      </c>
    </row>
    <row r="1807" spans="1:19" x14ac:dyDescent="0.25">
      <c r="A1807">
        <v>11806</v>
      </c>
      <c r="B1807">
        <v>45</v>
      </c>
      <c r="C1807" t="s">
        <v>19</v>
      </c>
      <c r="D1807" t="s">
        <v>41</v>
      </c>
      <c r="E1807" t="s">
        <v>27</v>
      </c>
      <c r="F1807" t="s">
        <v>39</v>
      </c>
      <c r="G1807" t="s">
        <v>30</v>
      </c>
      <c r="H1807">
        <v>81497</v>
      </c>
      <c r="I1807">
        <v>5221</v>
      </c>
      <c r="J1807">
        <v>10</v>
      </c>
      <c r="K1807">
        <v>13</v>
      </c>
      <c r="L1807">
        <v>3</v>
      </c>
      <c r="M1807" t="s">
        <v>24</v>
      </c>
      <c r="N1807">
        <v>1</v>
      </c>
      <c r="O1807">
        <v>10</v>
      </c>
      <c r="P1807">
        <v>17</v>
      </c>
      <c r="Q1807">
        <v>2</v>
      </c>
      <c r="R1807">
        <v>3</v>
      </c>
      <c r="S1807" t="s">
        <v>24</v>
      </c>
    </row>
    <row r="1808" spans="1:19" x14ac:dyDescent="0.25">
      <c r="A1808">
        <v>11807</v>
      </c>
      <c r="B1808">
        <v>47</v>
      </c>
      <c r="C1808" t="s">
        <v>31</v>
      </c>
      <c r="D1808" t="s">
        <v>41</v>
      </c>
      <c r="E1808" t="s">
        <v>36</v>
      </c>
      <c r="F1808" t="s">
        <v>39</v>
      </c>
      <c r="G1808" t="s">
        <v>38</v>
      </c>
      <c r="H1808">
        <v>56023</v>
      </c>
      <c r="I1808">
        <v>33321</v>
      </c>
      <c r="J1808">
        <v>11</v>
      </c>
      <c r="K1808">
        <v>11</v>
      </c>
      <c r="L1808">
        <v>3</v>
      </c>
      <c r="M1808" t="s">
        <v>25</v>
      </c>
      <c r="N1808">
        <v>4</v>
      </c>
      <c r="O1808">
        <v>19</v>
      </c>
      <c r="P1808">
        <v>26</v>
      </c>
      <c r="Q1808">
        <v>3</v>
      </c>
      <c r="R1808">
        <v>3</v>
      </c>
      <c r="S1808" t="s">
        <v>25</v>
      </c>
    </row>
    <row r="1809" spans="1:19" x14ac:dyDescent="0.25">
      <c r="A1809">
        <v>11808</v>
      </c>
      <c r="B1809">
        <v>31</v>
      </c>
      <c r="C1809" t="s">
        <v>19</v>
      </c>
      <c r="D1809" t="s">
        <v>20</v>
      </c>
      <c r="E1809" t="s">
        <v>36</v>
      </c>
      <c r="F1809" t="s">
        <v>22</v>
      </c>
      <c r="G1809" t="s">
        <v>38</v>
      </c>
      <c r="H1809">
        <v>55252</v>
      </c>
      <c r="I1809">
        <v>27945</v>
      </c>
      <c r="J1809">
        <v>2</v>
      </c>
      <c r="K1809">
        <v>11</v>
      </c>
      <c r="L1809">
        <v>2</v>
      </c>
      <c r="M1809" t="s">
        <v>25</v>
      </c>
      <c r="N1809">
        <v>4</v>
      </c>
      <c r="O1809">
        <v>17</v>
      </c>
      <c r="P1809">
        <v>42</v>
      </c>
      <c r="Q1809">
        <v>4</v>
      </c>
      <c r="R1809">
        <v>3</v>
      </c>
      <c r="S1809" t="s">
        <v>25</v>
      </c>
    </row>
    <row r="1810" spans="1:19" x14ac:dyDescent="0.25">
      <c r="A1810">
        <v>11809</v>
      </c>
      <c r="B1810">
        <v>29</v>
      </c>
      <c r="C1810" t="s">
        <v>19</v>
      </c>
      <c r="D1810" t="s">
        <v>32</v>
      </c>
      <c r="E1810" t="s">
        <v>36</v>
      </c>
      <c r="F1810" t="s">
        <v>22</v>
      </c>
      <c r="G1810" t="s">
        <v>38</v>
      </c>
      <c r="H1810">
        <v>57533</v>
      </c>
      <c r="I1810">
        <v>28911</v>
      </c>
      <c r="J1810">
        <v>8</v>
      </c>
      <c r="K1810">
        <v>14</v>
      </c>
      <c r="L1810">
        <v>4</v>
      </c>
      <c r="M1810" t="s">
        <v>25</v>
      </c>
      <c r="N1810">
        <v>2</v>
      </c>
      <c r="O1810">
        <v>9</v>
      </c>
      <c r="P1810">
        <v>47</v>
      </c>
      <c r="Q1810">
        <v>2</v>
      </c>
      <c r="R1810">
        <v>3</v>
      </c>
      <c r="S1810" t="s">
        <v>25</v>
      </c>
    </row>
    <row r="1811" spans="1:19" x14ac:dyDescent="0.25">
      <c r="A1811">
        <v>11810</v>
      </c>
      <c r="B1811">
        <v>51</v>
      </c>
      <c r="C1811" t="s">
        <v>31</v>
      </c>
      <c r="D1811" t="s">
        <v>32</v>
      </c>
      <c r="E1811" t="s">
        <v>33</v>
      </c>
      <c r="F1811" t="s">
        <v>37</v>
      </c>
      <c r="G1811" t="s">
        <v>30</v>
      </c>
      <c r="H1811">
        <v>39171</v>
      </c>
      <c r="I1811">
        <v>9236</v>
      </c>
      <c r="J1811">
        <v>9</v>
      </c>
      <c r="K1811">
        <v>7</v>
      </c>
      <c r="L1811">
        <v>4</v>
      </c>
      <c r="M1811" t="s">
        <v>25</v>
      </c>
      <c r="N1811">
        <v>1</v>
      </c>
      <c r="O1811">
        <v>17</v>
      </c>
      <c r="P1811">
        <v>31</v>
      </c>
      <c r="Q1811">
        <v>4</v>
      </c>
      <c r="R1811">
        <v>1</v>
      </c>
      <c r="S1811" t="s">
        <v>25</v>
      </c>
    </row>
    <row r="1812" spans="1:19" x14ac:dyDescent="0.25">
      <c r="A1812">
        <v>11811</v>
      </c>
      <c r="B1812">
        <v>25</v>
      </c>
      <c r="C1812" t="s">
        <v>31</v>
      </c>
      <c r="D1812" t="s">
        <v>20</v>
      </c>
      <c r="E1812" t="s">
        <v>27</v>
      </c>
      <c r="F1812" t="s">
        <v>39</v>
      </c>
      <c r="G1812" t="s">
        <v>30</v>
      </c>
      <c r="H1812">
        <v>77022</v>
      </c>
      <c r="I1812">
        <v>16473</v>
      </c>
      <c r="J1812">
        <v>15</v>
      </c>
      <c r="K1812">
        <v>0</v>
      </c>
      <c r="L1812">
        <v>3</v>
      </c>
      <c r="M1812" t="s">
        <v>24</v>
      </c>
      <c r="N1812">
        <v>3</v>
      </c>
      <c r="O1812">
        <v>14</v>
      </c>
      <c r="P1812">
        <v>23</v>
      </c>
      <c r="Q1812">
        <v>3</v>
      </c>
      <c r="R1812">
        <v>4</v>
      </c>
      <c r="S1812" t="s">
        <v>25</v>
      </c>
    </row>
    <row r="1813" spans="1:19" x14ac:dyDescent="0.25">
      <c r="A1813">
        <v>11812</v>
      </c>
      <c r="B1813">
        <v>20</v>
      </c>
      <c r="C1813" t="s">
        <v>31</v>
      </c>
      <c r="D1813" t="s">
        <v>26</v>
      </c>
      <c r="E1813" t="s">
        <v>21</v>
      </c>
      <c r="F1813" t="s">
        <v>39</v>
      </c>
      <c r="G1813" t="s">
        <v>38</v>
      </c>
      <c r="H1813">
        <v>98765</v>
      </c>
      <c r="I1813">
        <v>48995</v>
      </c>
      <c r="J1813">
        <v>15</v>
      </c>
      <c r="K1813">
        <v>5</v>
      </c>
      <c r="L1813">
        <v>5</v>
      </c>
      <c r="M1813" t="s">
        <v>25</v>
      </c>
      <c r="N1813">
        <v>1</v>
      </c>
      <c r="O1813">
        <v>39</v>
      </c>
      <c r="P1813">
        <v>56</v>
      </c>
      <c r="Q1813">
        <v>2</v>
      </c>
      <c r="R1813">
        <v>2</v>
      </c>
      <c r="S1813" t="s">
        <v>25</v>
      </c>
    </row>
    <row r="1814" spans="1:19" x14ac:dyDescent="0.25">
      <c r="A1814">
        <v>11813</v>
      </c>
      <c r="B1814">
        <v>21</v>
      </c>
      <c r="C1814" t="s">
        <v>19</v>
      </c>
      <c r="D1814" t="s">
        <v>20</v>
      </c>
      <c r="E1814" t="s">
        <v>33</v>
      </c>
      <c r="F1814" t="s">
        <v>22</v>
      </c>
      <c r="G1814" t="s">
        <v>30</v>
      </c>
      <c r="H1814">
        <v>36590</v>
      </c>
      <c r="I1814">
        <v>48198</v>
      </c>
      <c r="J1814">
        <v>3</v>
      </c>
      <c r="K1814">
        <v>3</v>
      </c>
      <c r="L1814">
        <v>4</v>
      </c>
      <c r="M1814" t="s">
        <v>25</v>
      </c>
      <c r="N1814">
        <v>4</v>
      </c>
      <c r="O1814">
        <v>5</v>
      </c>
      <c r="P1814">
        <v>7</v>
      </c>
      <c r="Q1814">
        <v>3</v>
      </c>
      <c r="R1814">
        <v>1</v>
      </c>
      <c r="S1814" t="s">
        <v>25</v>
      </c>
    </row>
    <row r="1815" spans="1:19" x14ac:dyDescent="0.25">
      <c r="A1815">
        <v>11814</v>
      </c>
      <c r="B1815">
        <v>48</v>
      </c>
      <c r="C1815" t="s">
        <v>19</v>
      </c>
      <c r="D1815" t="s">
        <v>41</v>
      </c>
      <c r="E1815" t="s">
        <v>27</v>
      </c>
      <c r="F1815" t="s">
        <v>22</v>
      </c>
      <c r="G1815" t="s">
        <v>30</v>
      </c>
      <c r="H1815">
        <v>70059</v>
      </c>
      <c r="I1815">
        <v>18970</v>
      </c>
      <c r="J1815">
        <v>3</v>
      </c>
      <c r="K1815">
        <v>12</v>
      </c>
      <c r="L1815">
        <v>5</v>
      </c>
      <c r="M1815" t="s">
        <v>25</v>
      </c>
      <c r="N1815">
        <v>1</v>
      </c>
      <c r="O1815">
        <v>23</v>
      </c>
      <c r="P1815">
        <v>7</v>
      </c>
      <c r="Q1815">
        <v>1</v>
      </c>
      <c r="R1815">
        <v>1</v>
      </c>
      <c r="S1815" t="s">
        <v>25</v>
      </c>
    </row>
    <row r="1816" spans="1:19" x14ac:dyDescent="0.25">
      <c r="A1816">
        <v>11815</v>
      </c>
      <c r="B1816">
        <v>54</v>
      </c>
      <c r="C1816" t="s">
        <v>19</v>
      </c>
      <c r="D1816" t="s">
        <v>28</v>
      </c>
      <c r="E1816" t="s">
        <v>36</v>
      </c>
      <c r="F1816" t="s">
        <v>35</v>
      </c>
      <c r="G1816" t="s">
        <v>30</v>
      </c>
      <c r="H1816">
        <v>45764</v>
      </c>
      <c r="I1816">
        <v>21422</v>
      </c>
      <c r="J1816">
        <v>10</v>
      </c>
      <c r="K1816">
        <v>5</v>
      </c>
      <c r="L1816">
        <v>3</v>
      </c>
      <c r="M1816" t="s">
        <v>25</v>
      </c>
      <c r="N1816">
        <v>4</v>
      </c>
      <c r="O1816">
        <v>3</v>
      </c>
      <c r="P1816">
        <v>56</v>
      </c>
      <c r="Q1816">
        <v>2</v>
      </c>
      <c r="R1816">
        <v>3</v>
      </c>
      <c r="S1816" t="s">
        <v>25</v>
      </c>
    </row>
    <row r="1817" spans="1:19" x14ac:dyDescent="0.25">
      <c r="A1817">
        <v>11816</v>
      </c>
      <c r="B1817">
        <v>43</v>
      </c>
      <c r="C1817" t="s">
        <v>19</v>
      </c>
      <c r="D1817" t="s">
        <v>20</v>
      </c>
      <c r="E1817" t="s">
        <v>21</v>
      </c>
      <c r="F1817" t="s">
        <v>39</v>
      </c>
      <c r="G1817" t="s">
        <v>38</v>
      </c>
      <c r="H1817">
        <v>108556</v>
      </c>
      <c r="I1817">
        <v>23732</v>
      </c>
      <c r="J1817">
        <v>4</v>
      </c>
      <c r="K1817">
        <v>1</v>
      </c>
      <c r="L1817">
        <v>4</v>
      </c>
      <c r="M1817" t="s">
        <v>24</v>
      </c>
      <c r="N1817">
        <v>3</v>
      </c>
      <c r="O1817">
        <v>20</v>
      </c>
      <c r="P1817">
        <v>13</v>
      </c>
      <c r="Q1817">
        <v>2</v>
      </c>
      <c r="R1817">
        <v>2</v>
      </c>
      <c r="S1817" t="s">
        <v>25</v>
      </c>
    </row>
    <row r="1818" spans="1:19" x14ac:dyDescent="0.25">
      <c r="A1818">
        <v>11817</v>
      </c>
      <c r="B1818">
        <v>41</v>
      </c>
      <c r="C1818" t="s">
        <v>19</v>
      </c>
      <c r="D1818" t="s">
        <v>34</v>
      </c>
      <c r="E1818" t="s">
        <v>33</v>
      </c>
      <c r="F1818" t="s">
        <v>39</v>
      </c>
      <c r="G1818" t="s">
        <v>30</v>
      </c>
      <c r="H1818">
        <v>31110</v>
      </c>
      <c r="I1818">
        <v>2877</v>
      </c>
      <c r="J1818">
        <v>15</v>
      </c>
      <c r="K1818">
        <v>14</v>
      </c>
      <c r="L1818">
        <v>3</v>
      </c>
      <c r="M1818" t="s">
        <v>24</v>
      </c>
      <c r="N1818">
        <v>2</v>
      </c>
      <c r="O1818">
        <v>10</v>
      </c>
      <c r="P1818">
        <v>20</v>
      </c>
      <c r="Q1818">
        <v>3</v>
      </c>
      <c r="R1818">
        <v>2</v>
      </c>
      <c r="S1818" t="s">
        <v>25</v>
      </c>
    </row>
    <row r="1819" spans="1:19" x14ac:dyDescent="0.25">
      <c r="A1819">
        <v>11818</v>
      </c>
      <c r="B1819">
        <v>55</v>
      </c>
      <c r="C1819" t="s">
        <v>19</v>
      </c>
      <c r="D1819" t="s">
        <v>34</v>
      </c>
      <c r="E1819" t="s">
        <v>21</v>
      </c>
      <c r="F1819" t="s">
        <v>37</v>
      </c>
      <c r="G1819" t="s">
        <v>30</v>
      </c>
      <c r="H1819">
        <v>91095</v>
      </c>
      <c r="I1819">
        <v>19167</v>
      </c>
      <c r="J1819">
        <v>7</v>
      </c>
      <c r="K1819">
        <v>2</v>
      </c>
      <c r="L1819">
        <v>3</v>
      </c>
      <c r="M1819" t="s">
        <v>25</v>
      </c>
      <c r="N1819">
        <v>2</v>
      </c>
      <c r="O1819">
        <v>1</v>
      </c>
      <c r="P1819">
        <v>57</v>
      </c>
      <c r="Q1819">
        <v>4</v>
      </c>
      <c r="R1819">
        <v>4</v>
      </c>
      <c r="S1819" t="s">
        <v>25</v>
      </c>
    </row>
    <row r="1820" spans="1:19" x14ac:dyDescent="0.25">
      <c r="A1820">
        <v>11819</v>
      </c>
      <c r="B1820">
        <v>55</v>
      </c>
      <c r="C1820" t="s">
        <v>19</v>
      </c>
      <c r="D1820" t="s">
        <v>41</v>
      </c>
      <c r="E1820" t="s">
        <v>21</v>
      </c>
      <c r="F1820" t="s">
        <v>35</v>
      </c>
      <c r="G1820" t="s">
        <v>38</v>
      </c>
      <c r="H1820">
        <v>102028</v>
      </c>
      <c r="I1820">
        <v>42319</v>
      </c>
      <c r="J1820">
        <v>13</v>
      </c>
      <c r="K1820">
        <v>10</v>
      </c>
      <c r="L1820">
        <v>4</v>
      </c>
      <c r="M1820" t="s">
        <v>25</v>
      </c>
      <c r="N1820">
        <v>3</v>
      </c>
      <c r="O1820">
        <v>1</v>
      </c>
      <c r="P1820">
        <v>51</v>
      </c>
      <c r="Q1820">
        <v>2</v>
      </c>
      <c r="R1820">
        <v>2</v>
      </c>
      <c r="S1820" t="s">
        <v>24</v>
      </c>
    </row>
    <row r="1821" spans="1:19" x14ac:dyDescent="0.25">
      <c r="A1821">
        <v>11820</v>
      </c>
      <c r="B1821">
        <v>39</v>
      </c>
      <c r="C1821" t="s">
        <v>31</v>
      </c>
      <c r="D1821" t="s">
        <v>20</v>
      </c>
      <c r="E1821" t="s">
        <v>33</v>
      </c>
      <c r="F1821" t="s">
        <v>35</v>
      </c>
      <c r="G1821" t="s">
        <v>23</v>
      </c>
      <c r="H1821">
        <v>25181</v>
      </c>
      <c r="I1821">
        <v>10939</v>
      </c>
      <c r="J1821">
        <v>24</v>
      </c>
      <c r="K1821">
        <v>2</v>
      </c>
      <c r="L1821">
        <v>2</v>
      </c>
      <c r="M1821" t="s">
        <v>25</v>
      </c>
      <c r="N1821">
        <v>3</v>
      </c>
      <c r="O1821">
        <v>17</v>
      </c>
      <c r="P1821">
        <v>20</v>
      </c>
      <c r="Q1821">
        <v>1</v>
      </c>
      <c r="R1821">
        <v>2</v>
      </c>
      <c r="S1821" t="s">
        <v>24</v>
      </c>
    </row>
    <row r="1822" spans="1:19" x14ac:dyDescent="0.25">
      <c r="A1822">
        <v>11821</v>
      </c>
      <c r="B1822">
        <v>48</v>
      </c>
      <c r="C1822" t="s">
        <v>31</v>
      </c>
      <c r="D1822" t="s">
        <v>34</v>
      </c>
      <c r="E1822" t="s">
        <v>27</v>
      </c>
      <c r="F1822" t="s">
        <v>39</v>
      </c>
      <c r="G1822" t="s">
        <v>30</v>
      </c>
      <c r="H1822">
        <v>64412</v>
      </c>
      <c r="I1822">
        <v>30493</v>
      </c>
      <c r="J1822">
        <v>23</v>
      </c>
      <c r="K1822">
        <v>11</v>
      </c>
      <c r="L1822">
        <v>2</v>
      </c>
      <c r="M1822" t="s">
        <v>25</v>
      </c>
      <c r="N1822">
        <v>3</v>
      </c>
      <c r="O1822">
        <v>14</v>
      </c>
      <c r="P1822">
        <v>59</v>
      </c>
      <c r="Q1822">
        <v>2</v>
      </c>
      <c r="R1822">
        <v>3</v>
      </c>
      <c r="S1822" t="s">
        <v>25</v>
      </c>
    </row>
    <row r="1823" spans="1:19" x14ac:dyDescent="0.25">
      <c r="A1823">
        <v>11822</v>
      </c>
      <c r="B1823">
        <v>28</v>
      </c>
      <c r="C1823" t="s">
        <v>19</v>
      </c>
      <c r="D1823" t="s">
        <v>41</v>
      </c>
      <c r="E1823" t="s">
        <v>27</v>
      </c>
      <c r="F1823" t="s">
        <v>39</v>
      </c>
      <c r="G1823" t="s">
        <v>38</v>
      </c>
      <c r="H1823">
        <v>74598</v>
      </c>
      <c r="I1823">
        <v>37595</v>
      </c>
      <c r="J1823">
        <v>11</v>
      </c>
      <c r="K1823">
        <v>14</v>
      </c>
      <c r="L1823">
        <v>2</v>
      </c>
      <c r="M1823" t="s">
        <v>25</v>
      </c>
      <c r="N1823">
        <v>3</v>
      </c>
      <c r="O1823">
        <v>19</v>
      </c>
      <c r="P1823">
        <v>28</v>
      </c>
      <c r="Q1823">
        <v>3</v>
      </c>
      <c r="R1823">
        <v>4</v>
      </c>
      <c r="S1823" t="s">
        <v>25</v>
      </c>
    </row>
    <row r="1824" spans="1:19" x14ac:dyDescent="0.25">
      <c r="A1824">
        <v>11823</v>
      </c>
      <c r="B1824">
        <v>58</v>
      </c>
      <c r="C1824" t="s">
        <v>31</v>
      </c>
      <c r="D1824" t="s">
        <v>34</v>
      </c>
      <c r="E1824" t="s">
        <v>40</v>
      </c>
      <c r="F1824" t="s">
        <v>35</v>
      </c>
      <c r="G1824" t="s">
        <v>30</v>
      </c>
      <c r="H1824">
        <v>11398</v>
      </c>
      <c r="I1824">
        <v>7210</v>
      </c>
      <c r="J1824">
        <v>19</v>
      </c>
      <c r="K1824">
        <v>3</v>
      </c>
      <c r="L1824">
        <v>3</v>
      </c>
      <c r="M1824" t="s">
        <v>25</v>
      </c>
      <c r="N1824">
        <v>3</v>
      </c>
      <c r="O1824">
        <v>28</v>
      </c>
      <c r="P1824">
        <v>29</v>
      </c>
      <c r="Q1824">
        <v>2</v>
      </c>
      <c r="R1824">
        <v>3</v>
      </c>
      <c r="S1824" t="s">
        <v>25</v>
      </c>
    </row>
    <row r="1825" spans="1:19" x14ac:dyDescent="0.25">
      <c r="A1825">
        <v>11824</v>
      </c>
      <c r="B1825">
        <v>48</v>
      </c>
      <c r="C1825" t="s">
        <v>19</v>
      </c>
      <c r="D1825" t="s">
        <v>20</v>
      </c>
      <c r="E1825" t="s">
        <v>36</v>
      </c>
      <c r="F1825" t="s">
        <v>39</v>
      </c>
      <c r="G1825" t="s">
        <v>30</v>
      </c>
      <c r="H1825">
        <v>60631</v>
      </c>
      <c r="I1825">
        <v>7898</v>
      </c>
      <c r="J1825">
        <v>6</v>
      </c>
      <c r="K1825">
        <v>0</v>
      </c>
      <c r="L1825">
        <v>3</v>
      </c>
      <c r="M1825" t="s">
        <v>25</v>
      </c>
      <c r="N1825">
        <v>3</v>
      </c>
      <c r="O1825">
        <v>32</v>
      </c>
      <c r="P1825">
        <v>51</v>
      </c>
      <c r="Q1825">
        <v>2</v>
      </c>
      <c r="R1825">
        <v>3</v>
      </c>
      <c r="S1825" t="s">
        <v>25</v>
      </c>
    </row>
    <row r="1826" spans="1:19" x14ac:dyDescent="0.25">
      <c r="A1826">
        <v>11825</v>
      </c>
      <c r="B1826">
        <v>53</v>
      </c>
      <c r="C1826" t="s">
        <v>19</v>
      </c>
      <c r="D1826" t="s">
        <v>20</v>
      </c>
      <c r="E1826" t="s">
        <v>33</v>
      </c>
      <c r="F1826" t="s">
        <v>39</v>
      </c>
      <c r="G1826" t="s">
        <v>38</v>
      </c>
      <c r="H1826">
        <v>37953</v>
      </c>
      <c r="I1826">
        <v>2366</v>
      </c>
      <c r="J1826">
        <v>22</v>
      </c>
      <c r="K1826">
        <v>4</v>
      </c>
      <c r="L1826">
        <v>3</v>
      </c>
      <c r="M1826" t="s">
        <v>25</v>
      </c>
      <c r="N1826">
        <v>4</v>
      </c>
      <c r="O1826">
        <v>26</v>
      </c>
      <c r="P1826">
        <v>22</v>
      </c>
      <c r="Q1826">
        <v>3</v>
      </c>
      <c r="R1826">
        <v>1</v>
      </c>
      <c r="S1826" t="s">
        <v>25</v>
      </c>
    </row>
    <row r="1827" spans="1:19" x14ac:dyDescent="0.25">
      <c r="A1827">
        <v>11826</v>
      </c>
      <c r="B1827">
        <v>54</v>
      </c>
      <c r="C1827" t="s">
        <v>19</v>
      </c>
      <c r="D1827" t="s">
        <v>41</v>
      </c>
      <c r="E1827" t="s">
        <v>33</v>
      </c>
      <c r="F1827" t="s">
        <v>37</v>
      </c>
      <c r="G1827" t="s">
        <v>38</v>
      </c>
      <c r="H1827">
        <v>38885</v>
      </c>
      <c r="I1827">
        <v>27230</v>
      </c>
      <c r="J1827">
        <v>18</v>
      </c>
      <c r="K1827">
        <v>12</v>
      </c>
      <c r="L1827">
        <v>3</v>
      </c>
      <c r="M1827" t="s">
        <v>25</v>
      </c>
      <c r="N1827">
        <v>2</v>
      </c>
      <c r="O1827">
        <v>5</v>
      </c>
      <c r="P1827">
        <v>45</v>
      </c>
      <c r="Q1827">
        <v>3</v>
      </c>
      <c r="R1827">
        <v>3</v>
      </c>
      <c r="S1827" t="s">
        <v>24</v>
      </c>
    </row>
    <row r="1828" spans="1:19" x14ac:dyDescent="0.25">
      <c r="A1828">
        <v>11827</v>
      </c>
      <c r="B1828">
        <v>38</v>
      </c>
      <c r="C1828" t="s">
        <v>31</v>
      </c>
      <c r="D1828" t="s">
        <v>20</v>
      </c>
      <c r="E1828" t="s">
        <v>27</v>
      </c>
      <c r="F1828" t="s">
        <v>39</v>
      </c>
      <c r="G1828" t="s">
        <v>38</v>
      </c>
      <c r="H1828">
        <v>60230</v>
      </c>
      <c r="I1828">
        <v>49535</v>
      </c>
      <c r="J1828">
        <v>9</v>
      </c>
      <c r="K1828">
        <v>8</v>
      </c>
      <c r="L1828">
        <v>3</v>
      </c>
      <c r="M1828" t="s">
        <v>25</v>
      </c>
      <c r="N1828">
        <v>4</v>
      </c>
      <c r="O1828">
        <v>36</v>
      </c>
      <c r="P1828">
        <v>31</v>
      </c>
      <c r="Q1828">
        <v>2</v>
      </c>
      <c r="R1828">
        <v>3</v>
      </c>
      <c r="S1828" t="s">
        <v>25</v>
      </c>
    </row>
    <row r="1829" spans="1:19" x14ac:dyDescent="0.25">
      <c r="A1829">
        <v>11828</v>
      </c>
      <c r="B1829">
        <v>47</v>
      </c>
      <c r="C1829" t="s">
        <v>19</v>
      </c>
      <c r="D1829" t="s">
        <v>20</v>
      </c>
      <c r="E1829" t="s">
        <v>33</v>
      </c>
      <c r="F1829" t="s">
        <v>39</v>
      </c>
      <c r="G1829" t="s">
        <v>30</v>
      </c>
      <c r="H1829">
        <v>35620</v>
      </c>
      <c r="I1829">
        <v>7768</v>
      </c>
      <c r="J1829">
        <v>19</v>
      </c>
      <c r="K1829">
        <v>7</v>
      </c>
      <c r="L1829">
        <v>3</v>
      </c>
      <c r="M1829" t="s">
        <v>25</v>
      </c>
      <c r="N1829">
        <v>3</v>
      </c>
      <c r="O1829">
        <v>27</v>
      </c>
      <c r="P1829">
        <v>30</v>
      </c>
      <c r="Q1829">
        <v>3</v>
      </c>
      <c r="R1829">
        <v>3</v>
      </c>
      <c r="S1829" t="s">
        <v>25</v>
      </c>
    </row>
    <row r="1830" spans="1:19" x14ac:dyDescent="0.25">
      <c r="A1830">
        <v>11829</v>
      </c>
      <c r="B1830">
        <v>20</v>
      </c>
      <c r="C1830" t="s">
        <v>19</v>
      </c>
      <c r="D1830" t="s">
        <v>20</v>
      </c>
      <c r="E1830" t="s">
        <v>29</v>
      </c>
      <c r="F1830" t="s">
        <v>39</v>
      </c>
      <c r="G1830" t="s">
        <v>30</v>
      </c>
      <c r="H1830">
        <v>157891</v>
      </c>
      <c r="I1830">
        <v>18136</v>
      </c>
      <c r="J1830">
        <v>21</v>
      </c>
      <c r="K1830">
        <v>0</v>
      </c>
      <c r="L1830">
        <v>3</v>
      </c>
      <c r="M1830" t="s">
        <v>25</v>
      </c>
      <c r="N1830">
        <v>3</v>
      </c>
      <c r="O1830">
        <v>22</v>
      </c>
      <c r="P1830">
        <v>43</v>
      </c>
      <c r="Q1830">
        <v>2</v>
      </c>
      <c r="R1830">
        <v>4</v>
      </c>
      <c r="S1830" t="s">
        <v>24</v>
      </c>
    </row>
    <row r="1831" spans="1:19" x14ac:dyDescent="0.25">
      <c r="A1831">
        <v>11830</v>
      </c>
      <c r="B1831">
        <v>39</v>
      </c>
      <c r="C1831" t="s">
        <v>19</v>
      </c>
      <c r="D1831" t="s">
        <v>41</v>
      </c>
      <c r="E1831" t="s">
        <v>40</v>
      </c>
      <c r="F1831" t="s">
        <v>39</v>
      </c>
      <c r="G1831" t="s">
        <v>38</v>
      </c>
      <c r="H1831">
        <v>10982</v>
      </c>
      <c r="I1831">
        <v>31900</v>
      </c>
      <c r="J1831">
        <v>10</v>
      </c>
      <c r="K1831">
        <v>1</v>
      </c>
      <c r="L1831">
        <v>3</v>
      </c>
      <c r="M1831" t="s">
        <v>25</v>
      </c>
      <c r="N1831">
        <v>2</v>
      </c>
      <c r="O1831">
        <v>7</v>
      </c>
      <c r="P1831">
        <v>31</v>
      </c>
      <c r="Q1831">
        <v>4</v>
      </c>
      <c r="R1831">
        <v>1</v>
      </c>
      <c r="S1831" t="s">
        <v>25</v>
      </c>
    </row>
    <row r="1832" spans="1:19" x14ac:dyDescent="0.25">
      <c r="A1832">
        <v>11831</v>
      </c>
      <c r="B1832">
        <v>59</v>
      </c>
      <c r="C1832" t="s">
        <v>19</v>
      </c>
      <c r="D1832" t="s">
        <v>20</v>
      </c>
      <c r="E1832" t="s">
        <v>33</v>
      </c>
      <c r="F1832" t="s">
        <v>35</v>
      </c>
      <c r="G1832" t="s">
        <v>30</v>
      </c>
      <c r="H1832">
        <v>35444</v>
      </c>
      <c r="I1832">
        <v>6663</v>
      </c>
      <c r="J1832">
        <v>13</v>
      </c>
      <c r="K1832">
        <v>13</v>
      </c>
      <c r="L1832">
        <v>4</v>
      </c>
      <c r="M1832" t="s">
        <v>25</v>
      </c>
      <c r="N1832">
        <v>1</v>
      </c>
      <c r="O1832">
        <v>15</v>
      </c>
      <c r="P1832">
        <v>55</v>
      </c>
      <c r="Q1832">
        <v>3</v>
      </c>
      <c r="R1832">
        <v>2</v>
      </c>
      <c r="S1832" t="s">
        <v>25</v>
      </c>
    </row>
    <row r="1833" spans="1:19" x14ac:dyDescent="0.25">
      <c r="A1833">
        <v>11832</v>
      </c>
      <c r="B1833">
        <v>42</v>
      </c>
      <c r="C1833" t="s">
        <v>19</v>
      </c>
      <c r="D1833" t="s">
        <v>34</v>
      </c>
      <c r="E1833" t="s">
        <v>36</v>
      </c>
      <c r="F1833" t="s">
        <v>39</v>
      </c>
      <c r="G1833" t="s">
        <v>30</v>
      </c>
      <c r="H1833">
        <v>48630</v>
      </c>
      <c r="I1833">
        <v>1867</v>
      </c>
      <c r="J1833">
        <v>24</v>
      </c>
      <c r="K1833">
        <v>0</v>
      </c>
      <c r="L1833">
        <v>3</v>
      </c>
      <c r="M1833" t="s">
        <v>25</v>
      </c>
      <c r="N1833">
        <v>4</v>
      </c>
      <c r="O1833">
        <v>1</v>
      </c>
      <c r="P1833">
        <v>46</v>
      </c>
      <c r="Q1833">
        <v>3</v>
      </c>
      <c r="R1833">
        <v>1</v>
      </c>
      <c r="S1833" t="s">
        <v>25</v>
      </c>
    </row>
    <row r="1834" spans="1:19" x14ac:dyDescent="0.25">
      <c r="A1834">
        <v>11833</v>
      </c>
      <c r="B1834">
        <v>20</v>
      </c>
      <c r="C1834" t="s">
        <v>31</v>
      </c>
      <c r="D1834" t="s">
        <v>41</v>
      </c>
      <c r="E1834" t="s">
        <v>40</v>
      </c>
      <c r="F1834" t="s">
        <v>35</v>
      </c>
      <c r="G1834" t="s">
        <v>38</v>
      </c>
      <c r="H1834">
        <v>10108</v>
      </c>
      <c r="I1834">
        <v>38577</v>
      </c>
      <c r="J1834">
        <v>5</v>
      </c>
      <c r="K1834">
        <v>1</v>
      </c>
      <c r="L1834">
        <v>5</v>
      </c>
      <c r="M1834" t="s">
        <v>25</v>
      </c>
      <c r="N1834">
        <v>3</v>
      </c>
      <c r="O1834">
        <v>32</v>
      </c>
      <c r="P1834">
        <v>33</v>
      </c>
      <c r="Q1834">
        <v>2</v>
      </c>
      <c r="R1834">
        <v>1</v>
      </c>
      <c r="S1834" t="s">
        <v>25</v>
      </c>
    </row>
    <row r="1835" spans="1:19" x14ac:dyDescent="0.25">
      <c r="A1835">
        <v>11834</v>
      </c>
      <c r="B1835">
        <v>32</v>
      </c>
      <c r="C1835" t="s">
        <v>19</v>
      </c>
      <c r="D1835" t="s">
        <v>41</v>
      </c>
      <c r="E1835" t="s">
        <v>27</v>
      </c>
      <c r="F1835" t="s">
        <v>39</v>
      </c>
      <c r="G1835" t="s">
        <v>30</v>
      </c>
      <c r="H1835">
        <v>67827</v>
      </c>
      <c r="I1835">
        <v>37769</v>
      </c>
      <c r="J1835">
        <v>8</v>
      </c>
      <c r="K1835">
        <v>4</v>
      </c>
      <c r="L1835">
        <v>3</v>
      </c>
      <c r="M1835" t="s">
        <v>24</v>
      </c>
      <c r="N1835">
        <v>3</v>
      </c>
      <c r="O1835">
        <v>7</v>
      </c>
      <c r="P1835">
        <v>12</v>
      </c>
      <c r="Q1835">
        <v>3</v>
      </c>
      <c r="R1835">
        <v>3</v>
      </c>
      <c r="S1835" t="s">
        <v>25</v>
      </c>
    </row>
    <row r="1836" spans="1:19" x14ac:dyDescent="0.25">
      <c r="A1836">
        <v>11835</v>
      </c>
      <c r="B1836">
        <v>49</v>
      </c>
      <c r="C1836" t="s">
        <v>19</v>
      </c>
      <c r="D1836" t="s">
        <v>20</v>
      </c>
      <c r="E1836" t="s">
        <v>21</v>
      </c>
      <c r="F1836" t="s">
        <v>39</v>
      </c>
      <c r="G1836" t="s">
        <v>38</v>
      </c>
      <c r="H1836">
        <v>105468</v>
      </c>
      <c r="I1836">
        <v>13875</v>
      </c>
      <c r="J1836">
        <v>15</v>
      </c>
      <c r="K1836">
        <v>6</v>
      </c>
      <c r="L1836">
        <v>3</v>
      </c>
      <c r="M1836" t="s">
        <v>25</v>
      </c>
      <c r="N1836">
        <v>1</v>
      </c>
      <c r="O1836">
        <v>39</v>
      </c>
      <c r="P1836">
        <v>57</v>
      </c>
      <c r="Q1836">
        <v>3</v>
      </c>
      <c r="R1836">
        <v>3</v>
      </c>
      <c r="S1836" t="s">
        <v>25</v>
      </c>
    </row>
    <row r="1837" spans="1:19" x14ac:dyDescent="0.25">
      <c r="A1837">
        <v>11836</v>
      </c>
      <c r="B1837">
        <v>46</v>
      </c>
      <c r="C1837" t="s">
        <v>19</v>
      </c>
      <c r="D1837" t="s">
        <v>34</v>
      </c>
      <c r="E1837" t="s">
        <v>33</v>
      </c>
      <c r="F1837" t="s">
        <v>39</v>
      </c>
      <c r="G1837" t="s">
        <v>38</v>
      </c>
      <c r="H1837">
        <v>33810</v>
      </c>
      <c r="I1837">
        <v>12924</v>
      </c>
      <c r="J1837">
        <v>23</v>
      </c>
      <c r="K1837">
        <v>6</v>
      </c>
      <c r="L1837">
        <v>3</v>
      </c>
      <c r="M1837" t="s">
        <v>25</v>
      </c>
      <c r="N1837">
        <v>2</v>
      </c>
      <c r="O1837">
        <v>16</v>
      </c>
      <c r="P1837">
        <v>47</v>
      </c>
      <c r="Q1837">
        <v>4</v>
      </c>
      <c r="R1837">
        <v>1</v>
      </c>
      <c r="S1837" t="s">
        <v>25</v>
      </c>
    </row>
    <row r="1838" spans="1:19" x14ac:dyDescent="0.25">
      <c r="A1838">
        <v>11837</v>
      </c>
      <c r="B1838">
        <v>25</v>
      </c>
      <c r="C1838" t="s">
        <v>19</v>
      </c>
      <c r="D1838" t="s">
        <v>41</v>
      </c>
      <c r="E1838" t="s">
        <v>27</v>
      </c>
      <c r="F1838" t="s">
        <v>35</v>
      </c>
      <c r="G1838" t="s">
        <v>30</v>
      </c>
      <c r="H1838">
        <v>65183</v>
      </c>
      <c r="I1838">
        <v>45905</v>
      </c>
      <c r="J1838">
        <v>22</v>
      </c>
      <c r="K1838">
        <v>10</v>
      </c>
      <c r="L1838">
        <v>4</v>
      </c>
      <c r="M1838" t="s">
        <v>24</v>
      </c>
      <c r="N1838">
        <v>4</v>
      </c>
      <c r="O1838">
        <v>15</v>
      </c>
      <c r="P1838">
        <v>22</v>
      </c>
      <c r="Q1838">
        <v>3</v>
      </c>
      <c r="R1838">
        <v>3</v>
      </c>
      <c r="S1838" t="s">
        <v>25</v>
      </c>
    </row>
    <row r="1839" spans="1:19" x14ac:dyDescent="0.25">
      <c r="A1839">
        <v>11838</v>
      </c>
      <c r="B1839">
        <v>35</v>
      </c>
      <c r="C1839" t="s">
        <v>19</v>
      </c>
      <c r="D1839" t="s">
        <v>41</v>
      </c>
      <c r="E1839" t="s">
        <v>36</v>
      </c>
      <c r="F1839" t="s">
        <v>39</v>
      </c>
      <c r="G1839" t="s">
        <v>30</v>
      </c>
      <c r="H1839">
        <v>63997</v>
      </c>
      <c r="I1839">
        <v>2272</v>
      </c>
      <c r="J1839">
        <v>6</v>
      </c>
      <c r="K1839">
        <v>6</v>
      </c>
      <c r="L1839">
        <v>3</v>
      </c>
      <c r="M1839" t="s">
        <v>25</v>
      </c>
      <c r="N1839">
        <v>4</v>
      </c>
      <c r="O1839">
        <v>8</v>
      </c>
      <c r="P1839">
        <v>55</v>
      </c>
      <c r="Q1839">
        <v>4</v>
      </c>
      <c r="R1839">
        <v>3</v>
      </c>
      <c r="S1839" t="s">
        <v>25</v>
      </c>
    </row>
    <row r="1840" spans="1:19" x14ac:dyDescent="0.25">
      <c r="A1840">
        <v>11839</v>
      </c>
      <c r="B1840">
        <v>58</v>
      </c>
      <c r="C1840" t="s">
        <v>19</v>
      </c>
      <c r="D1840" t="s">
        <v>41</v>
      </c>
      <c r="E1840" t="s">
        <v>27</v>
      </c>
      <c r="F1840" t="s">
        <v>39</v>
      </c>
      <c r="G1840" t="s">
        <v>30</v>
      </c>
      <c r="H1840">
        <v>86884</v>
      </c>
      <c r="I1840">
        <v>6140</v>
      </c>
      <c r="J1840">
        <v>11</v>
      </c>
      <c r="K1840">
        <v>2</v>
      </c>
      <c r="L1840">
        <v>4</v>
      </c>
      <c r="M1840" t="s">
        <v>25</v>
      </c>
      <c r="N1840">
        <v>4</v>
      </c>
      <c r="O1840">
        <v>15</v>
      </c>
      <c r="P1840">
        <v>48</v>
      </c>
      <c r="Q1840">
        <v>3</v>
      </c>
      <c r="R1840">
        <v>4</v>
      </c>
      <c r="S1840" t="s">
        <v>25</v>
      </c>
    </row>
    <row r="1841" spans="1:19" x14ac:dyDescent="0.25">
      <c r="A1841">
        <v>11840</v>
      </c>
      <c r="B1841">
        <v>38</v>
      </c>
      <c r="C1841" t="s">
        <v>19</v>
      </c>
      <c r="D1841" t="s">
        <v>41</v>
      </c>
      <c r="E1841" t="s">
        <v>27</v>
      </c>
      <c r="F1841" t="s">
        <v>35</v>
      </c>
      <c r="G1841" t="s">
        <v>38</v>
      </c>
      <c r="H1841">
        <v>72850</v>
      </c>
      <c r="I1841">
        <v>25957</v>
      </c>
      <c r="J1841">
        <v>21</v>
      </c>
      <c r="K1841">
        <v>0</v>
      </c>
      <c r="L1841">
        <v>2</v>
      </c>
      <c r="M1841" t="s">
        <v>25</v>
      </c>
      <c r="N1841">
        <v>2</v>
      </c>
      <c r="O1841">
        <v>5</v>
      </c>
      <c r="P1841">
        <v>29</v>
      </c>
      <c r="Q1841">
        <v>4</v>
      </c>
      <c r="R1841">
        <v>1</v>
      </c>
      <c r="S1841" t="s">
        <v>25</v>
      </c>
    </row>
    <row r="1842" spans="1:19" x14ac:dyDescent="0.25">
      <c r="A1842">
        <v>11841</v>
      </c>
      <c r="B1842">
        <v>29</v>
      </c>
      <c r="C1842" t="s">
        <v>19</v>
      </c>
      <c r="D1842" t="s">
        <v>20</v>
      </c>
      <c r="E1842" t="s">
        <v>27</v>
      </c>
      <c r="F1842" t="s">
        <v>22</v>
      </c>
      <c r="G1842" t="s">
        <v>38</v>
      </c>
      <c r="H1842">
        <v>61514</v>
      </c>
      <c r="I1842">
        <v>14068</v>
      </c>
      <c r="J1842">
        <v>3</v>
      </c>
      <c r="K1842">
        <v>10</v>
      </c>
      <c r="L1842">
        <v>2</v>
      </c>
      <c r="M1842" t="s">
        <v>24</v>
      </c>
      <c r="N1842">
        <v>4</v>
      </c>
      <c r="O1842">
        <v>27</v>
      </c>
      <c r="P1842">
        <v>59</v>
      </c>
      <c r="Q1842">
        <v>3</v>
      </c>
      <c r="R1842">
        <v>4</v>
      </c>
      <c r="S1842" t="s">
        <v>25</v>
      </c>
    </row>
    <row r="1843" spans="1:19" x14ac:dyDescent="0.25">
      <c r="A1843">
        <v>11842</v>
      </c>
      <c r="B1843">
        <v>25</v>
      </c>
      <c r="C1843" t="s">
        <v>19</v>
      </c>
      <c r="D1843" t="s">
        <v>28</v>
      </c>
      <c r="E1843" t="s">
        <v>33</v>
      </c>
      <c r="F1843" t="s">
        <v>22</v>
      </c>
      <c r="G1843" t="s">
        <v>30</v>
      </c>
      <c r="H1843">
        <v>36408</v>
      </c>
      <c r="I1843">
        <v>15360</v>
      </c>
      <c r="J1843">
        <v>11</v>
      </c>
      <c r="K1843">
        <v>7</v>
      </c>
      <c r="L1843">
        <v>3</v>
      </c>
      <c r="M1843" t="s">
        <v>24</v>
      </c>
      <c r="N1843">
        <v>4</v>
      </c>
      <c r="O1843">
        <v>7</v>
      </c>
      <c r="P1843">
        <v>30</v>
      </c>
      <c r="Q1843">
        <v>2</v>
      </c>
      <c r="R1843">
        <v>1</v>
      </c>
      <c r="S1843" t="s">
        <v>25</v>
      </c>
    </row>
    <row r="1844" spans="1:19" x14ac:dyDescent="0.25">
      <c r="A1844">
        <v>11843</v>
      </c>
      <c r="B1844">
        <v>20</v>
      </c>
      <c r="C1844" t="s">
        <v>19</v>
      </c>
      <c r="D1844" t="s">
        <v>28</v>
      </c>
      <c r="E1844" t="s">
        <v>33</v>
      </c>
      <c r="F1844" t="s">
        <v>35</v>
      </c>
      <c r="G1844" t="s">
        <v>38</v>
      </c>
      <c r="H1844">
        <v>37855</v>
      </c>
      <c r="I1844">
        <v>43915</v>
      </c>
      <c r="J1844">
        <v>23</v>
      </c>
      <c r="K1844">
        <v>2</v>
      </c>
      <c r="L1844">
        <v>2</v>
      </c>
      <c r="M1844" t="s">
        <v>25</v>
      </c>
      <c r="N1844">
        <v>3</v>
      </c>
      <c r="O1844">
        <v>10</v>
      </c>
      <c r="P1844">
        <v>41</v>
      </c>
      <c r="Q1844">
        <v>1</v>
      </c>
      <c r="R1844">
        <v>3</v>
      </c>
      <c r="S1844" t="s">
        <v>25</v>
      </c>
    </row>
    <row r="1845" spans="1:19" x14ac:dyDescent="0.25">
      <c r="A1845">
        <v>11844</v>
      </c>
      <c r="B1845">
        <v>42</v>
      </c>
      <c r="C1845" t="s">
        <v>31</v>
      </c>
      <c r="D1845" t="s">
        <v>41</v>
      </c>
      <c r="E1845" t="s">
        <v>36</v>
      </c>
      <c r="F1845" t="s">
        <v>39</v>
      </c>
      <c r="G1845" t="s">
        <v>30</v>
      </c>
      <c r="H1845">
        <v>64558</v>
      </c>
      <c r="I1845">
        <v>48055</v>
      </c>
      <c r="J1845">
        <v>20</v>
      </c>
      <c r="K1845">
        <v>2</v>
      </c>
      <c r="L1845">
        <v>3</v>
      </c>
      <c r="M1845" t="s">
        <v>25</v>
      </c>
      <c r="N1845">
        <v>3</v>
      </c>
      <c r="O1845">
        <v>33</v>
      </c>
      <c r="P1845">
        <v>52</v>
      </c>
      <c r="Q1845">
        <v>3</v>
      </c>
      <c r="R1845">
        <v>3</v>
      </c>
      <c r="S1845" t="s">
        <v>25</v>
      </c>
    </row>
    <row r="1846" spans="1:19" x14ac:dyDescent="0.25">
      <c r="A1846">
        <v>11845</v>
      </c>
      <c r="B1846">
        <v>45</v>
      </c>
      <c r="C1846" t="s">
        <v>19</v>
      </c>
      <c r="D1846" t="s">
        <v>20</v>
      </c>
      <c r="E1846" t="s">
        <v>33</v>
      </c>
      <c r="F1846" t="s">
        <v>22</v>
      </c>
      <c r="G1846" t="s">
        <v>30</v>
      </c>
      <c r="H1846">
        <v>37748</v>
      </c>
      <c r="I1846">
        <v>32369</v>
      </c>
      <c r="J1846">
        <v>9</v>
      </c>
      <c r="K1846">
        <v>11</v>
      </c>
      <c r="L1846">
        <v>4</v>
      </c>
      <c r="M1846" t="s">
        <v>24</v>
      </c>
      <c r="N1846">
        <v>3</v>
      </c>
      <c r="O1846">
        <v>24</v>
      </c>
      <c r="P1846">
        <v>29</v>
      </c>
      <c r="Q1846">
        <v>1</v>
      </c>
      <c r="R1846">
        <v>3</v>
      </c>
      <c r="S1846" t="s">
        <v>25</v>
      </c>
    </row>
    <row r="1847" spans="1:19" x14ac:dyDescent="0.25">
      <c r="A1847">
        <v>11846</v>
      </c>
      <c r="B1847">
        <v>31</v>
      </c>
      <c r="C1847" t="s">
        <v>19</v>
      </c>
      <c r="D1847" t="s">
        <v>41</v>
      </c>
      <c r="E1847" t="s">
        <v>27</v>
      </c>
      <c r="F1847" t="s">
        <v>39</v>
      </c>
      <c r="G1847" t="s">
        <v>30</v>
      </c>
      <c r="H1847">
        <v>75993</v>
      </c>
      <c r="I1847">
        <v>18462</v>
      </c>
      <c r="J1847">
        <v>3</v>
      </c>
      <c r="K1847">
        <v>10</v>
      </c>
      <c r="L1847">
        <v>4</v>
      </c>
      <c r="M1847" t="s">
        <v>25</v>
      </c>
      <c r="N1847">
        <v>3</v>
      </c>
      <c r="O1847">
        <v>3</v>
      </c>
      <c r="P1847">
        <v>34</v>
      </c>
      <c r="Q1847">
        <v>3</v>
      </c>
      <c r="R1847">
        <v>3</v>
      </c>
      <c r="S1847" t="s">
        <v>25</v>
      </c>
    </row>
    <row r="1848" spans="1:19" x14ac:dyDescent="0.25">
      <c r="A1848">
        <v>11847</v>
      </c>
      <c r="B1848">
        <v>45</v>
      </c>
      <c r="C1848" t="s">
        <v>31</v>
      </c>
      <c r="D1848" t="s">
        <v>28</v>
      </c>
      <c r="E1848" t="s">
        <v>36</v>
      </c>
      <c r="F1848" t="s">
        <v>39</v>
      </c>
      <c r="G1848" t="s">
        <v>30</v>
      </c>
      <c r="H1848">
        <v>46024</v>
      </c>
      <c r="I1848">
        <v>21202</v>
      </c>
      <c r="J1848">
        <v>4</v>
      </c>
      <c r="K1848">
        <v>6</v>
      </c>
      <c r="L1848">
        <v>4</v>
      </c>
      <c r="M1848" t="s">
        <v>24</v>
      </c>
      <c r="N1848">
        <v>3</v>
      </c>
      <c r="O1848">
        <v>9</v>
      </c>
      <c r="P1848">
        <v>51</v>
      </c>
      <c r="Q1848">
        <v>3</v>
      </c>
      <c r="R1848">
        <v>4</v>
      </c>
      <c r="S1848" t="s">
        <v>25</v>
      </c>
    </row>
    <row r="1849" spans="1:19" x14ac:dyDescent="0.25">
      <c r="A1849">
        <v>11848</v>
      </c>
      <c r="B1849">
        <v>25</v>
      </c>
      <c r="C1849" t="s">
        <v>19</v>
      </c>
      <c r="D1849" t="s">
        <v>26</v>
      </c>
      <c r="E1849" t="s">
        <v>21</v>
      </c>
      <c r="F1849" t="s">
        <v>39</v>
      </c>
      <c r="G1849" t="s">
        <v>38</v>
      </c>
      <c r="H1849">
        <v>120938</v>
      </c>
      <c r="I1849">
        <v>25943</v>
      </c>
      <c r="J1849">
        <v>23</v>
      </c>
      <c r="K1849">
        <v>1</v>
      </c>
      <c r="L1849">
        <v>4</v>
      </c>
      <c r="M1849" t="s">
        <v>25</v>
      </c>
      <c r="N1849">
        <v>3</v>
      </c>
      <c r="O1849">
        <v>25</v>
      </c>
      <c r="P1849">
        <v>16</v>
      </c>
      <c r="Q1849">
        <v>2</v>
      </c>
      <c r="R1849">
        <v>3</v>
      </c>
      <c r="S1849" t="s">
        <v>25</v>
      </c>
    </row>
    <row r="1850" spans="1:19" x14ac:dyDescent="0.25">
      <c r="A1850">
        <v>11849</v>
      </c>
      <c r="B1850">
        <v>25</v>
      </c>
      <c r="C1850" t="s">
        <v>31</v>
      </c>
      <c r="D1850" t="s">
        <v>41</v>
      </c>
      <c r="E1850" t="s">
        <v>36</v>
      </c>
      <c r="F1850" t="s">
        <v>22</v>
      </c>
      <c r="G1850" t="s">
        <v>38</v>
      </c>
      <c r="H1850">
        <v>45146</v>
      </c>
      <c r="I1850">
        <v>29924</v>
      </c>
      <c r="J1850">
        <v>9</v>
      </c>
      <c r="K1850">
        <v>14</v>
      </c>
      <c r="L1850">
        <v>3</v>
      </c>
      <c r="M1850" t="s">
        <v>24</v>
      </c>
      <c r="N1850">
        <v>2</v>
      </c>
      <c r="O1850">
        <v>15</v>
      </c>
      <c r="P1850">
        <v>24</v>
      </c>
      <c r="Q1850">
        <v>3</v>
      </c>
      <c r="R1850">
        <v>1</v>
      </c>
      <c r="S1850" t="s">
        <v>24</v>
      </c>
    </row>
    <row r="1851" spans="1:19" x14ac:dyDescent="0.25">
      <c r="A1851">
        <v>11850</v>
      </c>
      <c r="B1851">
        <v>43</v>
      </c>
      <c r="C1851" t="s">
        <v>31</v>
      </c>
      <c r="D1851" t="s">
        <v>20</v>
      </c>
      <c r="E1851" t="s">
        <v>33</v>
      </c>
      <c r="F1851" t="s">
        <v>39</v>
      </c>
      <c r="G1851" t="s">
        <v>38</v>
      </c>
      <c r="H1851">
        <v>44198</v>
      </c>
      <c r="I1851">
        <v>38433</v>
      </c>
      <c r="J1851">
        <v>22</v>
      </c>
      <c r="K1851">
        <v>8</v>
      </c>
      <c r="L1851">
        <v>5</v>
      </c>
      <c r="M1851" t="s">
        <v>25</v>
      </c>
      <c r="N1851">
        <v>4</v>
      </c>
      <c r="O1851">
        <v>17</v>
      </c>
      <c r="P1851">
        <v>42</v>
      </c>
      <c r="Q1851">
        <v>4</v>
      </c>
      <c r="R1851">
        <v>2</v>
      </c>
      <c r="S1851" t="s">
        <v>25</v>
      </c>
    </row>
    <row r="1852" spans="1:19" x14ac:dyDescent="0.25">
      <c r="A1852">
        <v>11851</v>
      </c>
      <c r="B1852">
        <v>59</v>
      </c>
      <c r="C1852" t="s">
        <v>19</v>
      </c>
      <c r="D1852" t="s">
        <v>34</v>
      </c>
      <c r="E1852" t="s">
        <v>33</v>
      </c>
      <c r="F1852" t="s">
        <v>39</v>
      </c>
      <c r="G1852" t="s">
        <v>23</v>
      </c>
      <c r="H1852">
        <v>26831</v>
      </c>
      <c r="I1852">
        <v>43879</v>
      </c>
      <c r="J1852">
        <v>23</v>
      </c>
      <c r="K1852">
        <v>8</v>
      </c>
      <c r="L1852">
        <v>5</v>
      </c>
      <c r="M1852" t="s">
        <v>25</v>
      </c>
      <c r="N1852">
        <v>3</v>
      </c>
      <c r="O1852">
        <v>20</v>
      </c>
      <c r="P1852">
        <v>15</v>
      </c>
      <c r="Q1852">
        <v>4</v>
      </c>
      <c r="R1852">
        <v>2</v>
      </c>
      <c r="S1852" t="s">
        <v>25</v>
      </c>
    </row>
    <row r="1853" spans="1:19" x14ac:dyDescent="0.25">
      <c r="A1853">
        <v>11852</v>
      </c>
      <c r="B1853">
        <v>44</v>
      </c>
      <c r="C1853" t="s">
        <v>19</v>
      </c>
      <c r="D1853" t="s">
        <v>20</v>
      </c>
      <c r="E1853" t="s">
        <v>33</v>
      </c>
      <c r="F1853" t="s">
        <v>35</v>
      </c>
      <c r="G1853" t="s">
        <v>38</v>
      </c>
      <c r="H1853">
        <v>30144</v>
      </c>
      <c r="I1853">
        <v>37451</v>
      </c>
      <c r="J1853">
        <v>19</v>
      </c>
      <c r="K1853">
        <v>14</v>
      </c>
      <c r="L1853">
        <v>3</v>
      </c>
      <c r="M1853" t="s">
        <v>25</v>
      </c>
      <c r="N1853">
        <v>4</v>
      </c>
      <c r="O1853">
        <v>30</v>
      </c>
      <c r="P1853">
        <v>5</v>
      </c>
      <c r="Q1853">
        <v>1</v>
      </c>
      <c r="R1853">
        <v>3</v>
      </c>
      <c r="S1853" t="s">
        <v>25</v>
      </c>
    </row>
    <row r="1854" spans="1:19" x14ac:dyDescent="0.25">
      <c r="A1854">
        <v>11853</v>
      </c>
      <c r="B1854">
        <v>36</v>
      </c>
      <c r="C1854" t="s">
        <v>19</v>
      </c>
      <c r="D1854" t="s">
        <v>20</v>
      </c>
      <c r="E1854" t="s">
        <v>21</v>
      </c>
      <c r="F1854" t="s">
        <v>39</v>
      </c>
      <c r="G1854" t="s">
        <v>38</v>
      </c>
      <c r="H1854">
        <v>107560</v>
      </c>
      <c r="I1854">
        <v>27875</v>
      </c>
      <c r="J1854">
        <v>6</v>
      </c>
      <c r="K1854">
        <v>13</v>
      </c>
      <c r="L1854">
        <v>2</v>
      </c>
      <c r="M1854" t="s">
        <v>25</v>
      </c>
      <c r="N1854">
        <v>3</v>
      </c>
      <c r="O1854">
        <v>20</v>
      </c>
      <c r="P1854">
        <v>22</v>
      </c>
      <c r="Q1854">
        <v>2</v>
      </c>
      <c r="R1854">
        <v>1</v>
      </c>
      <c r="S1854" t="s">
        <v>25</v>
      </c>
    </row>
    <row r="1855" spans="1:19" x14ac:dyDescent="0.25">
      <c r="A1855">
        <v>11854</v>
      </c>
      <c r="B1855">
        <v>49</v>
      </c>
      <c r="C1855" t="s">
        <v>19</v>
      </c>
      <c r="D1855" t="s">
        <v>20</v>
      </c>
      <c r="E1855" t="s">
        <v>36</v>
      </c>
      <c r="F1855" t="s">
        <v>39</v>
      </c>
      <c r="G1855" t="s">
        <v>30</v>
      </c>
      <c r="H1855">
        <v>66735</v>
      </c>
      <c r="I1855">
        <v>44507</v>
      </c>
      <c r="J1855">
        <v>23</v>
      </c>
      <c r="K1855">
        <v>2</v>
      </c>
      <c r="L1855">
        <v>2</v>
      </c>
      <c r="M1855" t="s">
        <v>24</v>
      </c>
      <c r="N1855">
        <v>4</v>
      </c>
      <c r="O1855">
        <v>15</v>
      </c>
      <c r="P1855">
        <v>15</v>
      </c>
      <c r="Q1855">
        <v>4</v>
      </c>
      <c r="R1855">
        <v>2</v>
      </c>
      <c r="S1855" t="s">
        <v>25</v>
      </c>
    </row>
    <row r="1856" spans="1:19" x14ac:dyDescent="0.25">
      <c r="A1856">
        <v>11855</v>
      </c>
      <c r="B1856">
        <v>29</v>
      </c>
      <c r="C1856" t="s">
        <v>19</v>
      </c>
      <c r="D1856" t="s">
        <v>32</v>
      </c>
      <c r="E1856" t="s">
        <v>21</v>
      </c>
      <c r="F1856" t="s">
        <v>39</v>
      </c>
      <c r="G1856" t="s">
        <v>30</v>
      </c>
      <c r="H1856">
        <v>97238</v>
      </c>
      <c r="I1856">
        <v>25217</v>
      </c>
      <c r="J1856">
        <v>20</v>
      </c>
      <c r="K1856">
        <v>0</v>
      </c>
      <c r="L1856">
        <v>5</v>
      </c>
      <c r="M1856" t="s">
        <v>25</v>
      </c>
      <c r="N1856">
        <v>4</v>
      </c>
      <c r="O1856">
        <v>24</v>
      </c>
      <c r="P1856">
        <v>16</v>
      </c>
      <c r="Q1856">
        <v>3</v>
      </c>
      <c r="R1856">
        <v>2</v>
      </c>
      <c r="S1856" t="s">
        <v>25</v>
      </c>
    </row>
    <row r="1857" spans="1:19" x14ac:dyDescent="0.25">
      <c r="A1857">
        <v>11856</v>
      </c>
      <c r="B1857">
        <v>28</v>
      </c>
      <c r="C1857" t="s">
        <v>19</v>
      </c>
      <c r="D1857" t="s">
        <v>41</v>
      </c>
      <c r="E1857" t="s">
        <v>33</v>
      </c>
      <c r="F1857" t="s">
        <v>35</v>
      </c>
      <c r="G1857" t="s">
        <v>30</v>
      </c>
      <c r="H1857">
        <v>34097</v>
      </c>
      <c r="I1857">
        <v>45058</v>
      </c>
      <c r="J1857">
        <v>5</v>
      </c>
      <c r="K1857">
        <v>8</v>
      </c>
      <c r="L1857">
        <v>4</v>
      </c>
      <c r="M1857" t="s">
        <v>24</v>
      </c>
      <c r="N1857">
        <v>3</v>
      </c>
      <c r="O1857">
        <v>20</v>
      </c>
      <c r="P1857">
        <v>11</v>
      </c>
      <c r="Q1857">
        <v>1</v>
      </c>
      <c r="R1857">
        <v>3</v>
      </c>
      <c r="S1857" t="s">
        <v>24</v>
      </c>
    </row>
    <row r="1858" spans="1:19" x14ac:dyDescent="0.25">
      <c r="A1858">
        <v>11857</v>
      </c>
      <c r="B1858">
        <v>32</v>
      </c>
      <c r="C1858" t="s">
        <v>31</v>
      </c>
      <c r="D1858" t="s">
        <v>26</v>
      </c>
      <c r="E1858" t="s">
        <v>33</v>
      </c>
      <c r="F1858" t="s">
        <v>22</v>
      </c>
      <c r="G1858" t="s">
        <v>30</v>
      </c>
      <c r="H1858">
        <v>31349</v>
      </c>
      <c r="I1858">
        <v>387</v>
      </c>
      <c r="J1858">
        <v>11</v>
      </c>
      <c r="K1858">
        <v>13</v>
      </c>
      <c r="L1858">
        <v>4</v>
      </c>
      <c r="M1858" t="s">
        <v>25</v>
      </c>
      <c r="N1858">
        <v>3</v>
      </c>
      <c r="O1858">
        <v>2</v>
      </c>
      <c r="P1858">
        <v>32</v>
      </c>
      <c r="Q1858">
        <v>2</v>
      </c>
      <c r="R1858">
        <v>1</v>
      </c>
      <c r="S1858" t="s">
        <v>25</v>
      </c>
    </row>
    <row r="1859" spans="1:19" x14ac:dyDescent="0.25">
      <c r="A1859">
        <v>11858</v>
      </c>
      <c r="B1859">
        <v>50</v>
      </c>
      <c r="C1859" t="s">
        <v>19</v>
      </c>
      <c r="D1859" t="s">
        <v>41</v>
      </c>
      <c r="E1859" t="s">
        <v>27</v>
      </c>
      <c r="F1859" t="s">
        <v>22</v>
      </c>
      <c r="G1859" t="s">
        <v>30</v>
      </c>
      <c r="H1859">
        <v>80545</v>
      </c>
      <c r="I1859">
        <v>7496</v>
      </c>
      <c r="J1859">
        <v>2</v>
      </c>
      <c r="K1859">
        <v>5</v>
      </c>
      <c r="L1859">
        <v>5</v>
      </c>
      <c r="M1859" t="s">
        <v>25</v>
      </c>
      <c r="N1859">
        <v>3</v>
      </c>
      <c r="O1859">
        <v>25</v>
      </c>
      <c r="P1859">
        <v>29</v>
      </c>
      <c r="Q1859">
        <v>1</v>
      </c>
      <c r="R1859">
        <v>2</v>
      </c>
      <c r="S1859" t="s">
        <v>25</v>
      </c>
    </row>
    <row r="1860" spans="1:19" x14ac:dyDescent="0.25">
      <c r="A1860">
        <v>11859</v>
      </c>
      <c r="B1860">
        <v>51</v>
      </c>
      <c r="C1860" t="s">
        <v>19</v>
      </c>
      <c r="D1860" t="s">
        <v>20</v>
      </c>
      <c r="E1860" t="s">
        <v>40</v>
      </c>
      <c r="F1860" t="s">
        <v>39</v>
      </c>
      <c r="G1860" t="s">
        <v>38</v>
      </c>
      <c r="H1860">
        <v>16856</v>
      </c>
      <c r="I1860">
        <v>2415</v>
      </c>
      <c r="J1860">
        <v>13</v>
      </c>
      <c r="K1860">
        <v>14</v>
      </c>
      <c r="L1860">
        <v>4</v>
      </c>
      <c r="M1860" t="s">
        <v>24</v>
      </c>
      <c r="N1860">
        <v>3</v>
      </c>
      <c r="O1860">
        <v>26</v>
      </c>
      <c r="P1860">
        <v>26</v>
      </c>
      <c r="Q1860">
        <v>4</v>
      </c>
      <c r="R1860">
        <v>2</v>
      </c>
      <c r="S1860" t="s">
        <v>25</v>
      </c>
    </row>
    <row r="1861" spans="1:19" x14ac:dyDescent="0.25">
      <c r="A1861">
        <v>11860</v>
      </c>
      <c r="B1861">
        <v>20</v>
      </c>
      <c r="C1861" t="s">
        <v>19</v>
      </c>
      <c r="D1861" t="s">
        <v>26</v>
      </c>
      <c r="E1861" t="s">
        <v>36</v>
      </c>
      <c r="F1861" t="s">
        <v>39</v>
      </c>
      <c r="G1861" t="s">
        <v>30</v>
      </c>
      <c r="H1861">
        <v>56830</v>
      </c>
      <c r="I1861">
        <v>45910</v>
      </c>
      <c r="J1861">
        <v>20</v>
      </c>
      <c r="K1861">
        <v>0</v>
      </c>
      <c r="L1861">
        <v>4</v>
      </c>
      <c r="M1861" t="s">
        <v>25</v>
      </c>
      <c r="N1861">
        <v>3</v>
      </c>
      <c r="O1861">
        <v>32</v>
      </c>
      <c r="P1861">
        <v>5</v>
      </c>
      <c r="Q1861">
        <v>2</v>
      </c>
      <c r="R1861">
        <v>2</v>
      </c>
      <c r="S1861" t="s">
        <v>24</v>
      </c>
    </row>
    <row r="1862" spans="1:19" x14ac:dyDescent="0.25">
      <c r="A1862">
        <v>11861</v>
      </c>
      <c r="B1862">
        <v>46</v>
      </c>
      <c r="C1862" t="s">
        <v>19</v>
      </c>
      <c r="D1862" t="s">
        <v>20</v>
      </c>
      <c r="E1862" t="s">
        <v>40</v>
      </c>
      <c r="F1862" t="s">
        <v>39</v>
      </c>
      <c r="G1862" t="s">
        <v>38</v>
      </c>
      <c r="H1862">
        <v>11884</v>
      </c>
      <c r="I1862">
        <v>4482</v>
      </c>
      <c r="J1862">
        <v>20</v>
      </c>
      <c r="K1862">
        <v>0</v>
      </c>
      <c r="L1862">
        <v>5</v>
      </c>
      <c r="M1862" t="s">
        <v>24</v>
      </c>
      <c r="N1862">
        <v>1</v>
      </c>
      <c r="O1862">
        <v>13</v>
      </c>
      <c r="P1862">
        <v>48</v>
      </c>
      <c r="Q1862">
        <v>3</v>
      </c>
      <c r="R1862">
        <v>3</v>
      </c>
      <c r="S1862" t="s">
        <v>25</v>
      </c>
    </row>
    <row r="1863" spans="1:19" x14ac:dyDescent="0.25">
      <c r="A1863">
        <v>11862</v>
      </c>
      <c r="B1863">
        <v>45</v>
      </c>
      <c r="C1863" t="s">
        <v>19</v>
      </c>
      <c r="D1863" t="s">
        <v>20</v>
      </c>
      <c r="E1863" t="s">
        <v>36</v>
      </c>
      <c r="F1863" t="s">
        <v>35</v>
      </c>
      <c r="G1863" t="s">
        <v>38</v>
      </c>
      <c r="H1863">
        <v>62926</v>
      </c>
      <c r="I1863">
        <v>43223</v>
      </c>
      <c r="J1863">
        <v>24</v>
      </c>
      <c r="K1863">
        <v>10</v>
      </c>
      <c r="L1863">
        <v>3</v>
      </c>
      <c r="M1863" t="s">
        <v>25</v>
      </c>
      <c r="N1863">
        <v>4</v>
      </c>
      <c r="O1863">
        <v>32</v>
      </c>
      <c r="P1863">
        <v>10</v>
      </c>
      <c r="Q1863">
        <v>2</v>
      </c>
      <c r="R1863">
        <v>1</v>
      </c>
      <c r="S1863" t="s">
        <v>24</v>
      </c>
    </row>
    <row r="1864" spans="1:19" x14ac:dyDescent="0.25">
      <c r="A1864">
        <v>11863</v>
      </c>
      <c r="B1864">
        <v>55</v>
      </c>
      <c r="C1864" t="s">
        <v>19</v>
      </c>
      <c r="D1864" t="s">
        <v>41</v>
      </c>
      <c r="E1864" t="s">
        <v>36</v>
      </c>
      <c r="F1864" t="s">
        <v>39</v>
      </c>
      <c r="G1864" t="s">
        <v>38</v>
      </c>
      <c r="H1864">
        <v>63101</v>
      </c>
      <c r="I1864">
        <v>27508</v>
      </c>
      <c r="J1864">
        <v>3</v>
      </c>
      <c r="K1864">
        <v>12</v>
      </c>
      <c r="L1864">
        <v>5</v>
      </c>
      <c r="M1864" t="s">
        <v>25</v>
      </c>
      <c r="N1864">
        <v>4</v>
      </c>
      <c r="O1864">
        <v>26</v>
      </c>
      <c r="P1864">
        <v>33</v>
      </c>
      <c r="Q1864">
        <v>4</v>
      </c>
      <c r="R1864">
        <v>4</v>
      </c>
      <c r="S1864" t="s">
        <v>25</v>
      </c>
    </row>
    <row r="1865" spans="1:19" x14ac:dyDescent="0.25">
      <c r="A1865">
        <v>11864</v>
      </c>
      <c r="B1865">
        <v>35</v>
      </c>
      <c r="C1865" t="s">
        <v>19</v>
      </c>
      <c r="D1865" t="s">
        <v>28</v>
      </c>
      <c r="E1865" t="s">
        <v>33</v>
      </c>
      <c r="F1865" t="s">
        <v>35</v>
      </c>
      <c r="G1865" t="s">
        <v>30</v>
      </c>
      <c r="H1865">
        <v>42673</v>
      </c>
      <c r="I1865">
        <v>9657</v>
      </c>
      <c r="J1865">
        <v>8</v>
      </c>
      <c r="K1865">
        <v>9</v>
      </c>
      <c r="L1865">
        <v>5</v>
      </c>
      <c r="M1865" t="s">
        <v>25</v>
      </c>
      <c r="N1865">
        <v>1</v>
      </c>
      <c r="O1865">
        <v>38</v>
      </c>
      <c r="P1865">
        <v>11</v>
      </c>
      <c r="Q1865">
        <v>3</v>
      </c>
      <c r="R1865">
        <v>4</v>
      </c>
      <c r="S1865" t="s">
        <v>25</v>
      </c>
    </row>
    <row r="1866" spans="1:19" x14ac:dyDescent="0.25">
      <c r="A1866">
        <v>11865</v>
      </c>
      <c r="B1866">
        <v>22</v>
      </c>
      <c r="C1866" t="s">
        <v>19</v>
      </c>
      <c r="D1866" t="s">
        <v>32</v>
      </c>
      <c r="E1866" t="s">
        <v>36</v>
      </c>
      <c r="F1866" t="s">
        <v>39</v>
      </c>
      <c r="G1866" t="s">
        <v>38</v>
      </c>
      <c r="H1866">
        <v>59335</v>
      </c>
      <c r="I1866">
        <v>40428</v>
      </c>
      <c r="J1866">
        <v>17</v>
      </c>
      <c r="K1866">
        <v>4</v>
      </c>
      <c r="L1866">
        <v>4</v>
      </c>
      <c r="M1866" t="s">
        <v>25</v>
      </c>
      <c r="N1866">
        <v>2</v>
      </c>
      <c r="O1866">
        <v>8</v>
      </c>
      <c r="P1866">
        <v>16</v>
      </c>
      <c r="Q1866">
        <v>1</v>
      </c>
      <c r="R1866">
        <v>4</v>
      </c>
      <c r="S1866" t="s">
        <v>25</v>
      </c>
    </row>
    <row r="1867" spans="1:19" x14ac:dyDescent="0.25">
      <c r="A1867">
        <v>11866</v>
      </c>
      <c r="B1867">
        <v>47</v>
      </c>
      <c r="C1867" t="s">
        <v>31</v>
      </c>
      <c r="D1867" t="s">
        <v>41</v>
      </c>
      <c r="E1867" t="s">
        <v>40</v>
      </c>
      <c r="F1867" t="s">
        <v>22</v>
      </c>
      <c r="G1867" t="s">
        <v>30</v>
      </c>
      <c r="H1867">
        <v>17164</v>
      </c>
      <c r="I1867">
        <v>13637</v>
      </c>
      <c r="J1867">
        <v>22</v>
      </c>
      <c r="K1867">
        <v>4</v>
      </c>
      <c r="L1867">
        <v>3</v>
      </c>
      <c r="M1867" t="s">
        <v>25</v>
      </c>
      <c r="N1867">
        <v>3</v>
      </c>
      <c r="O1867">
        <v>8</v>
      </c>
      <c r="P1867">
        <v>21</v>
      </c>
      <c r="Q1867">
        <v>4</v>
      </c>
      <c r="R1867">
        <v>3</v>
      </c>
      <c r="S1867" t="s">
        <v>25</v>
      </c>
    </row>
    <row r="1868" spans="1:19" x14ac:dyDescent="0.25">
      <c r="A1868">
        <v>11867</v>
      </c>
      <c r="B1868">
        <v>40</v>
      </c>
      <c r="C1868" t="s">
        <v>31</v>
      </c>
      <c r="D1868" t="s">
        <v>41</v>
      </c>
      <c r="E1868" t="s">
        <v>36</v>
      </c>
      <c r="F1868" t="s">
        <v>39</v>
      </c>
      <c r="G1868" t="s">
        <v>30</v>
      </c>
      <c r="H1868">
        <v>69487</v>
      </c>
      <c r="I1868">
        <v>45938</v>
      </c>
      <c r="J1868">
        <v>13</v>
      </c>
      <c r="K1868">
        <v>1</v>
      </c>
      <c r="L1868">
        <v>3</v>
      </c>
      <c r="M1868" t="s">
        <v>24</v>
      </c>
      <c r="N1868">
        <v>3</v>
      </c>
      <c r="O1868">
        <v>11</v>
      </c>
      <c r="P1868">
        <v>46</v>
      </c>
      <c r="Q1868">
        <v>3</v>
      </c>
      <c r="R1868">
        <v>4</v>
      </c>
      <c r="S1868" t="s">
        <v>25</v>
      </c>
    </row>
    <row r="1869" spans="1:19" x14ac:dyDescent="0.25">
      <c r="A1869">
        <v>11868</v>
      </c>
      <c r="B1869">
        <v>25</v>
      </c>
      <c r="C1869" t="s">
        <v>31</v>
      </c>
      <c r="D1869" t="s">
        <v>28</v>
      </c>
      <c r="E1869" t="s">
        <v>33</v>
      </c>
      <c r="F1869" t="s">
        <v>35</v>
      </c>
      <c r="G1869" t="s">
        <v>38</v>
      </c>
      <c r="H1869">
        <v>43831</v>
      </c>
      <c r="I1869">
        <v>39830</v>
      </c>
      <c r="J1869">
        <v>10</v>
      </c>
      <c r="K1869">
        <v>11</v>
      </c>
      <c r="L1869">
        <v>4</v>
      </c>
      <c r="M1869" t="s">
        <v>24</v>
      </c>
      <c r="N1869">
        <v>3</v>
      </c>
      <c r="O1869">
        <v>8</v>
      </c>
      <c r="P1869">
        <v>33</v>
      </c>
      <c r="Q1869">
        <v>3</v>
      </c>
      <c r="R1869">
        <v>4</v>
      </c>
      <c r="S1869" t="s">
        <v>25</v>
      </c>
    </row>
    <row r="1870" spans="1:19" x14ac:dyDescent="0.25">
      <c r="A1870">
        <v>11869</v>
      </c>
      <c r="B1870">
        <v>45</v>
      </c>
      <c r="C1870" t="s">
        <v>19</v>
      </c>
      <c r="D1870" t="s">
        <v>20</v>
      </c>
      <c r="E1870" t="s">
        <v>36</v>
      </c>
      <c r="F1870" t="s">
        <v>22</v>
      </c>
      <c r="G1870" t="s">
        <v>38</v>
      </c>
      <c r="H1870">
        <v>56486</v>
      </c>
      <c r="I1870">
        <v>20428</v>
      </c>
      <c r="J1870">
        <v>22</v>
      </c>
      <c r="K1870">
        <v>2</v>
      </c>
      <c r="L1870">
        <v>3</v>
      </c>
      <c r="M1870" t="s">
        <v>25</v>
      </c>
      <c r="N1870">
        <v>3</v>
      </c>
      <c r="O1870">
        <v>26</v>
      </c>
      <c r="P1870">
        <v>27</v>
      </c>
      <c r="Q1870">
        <v>2</v>
      </c>
      <c r="R1870">
        <v>3</v>
      </c>
      <c r="S1870" t="s">
        <v>25</v>
      </c>
    </row>
    <row r="1871" spans="1:19" x14ac:dyDescent="0.25">
      <c r="A1871">
        <v>11870</v>
      </c>
      <c r="B1871">
        <v>40</v>
      </c>
      <c r="C1871" t="s">
        <v>19</v>
      </c>
      <c r="D1871" t="s">
        <v>20</v>
      </c>
      <c r="E1871" t="s">
        <v>36</v>
      </c>
      <c r="F1871" t="s">
        <v>39</v>
      </c>
      <c r="G1871" t="s">
        <v>23</v>
      </c>
      <c r="H1871">
        <v>47649</v>
      </c>
      <c r="I1871">
        <v>21521</v>
      </c>
      <c r="J1871">
        <v>22</v>
      </c>
      <c r="K1871">
        <v>12</v>
      </c>
      <c r="L1871">
        <v>1</v>
      </c>
      <c r="M1871" t="s">
        <v>25</v>
      </c>
      <c r="N1871">
        <v>1</v>
      </c>
      <c r="O1871">
        <v>1</v>
      </c>
      <c r="P1871">
        <v>11</v>
      </c>
      <c r="Q1871">
        <v>3</v>
      </c>
      <c r="R1871">
        <v>3</v>
      </c>
      <c r="S1871" t="s">
        <v>25</v>
      </c>
    </row>
    <row r="1872" spans="1:19" x14ac:dyDescent="0.25">
      <c r="A1872">
        <v>11871</v>
      </c>
      <c r="B1872">
        <v>33</v>
      </c>
      <c r="C1872" t="s">
        <v>19</v>
      </c>
      <c r="D1872" t="s">
        <v>41</v>
      </c>
      <c r="E1872" t="s">
        <v>21</v>
      </c>
      <c r="F1872" t="s">
        <v>39</v>
      </c>
      <c r="G1872" t="s">
        <v>38</v>
      </c>
      <c r="H1872">
        <v>91800</v>
      </c>
      <c r="I1872">
        <v>15601</v>
      </c>
      <c r="J1872">
        <v>0</v>
      </c>
      <c r="K1872">
        <v>7</v>
      </c>
      <c r="L1872">
        <v>3</v>
      </c>
      <c r="M1872" t="s">
        <v>24</v>
      </c>
      <c r="N1872">
        <v>4</v>
      </c>
      <c r="O1872">
        <v>4</v>
      </c>
      <c r="P1872">
        <v>59</v>
      </c>
      <c r="Q1872">
        <v>3</v>
      </c>
      <c r="R1872">
        <v>3</v>
      </c>
      <c r="S1872" t="s">
        <v>25</v>
      </c>
    </row>
    <row r="1873" spans="1:19" x14ac:dyDescent="0.25">
      <c r="A1873">
        <v>11872</v>
      </c>
      <c r="B1873">
        <v>46</v>
      </c>
      <c r="C1873" t="s">
        <v>19</v>
      </c>
      <c r="D1873" t="s">
        <v>41</v>
      </c>
      <c r="E1873" t="s">
        <v>27</v>
      </c>
      <c r="F1873" t="s">
        <v>35</v>
      </c>
      <c r="G1873" t="s">
        <v>38</v>
      </c>
      <c r="H1873">
        <v>68947</v>
      </c>
      <c r="I1873">
        <v>11207</v>
      </c>
      <c r="J1873">
        <v>1</v>
      </c>
      <c r="K1873">
        <v>7</v>
      </c>
      <c r="L1873">
        <v>1</v>
      </c>
      <c r="M1873" t="s">
        <v>25</v>
      </c>
      <c r="N1873">
        <v>4</v>
      </c>
      <c r="O1873">
        <v>13</v>
      </c>
      <c r="P1873">
        <v>59</v>
      </c>
      <c r="Q1873">
        <v>4</v>
      </c>
      <c r="R1873">
        <v>3</v>
      </c>
      <c r="S1873" t="s">
        <v>25</v>
      </c>
    </row>
    <row r="1874" spans="1:19" x14ac:dyDescent="0.25">
      <c r="A1874">
        <v>11873</v>
      </c>
      <c r="B1874">
        <v>24</v>
      </c>
      <c r="C1874" t="s">
        <v>31</v>
      </c>
      <c r="D1874" t="s">
        <v>20</v>
      </c>
      <c r="E1874" t="s">
        <v>33</v>
      </c>
      <c r="F1874" t="s">
        <v>39</v>
      </c>
      <c r="G1874" t="s">
        <v>30</v>
      </c>
      <c r="H1874">
        <v>30557</v>
      </c>
      <c r="I1874">
        <v>10773</v>
      </c>
      <c r="J1874">
        <v>23</v>
      </c>
      <c r="K1874">
        <v>14</v>
      </c>
      <c r="L1874">
        <v>3</v>
      </c>
      <c r="M1874" t="s">
        <v>24</v>
      </c>
      <c r="N1874">
        <v>3</v>
      </c>
      <c r="O1874">
        <v>10</v>
      </c>
      <c r="P1874">
        <v>50</v>
      </c>
      <c r="Q1874">
        <v>4</v>
      </c>
      <c r="R1874">
        <v>4</v>
      </c>
      <c r="S1874" t="s">
        <v>25</v>
      </c>
    </row>
    <row r="1875" spans="1:19" x14ac:dyDescent="0.25">
      <c r="A1875">
        <v>11874</v>
      </c>
      <c r="B1875">
        <v>55</v>
      </c>
      <c r="C1875" t="s">
        <v>19</v>
      </c>
      <c r="D1875" t="s">
        <v>20</v>
      </c>
      <c r="E1875" t="s">
        <v>27</v>
      </c>
      <c r="F1875" t="s">
        <v>22</v>
      </c>
      <c r="G1875" t="s">
        <v>38</v>
      </c>
      <c r="H1875">
        <v>88976</v>
      </c>
      <c r="I1875">
        <v>13755</v>
      </c>
      <c r="J1875">
        <v>6</v>
      </c>
      <c r="K1875">
        <v>0</v>
      </c>
      <c r="L1875">
        <v>1</v>
      </c>
      <c r="M1875" t="s">
        <v>25</v>
      </c>
      <c r="N1875">
        <v>4</v>
      </c>
      <c r="O1875">
        <v>9</v>
      </c>
      <c r="P1875">
        <v>34</v>
      </c>
      <c r="Q1875">
        <v>2</v>
      </c>
      <c r="R1875">
        <v>3</v>
      </c>
      <c r="S1875" t="s">
        <v>25</v>
      </c>
    </row>
    <row r="1876" spans="1:19" x14ac:dyDescent="0.25">
      <c r="A1876">
        <v>11875</v>
      </c>
      <c r="B1876">
        <v>36</v>
      </c>
      <c r="C1876" t="s">
        <v>19</v>
      </c>
      <c r="D1876" t="s">
        <v>32</v>
      </c>
      <c r="E1876" t="s">
        <v>21</v>
      </c>
      <c r="F1876" t="s">
        <v>22</v>
      </c>
      <c r="G1876" t="s">
        <v>38</v>
      </c>
      <c r="H1876">
        <v>119502</v>
      </c>
      <c r="I1876">
        <v>26455</v>
      </c>
      <c r="J1876">
        <v>19</v>
      </c>
      <c r="K1876">
        <v>12</v>
      </c>
      <c r="L1876">
        <v>5</v>
      </c>
      <c r="M1876" t="s">
        <v>25</v>
      </c>
      <c r="N1876">
        <v>4</v>
      </c>
      <c r="O1876">
        <v>13</v>
      </c>
      <c r="P1876">
        <v>30</v>
      </c>
      <c r="Q1876">
        <v>2</v>
      </c>
      <c r="R1876">
        <v>3</v>
      </c>
      <c r="S1876" t="s">
        <v>25</v>
      </c>
    </row>
    <row r="1877" spans="1:19" x14ac:dyDescent="0.25">
      <c r="A1877">
        <v>11876</v>
      </c>
      <c r="B1877">
        <v>30</v>
      </c>
      <c r="C1877" t="s">
        <v>19</v>
      </c>
      <c r="D1877" t="s">
        <v>20</v>
      </c>
      <c r="E1877" t="s">
        <v>36</v>
      </c>
      <c r="F1877" t="s">
        <v>35</v>
      </c>
      <c r="G1877" t="s">
        <v>30</v>
      </c>
      <c r="H1877">
        <v>52695</v>
      </c>
      <c r="I1877">
        <v>31506</v>
      </c>
      <c r="J1877">
        <v>7</v>
      </c>
      <c r="K1877">
        <v>12</v>
      </c>
      <c r="L1877">
        <v>3</v>
      </c>
      <c r="M1877" t="s">
        <v>25</v>
      </c>
      <c r="N1877">
        <v>3</v>
      </c>
      <c r="O1877">
        <v>33</v>
      </c>
      <c r="P1877">
        <v>48</v>
      </c>
      <c r="Q1877">
        <v>3</v>
      </c>
      <c r="R1877">
        <v>2</v>
      </c>
      <c r="S1877" t="s">
        <v>25</v>
      </c>
    </row>
    <row r="1878" spans="1:19" x14ac:dyDescent="0.25">
      <c r="A1878">
        <v>11877</v>
      </c>
      <c r="B1878">
        <v>53</v>
      </c>
      <c r="C1878" t="s">
        <v>19</v>
      </c>
      <c r="D1878" t="s">
        <v>20</v>
      </c>
      <c r="E1878" t="s">
        <v>33</v>
      </c>
      <c r="F1878" t="s">
        <v>22</v>
      </c>
      <c r="G1878" t="s">
        <v>23</v>
      </c>
      <c r="H1878">
        <v>33326</v>
      </c>
      <c r="I1878">
        <v>3774</v>
      </c>
      <c r="J1878">
        <v>6</v>
      </c>
      <c r="K1878">
        <v>2</v>
      </c>
      <c r="L1878">
        <v>4</v>
      </c>
      <c r="M1878" t="s">
        <v>25</v>
      </c>
      <c r="N1878">
        <v>4</v>
      </c>
      <c r="O1878">
        <v>12</v>
      </c>
      <c r="P1878">
        <v>43</v>
      </c>
      <c r="Q1878">
        <v>2</v>
      </c>
      <c r="R1878">
        <v>2</v>
      </c>
      <c r="S1878" t="s">
        <v>25</v>
      </c>
    </row>
    <row r="1879" spans="1:19" x14ac:dyDescent="0.25">
      <c r="A1879">
        <v>11878</v>
      </c>
      <c r="B1879">
        <v>22</v>
      </c>
      <c r="C1879" t="s">
        <v>19</v>
      </c>
      <c r="D1879" t="s">
        <v>34</v>
      </c>
      <c r="E1879" t="s">
        <v>21</v>
      </c>
      <c r="F1879" t="s">
        <v>37</v>
      </c>
      <c r="G1879" t="s">
        <v>30</v>
      </c>
      <c r="H1879">
        <v>108134</v>
      </c>
      <c r="I1879">
        <v>5286</v>
      </c>
      <c r="J1879">
        <v>13</v>
      </c>
      <c r="K1879">
        <v>4</v>
      </c>
      <c r="L1879">
        <v>5</v>
      </c>
      <c r="M1879" t="s">
        <v>25</v>
      </c>
      <c r="N1879">
        <v>4</v>
      </c>
      <c r="O1879">
        <v>31</v>
      </c>
      <c r="P1879">
        <v>11</v>
      </c>
      <c r="Q1879">
        <v>1</v>
      </c>
      <c r="R1879">
        <v>2</v>
      </c>
      <c r="S1879" t="s">
        <v>24</v>
      </c>
    </row>
    <row r="1880" spans="1:19" x14ac:dyDescent="0.25">
      <c r="A1880">
        <v>11879</v>
      </c>
      <c r="B1880">
        <v>44</v>
      </c>
      <c r="C1880" t="s">
        <v>19</v>
      </c>
      <c r="D1880" t="s">
        <v>20</v>
      </c>
      <c r="E1880" t="s">
        <v>29</v>
      </c>
      <c r="F1880" t="s">
        <v>39</v>
      </c>
      <c r="G1880" t="s">
        <v>23</v>
      </c>
      <c r="H1880">
        <v>124113</v>
      </c>
      <c r="I1880">
        <v>40334</v>
      </c>
      <c r="J1880">
        <v>17</v>
      </c>
      <c r="K1880">
        <v>5</v>
      </c>
      <c r="L1880">
        <v>3</v>
      </c>
      <c r="M1880" t="s">
        <v>24</v>
      </c>
      <c r="N1880">
        <v>3</v>
      </c>
      <c r="O1880">
        <v>33</v>
      </c>
      <c r="P1880">
        <v>33</v>
      </c>
      <c r="Q1880">
        <v>2</v>
      </c>
      <c r="R1880">
        <v>3</v>
      </c>
      <c r="S1880" t="s">
        <v>25</v>
      </c>
    </row>
    <row r="1881" spans="1:19" x14ac:dyDescent="0.25">
      <c r="A1881">
        <v>11880</v>
      </c>
      <c r="B1881">
        <v>38</v>
      </c>
      <c r="C1881" t="s">
        <v>19</v>
      </c>
      <c r="D1881" t="s">
        <v>20</v>
      </c>
      <c r="E1881" t="s">
        <v>33</v>
      </c>
      <c r="F1881" t="s">
        <v>35</v>
      </c>
      <c r="G1881" t="s">
        <v>38</v>
      </c>
      <c r="H1881">
        <v>37297</v>
      </c>
      <c r="I1881">
        <v>42501</v>
      </c>
      <c r="J1881">
        <v>18</v>
      </c>
      <c r="K1881">
        <v>13</v>
      </c>
      <c r="L1881">
        <v>4</v>
      </c>
      <c r="M1881" t="s">
        <v>25</v>
      </c>
      <c r="N1881">
        <v>3</v>
      </c>
      <c r="O1881">
        <v>22</v>
      </c>
      <c r="P1881">
        <v>34</v>
      </c>
      <c r="Q1881">
        <v>4</v>
      </c>
      <c r="R1881">
        <v>2</v>
      </c>
      <c r="S1881" t="s">
        <v>25</v>
      </c>
    </row>
    <row r="1882" spans="1:19" x14ac:dyDescent="0.25">
      <c r="A1882">
        <v>11881</v>
      </c>
      <c r="B1882">
        <v>24</v>
      </c>
      <c r="C1882" t="s">
        <v>19</v>
      </c>
      <c r="D1882" t="s">
        <v>41</v>
      </c>
      <c r="E1882" t="s">
        <v>36</v>
      </c>
      <c r="F1882" t="s">
        <v>35</v>
      </c>
      <c r="G1882" t="s">
        <v>23</v>
      </c>
      <c r="H1882">
        <v>47631</v>
      </c>
      <c r="I1882">
        <v>29220</v>
      </c>
      <c r="J1882">
        <v>12</v>
      </c>
      <c r="K1882">
        <v>3</v>
      </c>
      <c r="L1882">
        <v>3</v>
      </c>
      <c r="M1882" t="s">
        <v>25</v>
      </c>
      <c r="N1882">
        <v>3</v>
      </c>
      <c r="O1882">
        <v>4</v>
      </c>
      <c r="P1882">
        <v>26</v>
      </c>
      <c r="Q1882">
        <v>3</v>
      </c>
      <c r="R1882">
        <v>4</v>
      </c>
      <c r="S1882" t="s">
        <v>25</v>
      </c>
    </row>
    <row r="1883" spans="1:19" x14ac:dyDescent="0.25">
      <c r="A1883">
        <v>11882</v>
      </c>
      <c r="B1883">
        <v>24</v>
      </c>
      <c r="C1883" t="s">
        <v>19</v>
      </c>
      <c r="D1883" t="s">
        <v>34</v>
      </c>
      <c r="E1883" t="s">
        <v>27</v>
      </c>
      <c r="F1883" t="s">
        <v>39</v>
      </c>
      <c r="G1883" t="s">
        <v>38</v>
      </c>
      <c r="H1883">
        <v>84990</v>
      </c>
      <c r="I1883">
        <v>42001</v>
      </c>
      <c r="J1883">
        <v>19</v>
      </c>
      <c r="K1883">
        <v>6</v>
      </c>
      <c r="L1883">
        <v>2</v>
      </c>
      <c r="M1883" t="s">
        <v>25</v>
      </c>
      <c r="N1883">
        <v>3</v>
      </c>
      <c r="O1883">
        <v>11</v>
      </c>
      <c r="P1883">
        <v>57</v>
      </c>
      <c r="Q1883">
        <v>4</v>
      </c>
      <c r="R1883">
        <v>2</v>
      </c>
      <c r="S1883" t="s">
        <v>25</v>
      </c>
    </row>
    <row r="1884" spans="1:19" x14ac:dyDescent="0.25">
      <c r="A1884">
        <v>11883</v>
      </c>
      <c r="B1884">
        <v>34</v>
      </c>
      <c r="C1884" t="s">
        <v>19</v>
      </c>
      <c r="D1884" t="s">
        <v>20</v>
      </c>
      <c r="E1884" t="s">
        <v>33</v>
      </c>
      <c r="F1884" t="s">
        <v>39</v>
      </c>
      <c r="G1884" t="s">
        <v>38</v>
      </c>
      <c r="H1884">
        <v>26905</v>
      </c>
      <c r="I1884">
        <v>36077</v>
      </c>
      <c r="J1884">
        <v>3</v>
      </c>
      <c r="K1884">
        <v>14</v>
      </c>
      <c r="L1884">
        <v>2</v>
      </c>
      <c r="M1884" t="s">
        <v>25</v>
      </c>
      <c r="N1884">
        <v>4</v>
      </c>
      <c r="O1884">
        <v>29</v>
      </c>
      <c r="P1884">
        <v>32</v>
      </c>
      <c r="Q1884">
        <v>3</v>
      </c>
      <c r="R1884">
        <v>3</v>
      </c>
      <c r="S1884" t="s">
        <v>25</v>
      </c>
    </row>
    <row r="1885" spans="1:19" x14ac:dyDescent="0.25">
      <c r="A1885">
        <v>11884</v>
      </c>
      <c r="B1885">
        <v>45</v>
      </c>
      <c r="C1885" t="s">
        <v>31</v>
      </c>
      <c r="D1885" t="s">
        <v>20</v>
      </c>
      <c r="E1885" t="s">
        <v>27</v>
      </c>
      <c r="F1885" t="s">
        <v>39</v>
      </c>
      <c r="G1885" t="s">
        <v>23</v>
      </c>
      <c r="H1885">
        <v>87080</v>
      </c>
      <c r="I1885">
        <v>25823</v>
      </c>
      <c r="J1885">
        <v>7</v>
      </c>
      <c r="K1885">
        <v>10</v>
      </c>
      <c r="L1885">
        <v>5</v>
      </c>
      <c r="M1885" t="s">
        <v>25</v>
      </c>
      <c r="N1885">
        <v>1</v>
      </c>
      <c r="O1885">
        <v>38</v>
      </c>
      <c r="P1885">
        <v>54</v>
      </c>
      <c r="Q1885">
        <v>3</v>
      </c>
      <c r="R1885">
        <v>3</v>
      </c>
      <c r="S1885" t="s">
        <v>25</v>
      </c>
    </row>
    <row r="1886" spans="1:19" x14ac:dyDescent="0.25">
      <c r="A1886">
        <v>11885</v>
      </c>
      <c r="B1886">
        <v>59</v>
      </c>
      <c r="C1886" t="s">
        <v>19</v>
      </c>
      <c r="D1886" t="s">
        <v>28</v>
      </c>
      <c r="E1886" t="s">
        <v>36</v>
      </c>
      <c r="F1886" t="s">
        <v>39</v>
      </c>
      <c r="G1886" t="s">
        <v>30</v>
      </c>
      <c r="H1886">
        <v>64144</v>
      </c>
      <c r="I1886">
        <v>29006</v>
      </c>
      <c r="J1886">
        <v>5</v>
      </c>
      <c r="K1886">
        <v>9</v>
      </c>
      <c r="L1886">
        <v>2</v>
      </c>
      <c r="M1886" t="s">
        <v>25</v>
      </c>
      <c r="N1886">
        <v>4</v>
      </c>
      <c r="O1886">
        <v>9</v>
      </c>
      <c r="P1886">
        <v>46</v>
      </c>
      <c r="Q1886">
        <v>3</v>
      </c>
      <c r="R1886">
        <v>3</v>
      </c>
      <c r="S1886" t="s">
        <v>25</v>
      </c>
    </row>
    <row r="1887" spans="1:19" x14ac:dyDescent="0.25">
      <c r="A1887">
        <v>11886</v>
      </c>
      <c r="B1887">
        <v>44</v>
      </c>
      <c r="C1887" t="s">
        <v>19</v>
      </c>
      <c r="D1887" t="s">
        <v>41</v>
      </c>
      <c r="E1887" t="s">
        <v>27</v>
      </c>
      <c r="F1887" t="s">
        <v>39</v>
      </c>
      <c r="G1887" t="s">
        <v>30</v>
      </c>
      <c r="H1887">
        <v>71882</v>
      </c>
      <c r="I1887">
        <v>23013</v>
      </c>
      <c r="J1887">
        <v>24</v>
      </c>
      <c r="K1887">
        <v>4</v>
      </c>
      <c r="L1887">
        <v>3</v>
      </c>
      <c r="M1887" t="s">
        <v>25</v>
      </c>
      <c r="N1887">
        <v>3</v>
      </c>
      <c r="O1887">
        <v>24</v>
      </c>
      <c r="P1887">
        <v>31</v>
      </c>
      <c r="Q1887">
        <v>3</v>
      </c>
      <c r="R1887">
        <v>3</v>
      </c>
      <c r="S1887" t="s">
        <v>25</v>
      </c>
    </row>
    <row r="1888" spans="1:19" x14ac:dyDescent="0.25">
      <c r="A1888">
        <v>11887</v>
      </c>
      <c r="B1888">
        <v>44</v>
      </c>
      <c r="C1888" t="s">
        <v>31</v>
      </c>
      <c r="D1888" t="s">
        <v>41</v>
      </c>
      <c r="E1888" t="s">
        <v>33</v>
      </c>
      <c r="F1888" t="s">
        <v>35</v>
      </c>
      <c r="G1888" t="s">
        <v>30</v>
      </c>
      <c r="H1888">
        <v>33526</v>
      </c>
      <c r="I1888">
        <v>932</v>
      </c>
      <c r="J1888">
        <v>13</v>
      </c>
      <c r="K1888">
        <v>13</v>
      </c>
      <c r="L1888">
        <v>3</v>
      </c>
      <c r="M1888" t="s">
        <v>24</v>
      </c>
      <c r="N1888">
        <v>2</v>
      </c>
      <c r="O1888">
        <v>1</v>
      </c>
      <c r="P1888">
        <v>50</v>
      </c>
      <c r="Q1888">
        <v>4</v>
      </c>
      <c r="R1888">
        <v>2</v>
      </c>
      <c r="S1888" t="s">
        <v>25</v>
      </c>
    </row>
    <row r="1889" spans="1:19" x14ac:dyDescent="0.25">
      <c r="A1889">
        <v>11888</v>
      </c>
      <c r="B1889">
        <v>30</v>
      </c>
      <c r="C1889" t="s">
        <v>31</v>
      </c>
      <c r="D1889" t="s">
        <v>34</v>
      </c>
      <c r="E1889" t="s">
        <v>27</v>
      </c>
      <c r="F1889" t="s">
        <v>35</v>
      </c>
      <c r="G1889" t="s">
        <v>38</v>
      </c>
      <c r="H1889">
        <v>86486</v>
      </c>
      <c r="I1889">
        <v>17785</v>
      </c>
      <c r="J1889">
        <v>15</v>
      </c>
      <c r="K1889">
        <v>9</v>
      </c>
      <c r="L1889">
        <v>5</v>
      </c>
      <c r="M1889" t="s">
        <v>25</v>
      </c>
      <c r="N1889">
        <v>2</v>
      </c>
      <c r="O1889">
        <v>8</v>
      </c>
      <c r="P1889">
        <v>24</v>
      </c>
      <c r="Q1889">
        <v>4</v>
      </c>
      <c r="R1889">
        <v>3</v>
      </c>
      <c r="S1889" t="s">
        <v>25</v>
      </c>
    </row>
    <row r="1890" spans="1:19" x14ac:dyDescent="0.25">
      <c r="A1890">
        <v>11889</v>
      </c>
      <c r="B1890">
        <v>25</v>
      </c>
      <c r="C1890" t="s">
        <v>31</v>
      </c>
      <c r="D1890" t="s">
        <v>34</v>
      </c>
      <c r="E1890" t="s">
        <v>33</v>
      </c>
      <c r="F1890" t="s">
        <v>22</v>
      </c>
      <c r="G1890" t="s">
        <v>38</v>
      </c>
      <c r="H1890">
        <v>37512</v>
      </c>
      <c r="I1890">
        <v>28203</v>
      </c>
      <c r="J1890">
        <v>7</v>
      </c>
      <c r="K1890">
        <v>7</v>
      </c>
      <c r="L1890">
        <v>5</v>
      </c>
      <c r="M1890" t="s">
        <v>24</v>
      </c>
      <c r="N1890">
        <v>4</v>
      </c>
      <c r="O1890">
        <v>5</v>
      </c>
      <c r="P1890">
        <v>23</v>
      </c>
      <c r="Q1890">
        <v>4</v>
      </c>
      <c r="R1890">
        <v>3</v>
      </c>
      <c r="S1890" t="s">
        <v>25</v>
      </c>
    </row>
    <row r="1891" spans="1:19" x14ac:dyDescent="0.25">
      <c r="A1891">
        <v>11890</v>
      </c>
      <c r="B1891">
        <v>59</v>
      </c>
      <c r="C1891" t="s">
        <v>19</v>
      </c>
      <c r="D1891" t="s">
        <v>28</v>
      </c>
      <c r="E1891" t="s">
        <v>33</v>
      </c>
      <c r="F1891" t="s">
        <v>22</v>
      </c>
      <c r="G1891" t="s">
        <v>30</v>
      </c>
      <c r="H1891">
        <v>36556</v>
      </c>
      <c r="I1891">
        <v>31768</v>
      </c>
      <c r="J1891">
        <v>6</v>
      </c>
      <c r="K1891">
        <v>13</v>
      </c>
      <c r="L1891">
        <v>3</v>
      </c>
      <c r="M1891" t="s">
        <v>25</v>
      </c>
      <c r="N1891">
        <v>4</v>
      </c>
      <c r="O1891">
        <v>4</v>
      </c>
      <c r="P1891">
        <v>43</v>
      </c>
      <c r="Q1891">
        <v>4</v>
      </c>
      <c r="R1891">
        <v>2</v>
      </c>
      <c r="S1891" t="s">
        <v>25</v>
      </c>
    </row>
    <row r="1892" spans="1:19" x14ac:dyDescent="0.25">
      <c r="A1892">
        <v>11891</v>
      </c>
      <c r="B1892">
        <v>20</v>
      </c>
      <c r="C1892" t="s">
        <v>19</v>
      </c>
      <c r="D1892" t="s">
        <v>20</v>
      </c>
      <c r="E1892" t="s">
        <v>33</v>
      </c>
      <c r="F1892" t="s">
        <v>39</v>
      </c>
      <c r="G1892" t="s">
        <v>30</v>
      </c>
      <c r="H1892">
        <v>40173</v>
      </c>
      <c r="I1892">
        <v>3469</v>
      </c>
      <c r="J1892">
        <v>14</v>
      </c>
      <c r="K1892">
        <v>7</v>
      </c>
      <c r="L1892">
        <v>3</v>
      </c>
      <c r="M1892" t="s">
        <v>25</v>
      </c>
      <c r="N1892">
        <v>2</v>
      </c>
      <c r="O1892">
        <v>18</v>
      </c>
      <c r="P1892">
        <v>9</v>
      </c>
      <c r="Q1892">
        <v>3</v>
      </c>
      <c r="R1892">
        <v>2</v>
      </c>
      <c r="S1892" t="s">
        <v>25</v>
      </c>
    </row>
    <row r="1893" spans="1:19" x14ac:dyDescent="0.25">
      <c r="A1893">
        <v>11892</v>
      </c>
      <c r="B1893">
        <v>59</v>
      </c>
      <c r="C1893" t="s">
        <v>31</v>
      </c>
      <c r="D1893" t="s">
        <v>41</v>
      </c>
      <c r="E1893" t="s">
        <v>27</v>
      </c>
      <c r="F1893" t="s">
        <v>35</v>
      </c>
      <c r="G1893" t="s">
        <v>30</v>
      </c>
      <c r="H1893">
        <v>81151</v>
      </c>
      <c r="I1893">
        <v>36540</v>
      </c>
      <c r="J1893">
        <v>21</v>
      </c>
      <c r="K1893">
        <v>9</v>
      </c>
      <c r="L1893">
        <v>4</v>
      </c>
      <c r="M1893" t="s">
        <v>25</v>
      </c>
      <c r="N1893">
        <v>4</v>
      </c>
      <c r="O1893">
        <v>20</v>
      </c>
      <c r="P1893">
        <v>46</v>
      </c>
      <c r="Q1893">
        <v>4</v>
      </c>
      <c r="R1893">
        <v>4</v>
      </c>
      <c r="S1893" t="s">
        <v>25</v>
      </c>
    </row>
    <row r="1894" spans="1:19" x14ac:dyDescent="0.25">
      <c r="A1894">
        <v>11893</v>
      </c>
      <c r="B1894">
        <v>59</v>
      </c>
      <c r="C1894" t="s">
        <v>19</v>
      </c>
      <c r="D1894" t="s">
        <v>28</v>
      </c>
      <c r="E1894" t="s">
        <v>27</v>
      </c>
      <c r="F1894" t="s">
        <v>35</v>
      </c>
      <c r="G1894" t="s">
        <v>38</v>
      </c>
      <c r="H1894">
        <v>80386</v>
      </c>
      <c r="I1894">
        <v>30221</v>
      </c>
      <c r="J1894">
        <v>4</v>
      </c>
      <c r="K1894">
        <v>2</v>
      </c>
      <c r="L1894">
        <v>2</v>
      </c>
      <c r="M1894" t="s">
        <v>25</v>
      </c>
      <c r="N1894">
        <v>1</v>
      </c>
      <c r="O1894">
        <v>12</v>
      </c>
      <c r="P1894">
        <v>5</v>
      </c>
      <c r="Q1894">
        <v>4</v>
      </c>
      <c r="R1894">
        <v>2</v>
      </c>
      <c r="S1894" t="s">
        <v>25</v>
      </c>
    </row>
    <row r="1895" spans="1:19" x14ac:dyDescent="0.25">
      <c r="A1895">
        <v>11894</v>
      </c>
      <c r="B1895">
        <v>42</v>
      </c>
      <c r="C1895" t="s">
        <v>31</v>
      </c>
      <c r="D1895" t="s">
        <v>28</v>
      </c>
      <c r="E1895" t="s">
        <v>21</v>
      </c>
      <c r="F1895" t="s">
        <v>22</v>
      </c>
      <c r="G1895" t="s">
        <v>38</v>
      </c>
      <c r="H1895">
        <v>96744</v>
      </c>
      <c r="I1895">
        <v>31643</v>
      </c>
      <c r="J1895">
        <v>3</v>
      </c>
      <c r="K1895">
        <v>9</v>
      </c>
      <c r="L1895">
        <v>3</v>
      </c>
      <c r="M1895" t="s">
        <v>25</v>
      </c>
      <c r="N1895">
        <v>2</v>
      </c>
      <c r="O1895">
        <v>39</v>
      </c>
      <c r="P1895">
        <v>42</v>
      </c>
      <c r="Q1895">
        <v>2</v>
      </c>
      <c r="R1895">
        <v>3</v>
      </c>
      <c r="S1895" t="s">
        <v>25</v>
      </c>
    </row>
    <row r="1896" spans="1:19" x14ac:dyDescent="0.25">
      <c r="A1896">
        <v>11895</v>
      </c>
      <c r="B1896">
        <v>41</v>
      </c>
      <c r="C1896" t="s">
        <v>31</v>
      </c>
      <c r="D1896" t="s">
        <v>41</v>
      </c>
      <c r="E1896" t="s">
        <v>40</v>
      </c>
      <c r="F1896" t="s">
        <v>39</v>
      </c>
      <c r="G1896" t="s">
        <v>30</v>
      </c>
      <c r="H1896">
        <v>11768</v>
      </c>
      <c r="I1896">
        <v>2091</v>
      </c>
      <c r="J1896">
        <v>3</v>
      </c>
      <c r="K1896">
        <v>3</v>
      </c>
      <c r="L1896">
        <v>5</v>
      </c>
      <c r="M1896" t="s">
        <v>24</v>
      </c>
      <c r="N1896">
        <v>3</v>
      </c>
      <c r="O1896">
        <v>17</v>
      </c>
      <c r="P1896">
        <v>43</v>
      </c>
      <c r="Q1896">
        <v>2</v>
      </c>
      <c r="R1896">
        <v>1</v>
      </c>
      <c r="S1896" t="s">
        <v>25</v>
      </c>
    </row>
    <row r="1897" spans="1:19" x14ac:dyDescent="0.25">
      <c r="A1897">
        <v>11896</v>
      </c>
      <c r="B1897">
        <v>35</v>
      </c>
      <c r="C1897" t="s">
        <v>19</v>
      </c>
      <c r="D1897" t="s">
        <v>20</v>
      </c>
      <c r="E1897" t="s">
        <v>33</v>
      </c>
      <c r="F1897" t="s">
        <v>39</v>
      </c>
      <c r="G1897" t="s">
        <v>38</v>
      </c>
      <c r="H1897">
        <v>25977</v>
      </c>
      <c r="I1897">
        <v>30083</v>
      </c>
      <c r="J1897">
        <v>4</v>
      </c>
      <c r="K1897">
        <v>4</v>
      </c>
      <c r="L1897">
        <v>3</v>
      </c>
      <c r="M1897" t="s">
        <v>24</v>
      </c>
      <c r="N1897">
        <v>1</v>
      </c>
      <c r="O1897">
        <v>21</v>
      </c>
      <c r="P1897">
        <v>17</v>
      </c>
      <c r="Q1897">
        <v>1</v>
      </c>
      <c r="R1897">
        <v>4</v>
      </c>
      <c r="S1897" t="s">
        <v>24</v>
      </c>
    </row>
    <row r="1898" spans="1:19" x14ac:dyDescent="0.25">
      <c r="A1898">
        <v>11897</v>
      </c>
      <c r="B1898">
        <v>25</v>
      </c>
      <c r="C1898" t="s">
        <v>31</v>
      </c>
      <c r="D1898" t="s">
        <v>34</v>
      </c>
      <c r="E1898" t="s">
        <v>36</v>
      </c>
      <c r="F1898" t="s">
        <v>39</v>
      </c>
      <c r="G1898" t="s">
        <v>30</v>
      </c>
      <c r="H1898">
        <v>57219</v>
      </c>
      <c r="I1898">
        <v>24132</v>
      </c>
      <c r="J1898">
        <v>8</v>
      </c>
      <c r="K1898">
        <v>7</v>
      </c>
      <c r="L1898">
        <v>3</v>
      </c>
      <c r="M1898" t="s">
        <v>25</v>
      </c>
      <c r="N1898">
        <v>4</v>
      </c>
      <c r="O1898">
        <v>4</v>
      </c>
      <c r="P1898">
        <v>59</v>
      </c>
      <c r="Q1898">
        <v>1</v>
      </c>
      <c r="R1898">
        <v>4</v>
      </c>
      <c r="S1898" t="s">
        <v>25</v>
      </c>
    </row>
    <row r="1899" spans="1:19" x14ac:dyDescent="0.25">
      <c r="A1899">
        <v>11898</v>
      </c>
      <c r="B1899">
        <v>32</v>
      </c>
      <c r="C1899" t="s">
        <v>19</v>
      </c>
      <c r="D1899" t="s">
        <v>28</v>
      </c>
      <c r="E1899" t="s">
        <v>33</v>
      </c>
      <c r="F1899" t="s">
        <v>37</v>
      </c>
      <c r="G1899" t="s">
        <v>38</v>
      </c>
      <c r="H1899">
        <v>42045</v>
      </c>
      <c r="I1899">
        <v>36029</v>
      </c>
      <c r="J1899">
        <v>21</v>
      </c>
      <c r="K1899">
        <v>12</v>
      </c>
      <c r="L1899">
        <v>3</v>
      </c>
      <c r="M1899" t="s">
        <v>25</v>
      </c>
      <c r="N1899">
        <v>2</v>
      </c>
      <c r="O1899">
        <v>30</v>
      </c>
      <c r="P1899">
        <v>10</v>
      </c>
      <c r="Q1899">
        <v>4</v>
      </c>
      <c r="R1899">
        <v>2</v>
      </c>
      <c r="S1899" t="s">
        <v>25</v>
      </c>
    </row>
    <row r="1900" spans="1:19" x14ac:dyDescent="0.25">
      <c r="A1900">
        <v>11899</v>
      </c>
      <c r="B1900">
        <v>22</v>
      </c>
      <c r="C1900" t="s">
        <v>19</v>
      </c>
      <c r="D1900" t="s">
        <v>20</v>
      </c>
      <c r="E1900" t="s">
        <v>21</v>
      </c>
      <c r="F1900" t="s">
        <v>22</v>
      </c>
      <c r="G1900" t="s">
        <v>30</v>
      </c>
      <c r="H1900">
        <v>125689</v>
      </c>
      <c r="I1900">
        <v>47341</v>
      </c>
      <c r="J1900">
        <v>6</v>
      </c>
      <c r="K1900">
        <v>2</v>
      </c>
      <c r="L1900">
        <v>3</v>
      </c>
      <c r="M1900" t="s">
        <v>24</v>
      </c>
      <c r="N1900">
        <v>2</v>
      </c>
      <c r="O1900">
        <v>14</v>
      </c>
      <c r="P1900">
        <v>58</v>
      </c>
      <c r="Q1900">
        <v>2</v>
      </c>
      <c r="R1900">
        <v>3</v>
      </c>
      <c r="S1900" t="s">
        <v>25</v>
      </c>
    </row>
    <row r="1901" spans="1:19" x14ac:dyDescent="0.25">
      <c r="A1901">
        <v>11900</v>
      </c>
      <c r="B1901">
        <v>35</v>
      </c>
      <c r="C1901" t="s">
        <v>19</v>
      </c>
      <c r="D1901" t="s">
        <v>41</v>
      </c>
      <c r="E1901" t="s">
        <v>36</v>
      </c>
      <c r="F1901" t="s">
        <v>22</v>
      </c>
      <c r="G1901" t="s">
        <v>38</v>
      </c>
      <c r="H1901">
        <v>47519</v>
      </c>
      <c r="I1901">
        <v>25633</v>
      </c>
      <c r="J1901">
        <v>22</v>
      </c>
      <c r="K1901">
        <v>9</v>
      </c>
      <c r="L1901">
        <v>3</v>
      </c>
      <c r="M1901" t="s">
        <v>24</v>
      </c>
      <c r="N1901">
        <v>3</v>
      </c>
      <c r="O1901">
        <v>17</v>
      </c>
      <c r="P1901">
        <v>51</v>
      </c>
      <c r="Q1901">
        <v>4</v>
      </c>
      <c r="R1901">
        <v>4</v>
      </c>
      <c r="S1901" t="s">
        <v>25</v>
      </c>
    </row>
    <row r="1902" spans="1:19" x14ac:dyDescent="0.25">
      <c r="A1902">
        <v>11901</v>
      </c>
      <c r="B1902">
        <v>32</v>
      </c>
      <c r="C1902" t="s">
        <v>19</v>
      </c>
      <c r="D1902" t="s">
        <v>28</v>
      </c>
      <c r="E1902" t="s">
        <v>21</v>
      </c>
      <c r="F1902" t="s">
        <v>35</v>
      </c>
      <c r="G1902" t="s">
        <v>38</v>
      </c>
      <c r="H1902">
        <v>122085</v>
      </c>
      <c r="I1902">
        <v>21833</v>
      </c>
      <c r="J1902">
        <v>6</v>
      </c>
      <c r="K1902">
        <v>8</v>
      </c>
      <c r="L1902">
        <v>4</v>
      </c>
      <c r="M1902" t="s">
        <v>25</v>
      </c>
      <c r="N1902">
        <v>4</v>
      </c>
      <c r="O1902">
        <v>6</v>
      </c>
      <c r="P1902">
        <v>21</v>
      </c>
      <c r="Q1902">
        <v>3</v>
      </c>
      <c r="R1902">
        <v>4</v>
      </c>
      <c r="S1902" t="s">
        <v>25</v>
      </c>
    </row>
    <row r="1903" spans="1:19" x14ac:dyDescent="0.25">
      <c r="A1903">
        <v>11902</v>
      </c>
      <c r="B1903">
        <v>38</v>
      </c>
      <c r="C1903" t="s">
        <v>19</v>
      </c>
      <c r="D1903" t="s">
        <v>20</v>
      </c>
      <c r="E1903" t="s">
        <v>33</v>
      </c>
      <c r="F1903" t="s">
        <v>37</v>
      </c>
      <c r="G1903" t="s">
        <v>38</v>
      </c>
      <c r="H1903">
        <v>40868</v>
      </c>
      <c r="I1903">
        <v>13989</v>
      </c>
      <c r="J1903">
        <v>5</v>
      </c>
      <c r="K1903">
        <v>14</v>
      </c>
      <c r="L1903">
        <v>3</v>
      </c>
      <c r="M1903" t="s">
        <v>25</v>
      </c>
      <c r="N1903">
        <v>3</v>
      </c>
      <c r="O1903">
        <v>29</v>
      </c>
      <c r="P1903">
        <v>59</v>
      </c>
      <c r="Q1903">
        <v>3</v>
      </c>
      <c r="R1903">
        <v>1</v>
      </c>
      <c r="S1903" t="s">
        <v>25</v>
      </c>
    </row>
    <row r="1904" spans="1:19" x14ac:dyDescent="0.25">
      <c r="A1904">
        <v>11903</v>
      </c>
      <c r="B1904">
        <v>56</v>
      </c>
      <c r="C1904" t="s">
        <v>19</v>
      </c>
      <c r="D1904" t="s">
        <v>20</v>
      </c>
      <c r="E1904" t="s">
        <v>36</v>
      </c>
      <c r="F1904" t="s">
        <v>35</v>
      </c>
      <c r="G1904" t="s">
        <v>38</v>
      </c>
      <c r="H1904">
        <v>51377</v>
      </c>
      <c r="I1904">
        <v>41631</v>
      </c>
      <c r="J1904">
        <v>13</v>
      </c>
      <c r="K1904">
        <v>11</v>
      </c>
      <c r="L1904">
        <v>4</v>
      </c>
      <c r="M1904" t="s">
        <v>25</v>
      </c>
      <c r="N1904">
        <v>1</v>
      </c>
      <c r="O1904">
        <v>18</v>
      </c>
      <c r="P1904">
        <v>50</v>
      </c>
      <c r="Q1904">
        <v>3</v>
      </c>
      <c r="R1904">
        <v>2</v>
      </c>
      <c r="S1904" t="s">
        <v>25</v>
      </c>
    </row>
    <row r="1905" spans="1:19" x14ac:dyDescent="0.25">
      <c r="A1905">
        <v>11904</v>
      </c>
      <c r="B1905">
        <v>25</v>
      </c>
      <c r="C1905" t="s">
        <v>19</v>
      </c>
      <c r="D1905" t="s">
        <v>20</v>
      </c>
      <c r="E1905" t="s">
        <v>33</v>
      </c>
      <c r="F1905" t="s">
        <v>39</v>
      </c>
      <c r="G1905" t="s">
        <v>38</v>
      </c>
      <c r="H1905">
        <v>42734</v>
      </c>
      <c r="I1905">
        <v>9535</v>
      </c>
      <c r="J1905">
        <v>7</v>
      </c>
      <c r="K1905">
        <v>7</v>
      </c>
      <c r="L1905">
        <v>2</v>
      </c>
      <c r="M1905" t="s">
        <v>25</v>
      </c>
      <c r="N1905">
        <v>2</v>
      </c>
      <c r="O1905">
        <v>1</v>
      </c>
      <c r="P1905">
        <v>57</v>
      </c>
      <c r="Q1905">
        <v>3</v>
      </c>
      <c r="R1905">
        <v>3</v>
      </c>
      <c r="S1905" t="s">
        <v>25</v>
      </c>
    </row>
    <row r="1906" spans="1:19" x14ac:dyDescent="0.25">
      <c r="A1906">
        <v>11905</v>
      </c>
      <c r="B1906">
        <v>32</v>
      </c>
      <c r="C1906" t="s">
        <v>19</v>
      </c>
      <c r="D1906" t="s">
        <v>20</v>
      </c>
      <c r="E1906" t="s">
        <v>33</v>
      </c>
      <c r="F1906" t="s">
        <v>35</v>
      </c>
      <c r="G1906" t="s">
        <v>23</v>
      </c>
      <c r="H1906">
        <v>43674</v>
      </c>
      <c r="I1906">
        <v>27226</v>
      </c>
      <c r="J1906">
        <v>5</v>
      </c>
      <c r="K1906">
        <v>0</v>
      </c>
      <c r="L1906">
        <v>5</v>
      </c>
      <c r="M1906" t="s">
        <v>24</v>
      </c>
      <c r="N1906">
        <v>3</v>
      </c>
      <c r="O1906">
        <v>37</v>
      </c>
      <c r="P1906">
        <v>49</v>
      </c>
      <c r="Q1906">
        <v>1</v>
      </c>
      <c r="R1906">
        <v>4</v>
      </c>
      <c r="S1906" t="s">
        <v>25</v>
      </c>
    </row>
    <row r="1907" spans="1:19" x14ac:dyDescent="0.25">
      <c r="A1907">
        <v>11906</v>
      </c>
      <c r="B1907">
        <v>37</v>
      </c>
      <c r="C1907" t="s">
        <v>19</v>
      </c>
      <c r="D1907" t="s">
        <v>28</v>
      </c>
      <c r="E1907" t="s">
        <v>33</v>
      </c>
      <c r="F1907" t="s">
        <v>39</v>
      </c>
      <c r="G1907" t="s">
        <v>30</v>
      </c>
      <c r="H1907">
        <v>34512</v>
      </c>
      <c r="I1907">
        <v>14750</v>
      </c>
      <c r="J1907">
        <v>5</v>
      </c>
      <c r="K1907">
        <v>6</v>
      </c>
      <c r="L1907">
        <v>3</v>
      </c>
      <c r="M1907" t="s">
        <v>25</v>
      </c>
      <c r="N1907">
        <v>1</v>
      </c>
      <c r="O1907">
        <v>7</v>
      </c>
      <c r="P1907">
        <v>36</v>
      </c>
      <c r="Q1907">
        <v>2</v>
      </c>
      <c r="R1907">
        <v>3</v>
      </c>
      <c r="S1907" t="s">
        <v>25</v>
      </c>
    </row>
    <row r="1908" spans="1:19" x14ac:dyDescent="0.25">
      <c r="A1908">
        <v>11907</v>
      </c>
      <c r="B1908">
        <v>54</v>
      </c>
      <c r="C1908" t="s">
        <v>31</v>
      </c>
      <c r="D1908" t="s">
        <v>41</v>
      </c>
      <c r="E1908" t="s">
        <v>27</v>
      </c>
      <c r="F1908" t="s">
        <v>22</v>
      </c>
      <c r="G1908" t="s">
        <v>30</v>
      </c>
      <c r="H1908">
        <v>63616</v>
      </c>
      <c r="I1908">
        <v>37301</v>
      </c>
      <c r="J1908">
        <v>10</v>
      </c>
      <c r="K1908">
        <v>13</v>
      </c>
      <c r="L1908">
        <v>5</v>
      </c>
      <c r="M1908" t="s">
        <v>25</v>
      </c>
      <c r="N1908">
        <v>4</v>
      </c>
      <c r="O1908">
        <v>2</v>
      </c>
      <c r="P1908">
        <v>59</v>
      </c>
      <c r="Q1908">
        <v>1</v>
      </c>
      <c r="R1908">
        <v>1</v>
      </c>
      <c r="S1908" t="s">
        <v>24</v>
      </c>
    </row>
    <row r="1909" spans="1:19" x14ac:dyDescent="0.25">
      <c r="A1909">
        <v>11908</v>
      </c>
      <c r="B1909">
        <v>24</v>
      </c>
      <c r="C1909" t="s">
        <v>19</v>
      </c>
      <c r="D1909" t="s">
        <v>20</v>
      </c>
      <c r="E1909" t="s">
        <v>33</v>
      </c>
      <c r="F1909" t="s">
        <v>39</v>
      </c>
      <c r="G1909" t="s">
        <v>38</v>
      </c>
      <c r="H1909">
        <v>29778</v>
      </c>
      <c r="I1909">
        <v>21836</v>
      </c>
      <c r="J1909">
        <v>4</v>
      </c>
      <c r="K1909">
        <v>12</v>
      </c>
      <c r="L1909">
        <v>3</v>
      </c>
      <c r="M1909" t="s">
        <v>25</v>
      </c>
      <c r="N1909">
        <v>3</v>
      </c>
      <c r="O1909">
        <v>26</v>
      </c>
      <c r="P1909">
        <v>7</v>
      </c>
      <c r="Q1909">
        <v>3</v>
      </c>
      <c r="R1909">
        <v>4</v>
      </c>
      <c r="S1909" t="s">
        <v>25</v>
      </c>
    </row>
    <row r="1910" spans="1:19" x14ac:dyDescent="0.25">
      <c r="A1910">
        <v>11909</v>
      </c>
      <c r="B1910">
        <v>26</v>
      </c>
      <c r="C1910" t="s">
        <v>19</v>
      </c>
      <c r="D1910" t="s">
        <v>32</v>
      </c>
      <c r="E1910" t="s">
        <v>27</v>
      </c>
      <c r="F1910" t="s">
        <v>22</v>
      </c>
      <c r="G1910" t="s">
        <v>30</v>
      </c>
      <c r="H1910">
        <v>86866</v>
      </c>
      <c r="I1910">
        <v>18335</v>
      </c>
      <c r="J1910">
        <v>5</v>
      </c>
      <c r="K1910">
        <v>2</v>
      </c>
      <c r="L1910">
        <v>4</v>
      </c>
      <c r="M1910" t="s">
        <v>25</v>
      </c>
      <c r="N1910">
        <v>3</v>
      </c>
      <c r="O1910">
        <v>35</v>
      </c>
      <c r="P1910">
        <v>52</v>
      </c>
      <c r="Q1910">
        <v>4</v>
      </c>
      <c r="R1910">
        <v>4</v>
      </c>
      <c r="S1910" t="s">
        <v>25</v>
      </c>
    </row>
    <row r="1911" spans="1:19" x14ac:dyDescent="0.25">
      <c r="A1911">
        <v>11910</v>
      </c>
      <c r="B1911">
        <v>23</v>
      </c>
      <c r="C1911" t="s">
        <v>19</v>
      </c>
      <c r="D1911" t="s">
        <v>20</v>
      </c>
      <c r="E1911" t="s">
        <v>33</v>
      </c>
      <c r="F1911" t="s">
        <v>39</v>
      </c>
      <c r="G1911" t="s">
        <v>38</v>
      </c>
      <c r="H1911">
        <v>27153</v>
      </c>
      <c r="I1911">
        <v>40037</v>
      </c>
      <c r="J1911">
        <v>24</v>
      </c>
      <c r="K1911">
        <v>14</v>
      </c>
      <c r="L1911">
        <v>1</v>
      </c>
      <c r="M1911" t="s">
        <v>25</v>
      </c>
      <c r="N1911">
        <v>4</v>
      </c>
      <c r="O1911">
        <v>30</v>
      </c>
      <c r="P1911">
        <v>27</v>
      </c>
      <c r="Q1911">
        <v>3</v>
      </c>
      <c r="R1911">
        <v>4</v>
      </c>
      <c r="S1911" t="s">
        <v>25</v>
      </c>
    </row>
    <row r="1912" spans="1:19" x14ac:dyDescent="0.25">
      <c r="A1912">
        <v>11911</v>
      </c>
      <c r="B1912">
        <v>29</v>
      </c>
      <c r="C1912" t="s">
        <v>19</v>
      </c>
      <c r="D1912" t="s">
        <v>20</v>
      </c>
      <c r="E1912" t="s">
        <v>36</v>
      </c>
      <c r="F1912" t="s">
        <v>35</v>
      </c>
      <c r="G1912" t="s">
        <v>30</v>
      </c>
      <c r="H1912">
        <v>49754</v>
      </c>
      <c r="I1912">
        <v>47187</v>
      </c>
      <c r="J1912">
        <v>24</v>
      </c>
      <c r="K1912">
        <v>8</v>
      </c>
      <c r="L1912">
        <v>5</v>
      </c>
      <c r="M1912" t="s">
        <v>25</v>
      </c>
      <c r="N1912">
        <v>1</v>
      </c>
      <c r="O1912">
        <v>7</v>
      </c>
      <c r="P1912">
        <v>8</v>
      </c>
      <c r="Q1912">
        <v>4</v>
      </c>
      <c r="R1912">
        <v>2</v>
      </c>
      <c r="S1912" t="s">
        <v>25</v>
      </c>
    </row>
    <row r="1913" spans="1:19" x14ac:dyDescent="0.25">
      <c r="A1913">
        <v>11912</v>
      </c>
      <c r="B1913">
        <v>35</v>
      </c>
      <c r="C1913" t="s">
        <v>19</v>
      </c>
      <c r="D1913" t="s">
        <v>20</v>
      </c>
      <c r="E1913" t="s">
        <v>36</v>
      </c>
      <c r="F1913" t="s">
        <v>39</v>
      </c>
      <c r="G1913" t="s">
        <v>30</v>
      </c>
      <c r="H1913">
        <v>47497</v>
      </c>
      <c r="I1913">
        <v>16733</v>
      </c>
      <c r="J1913">
        <v>2</v>
      </c>
      <c r="K1913">
        <v>9</v>
      </c>
      <c r="L1913">
        <v>2</v>
      </c>
      <c r="M1913" t="s">
        <v>25</v>
      </c>
      <c r="N1913">
        <v>1</v>
      </c>
      <c r="O1913">
        <v>19</v>
      </c>
      <c r="P1913">
        <v>22</v>
      </c>
      <c r="Q1913">
        <v>2</v>
      </c>
      <c r="R1913">
        <v>2</v>
      </c>
      <c r="S1913" t="s">
        <v>25</v>
      </c>
    </row>
    <row r="1914" spans="1:19" x14ac:dyDescent="0.25">
      <c r="A1914">
        <v>11913</v>
      </c>
      <c r="B1914">
        <v>43</v>
      </c>
      <c r="C1914" t="s">
        <v>19</v>
      </c>
      <c r="D1914" t="s">
        <v>20</v>
      </c>
      <c r="E1914" t="s">
        <v>36</v>
      </c>
      <c r="F1914" t="s">
        <v>35</v>
      </c>
      <c r="G1914" t="s">
        <v>30</v>
      </c>
      <c r="H1914">
        <v>57292</v>
      </c>
      <c r="I1914">
        <v>1839</v>
      </c>
      <c r="J1914">
        <v>2</v>
      </c>
      <c r="K1914">
        <v>11</v>
      </c>
      <c r="L1914">
        <v>3</v>
      </c>
      <c r="M1914" t="s">
        <v>25</v>
      </c>
      <c r="N1914">
        <v>4</v>
      </c>
      <c r="O1914">
        <v>38</v>
      </c>
      <c r="P1914">
        <v>9</v>
      </c>
      <c r="Q1914">
        <v>4</v>
      </c>
      <c r="R1914">
        <v>4</v>
      </c>
      <c r="S1914" t="s">
        <v>25</v>
      </c>
    </row>
    <row r="1915" spans="1:19" x14ac:dyDescent="0.25">
      <c r="A1915">
        <v>11914</v>
      </c>
      <c r="B1915">
        <v>24</v>
      </c>
      <c r="C1915" t="s">
        <v>19</v>
      </c>
      <c r="D1915" t="s">
        <v>34</v>
      </c>
      <c r="E1915" t="s">
        <v>40</v>
      </c>
      <c r="F1915" t="s">
        <v>39</v>
      </c>
      <c r="G1915" t="s">
        <v>30</v>
      </c>
      <c r="H1915">
        <v>19455</v>
      </c>
      <c r="I1915">
        <v>25800</v>
      </c>
      <c r="J1915">
        <v>22</v>
      </c>
      <c r="K1915">
        <v>4</v>
      </c>
      <c r="L1915">
        <v>3</v>
      </c>
      <c r="M1915" t="s">
        <v>24</v>
      </c>
      <c r="N1915">
        <v>4</v>
      </c>
      <c r="O1915">
        <v>26</v>
      </c>
      <c r="P1915">
        <v>5</v>
      </c>
      <c r="Q1915">
        <v>4</v>
      </c>
      <c r="R1915">
        <v>3</v>
      </c>
      <c r="S1915" t="s">
        <v>25</v>
      </c>
    </row>
    <row r="1916" spans="1:19" x14ac:dyDescent="0.25">
      <c r="A1916">
        <v>11915</v>
      </c>
      <c r="B1916">
        <v>37</v>
      </c>
      <c r="C1916" t="s">
        <v>19</v>
      </c>
      <c r="D1916" t="s">
        <v>34</v>
      </c>
      <c r="E1916" t="s">
        <v>21</v>
      </c>
      <c r="F1916" t="s">
        <v>39</v>
      </c>
      <c r="G1916" t="s">
        <v>38</v>
      </c>
      <c r="H1916">
        <v>94047</v>
      </c>
      <c r="I1916">
        <v>34289</v>
      </c>
      <c r="J1916">
        <v>5</v>
      </c>
      <c r="K1916">
        <v>8</v>
      </c>
      <c r="L1916">
        <v>3</v>
      </c>
      <c r="M1916" t="s">
        <v>25</v>
      </c>
      <c r="N1916">
        <v>3</v>
      </c>
      <c r="O1916">
        <v>10</v>
      </c>
      <c r="P1916">
        <v>27</v>
      </c>
      <c r="Q1916">
        <v>4</v>
      </c>
      <c r="R1916">
        <v>3</v>
      </c>
      <c r="S1916" t="s">
        <v>25</v>
      </c>
    </row>
    <row r="1917" spans="1:19" x14ac:dyDescent="0.25">
      <c r="A1917">
        <v>11916</v>
      </c>
      <c r="B1917">
        <v>24</v>
      </c>
      <c r="C1917" t="s">
        <v>19</v>
      </c>
      <c r="D1917" t="s">
        <v>26</v>
      </c>
      <c r="E1917" t="s">
        <v>36</v>
      </c>
      <c r="F1917" t="s">
        <v>39</v>
      </c>
      <c r="G1917" t="s">
        <v>38</v>
      </c>
      <c r="H1917">
        <v>56717</v>
      </c>
      <c r="I1917">
        <v>498</v>
      </c>
      <c r="J1917">
        <v>7</v>
      </c>
      <c r="K1917">
        <v>14</v>
      </c>
      <c r="L1917">
        <v>3</v>
      </c>
      <c r="M1917" t="s">
        <v>25</v>
      </c>
      <c r="N1917">
        <v>3</v>
      </c>
      <c r="O1917">
        <v>19</v>
      </c>
      <c r="P1917">
        <v>24</v>
      </c>
      <c r="Q1917">
        <v>3</v>
      </c>
      <c r="R1917">
        <v>3</v>
      </c>
      <c r="S1917" t="s">
        <v>25</v>
      </c>
    </row>
    <row r="1918" spans="1:19" x14ac:dyDescent="0.25">
      <c r="A1918">
        <v>11917</v>
      </c>
      <c r="B1918">
        <v>26</v>
      </c>
      <c r="C1918" t="s">
        <v>19</v>
      </c>
      <c r="D1918" t="s">
        <v>41</v>
      </c>
      <c r="E1918" t="s">
        <v>40</v>
      </c>
      <c r="F1918" t="s">
        <v>39</v>
      </c>
      <c r="G1918" t="s">
        <v>30</v>
      </c>
      <c r="H1918">
        <v>17811</v>
      </c>
      <c r="I1918">
        <v>26030</v>
      </c>
      <c r="J1918">
        <v>19</v>
      </c>
      <c r="K1918">
        <v>3</v>
      </c>
      <c r="L1918">
        <v>3</v>
      </c>
      <c r="M1918" t="s">
        <v>25</v>
      </c>
      <c r="N1918">
        <v>3</v>
      </c>
      <c r="O1918">
        <v>38</v>
      </c>
      <c r="P1918">
        <v>31</v>
      </c>
      <c r="Q1918">
        <v>3</v>
      </c>
      <c r="R1918">
        <v>4</v>
      </c>
      <c r="S1918" t="s">
        <v>25</v>
      </c>
    </row>
    <row r="1919" spans="1:19" x14ac:dyDescent="0.25">
      <c r="A1919">
        <v>11918</v>
      </c>
      <c r="B1919">
        <v>29</v>
      </c>
      <c r="C1919" t="s">
        <v>31</v>
      </c>
      <c r="D1919" t="s">
        <v>32</v>
      </c>
      <c r="E1919" t="s">
        <v>21</v>
      </c>
      <c r="F1919" t="s">
        <v>39</v>
      </c>
      <c r="G1919" t="s">
        <v>38</v>
      </c>
      <c r="H1919">
        <v>102365</v>
      </c>
      <c r="I1919">
        <v>38022</v>
      </c>
      <c r="J1919">
        <v>16</v>
      </c>
      <c r="K1919">
        <v>13</v>
      </c>
      <c r="L1919">
        <v>4</v>
      </c>
      <c r="M1919" t="s">
        <v>24</v>
      </c>
      <c r="N1919">
        <v>3</v>
      </c>
      <c r="O1919">
        <v>20</v>
      </c>
      <c r="P1919">
        <v>18</v>
      </c>
      <c r="Q1919">
        <v>3</v>
      </c>
      <c r="R1919">
        <v>2</v>
      </c>
      <c r="S1919" t="s">
        <v>25</v>
      </c>
    </row>
    <row r="1920" spans="1:19" x14ac:dyDescent="0.25">
      <c r="A1920">
        <v>11919</v>
      </c>
      <c r="B1920">
        <v>39</v>
      </c>
      <c r="C1920" t="s">
        <v>31</v>
      </c>
      <c r="D1920" t="s">
        <v>28</v>
      </c>
      <c r="E1920" t="s">
        <v>27</v>
      </c>
      <c r="F1920" t="s">
        <v>39</v>
      </c>
      <c r="G1920" t="s">
        <v>30</v>
      </c>
      <c r="H1920">
        <v>75009</v>
      </c>
      <c r="I1920">
        <v>43017</v>
      </c>
      <c r="J1920">
        <v>22</v>
      </c>
      <c r="K1920">
        <v>0</v>
      </c>
      <c r="L1920">
        <v>4</v>
      </c>
      <c r="M1920" t="s">
        <v>24</v>
      </c>
      <c r="N1920">
        <v>3</v>
      </c>
      <c r="O1920">
        <v>5</v>
      </c>
      <c r="P1920">
        <v>57</v>
      </c>
      <c r="Q1920">
        <v>2</v>
      </c>
      <c r="R1920">
        <v>4</v>
      </c>
      <c r="S1920" t="s">
        <v>25</v>
      </c>
    </row>
    <row r="1921" spans="1:19" x14ac:dyDescent="0.25">
      <c r="A1921">
        <v>11920</v>
      </c>
      <c r="B1921">
        <v>58</v>
      </c>
      <c r="C1921" t="s">
        <v>31</v>
      </c>
      <c r="D1921" t="s">
        <v>41</v>
      </c>
      <c r="E1921" t="s">
        <v>40</v>
      </c>
      <c r="F1921" t="s">
        <v>22</v>
      </c>
      <c r="G1921" t="s">
        <v>30</v>
      </c>
      <c r="H1921">
        <v>11750</v>
      </c>
      <c r="I1921">
        <v>32421</v>
      </c>
      <c r="J1921">
        <v>19</v>
      </c>
      <c r="K1921">
        <v>1</v>
      </c>
      <c r="L1921">
        <v>3</v>
      </c>
      <c r="M1921" t="s">
        <v>24</v>
      </c>
      <c r="N1921">
        <v>3</v>
      </c>
      <c r="O1921">
        <v>39</v>
      </c>
      <c r="P1921">
        <v>11</v>
      </c>
      <c r="Q1921">
        <v>2</v>
      </c>
      <c r="R1921">
        <v>3</v>
      </c>
      <c r="S1921" t="s">
        <v>25</v>
      </c>
    </row>
    <row r="1922" spans="1:19" x14ac:dyDescent="0.25">
      <c r="A1922">
        <v>11921</v>
      </c>
      <c r="B1922">
        <v>54</v>
      </c>
      <c r="C1922" t="s">
        <v>31</v>
      </c>
      <c r="D1922" t="s">
        <v>26</v>
      </c>
      <c r="E1922" t="s">
        <v>36</v>
      </c>
      <c r="F1922" t="s">
        <v>39</v>
      </c>
      <c r="G1922" t="s">
        <v>38</v>
      </c>
      <c r="H1922">
        <v>60130</v>
      </c>
      <c r="I1922">
        <v>22789</v>
      </c>
      <c r="J1922">
        <v>5</v>
      </c>
      <c r="K1922">
        <v>7</v>
      </c>
      <c r="L1922">
        <v>3</v>
      </c>
      <c r="M1922" t="s">
        <v>25</v>
      </c>
      <c r="N1922">
        <v>4</v>
      </c>
      <c r="O1922">
        <v>11</v>
      </c>
      <c r="P1922">
        <v>20</v>
      </c>
      <c r="Q1922">
        <v>3</v>
      </c>
      <c r="R1922">
        <v>4</v>
      </c>
      <c r="S1922" t="s">
        <v>25</v>
      </c>
    </row>
    <row r="1923" spans="1:19" x14ac:dyDescent="0.25">
      <c r="A1923">
        <v>11922</v>
      </c>
      <c r="B1923">
        <v>29</v>
      </c>
      <c r="C1923" t="s">
        <v>31</v>
      </c>
      <c r="D1923" t="s">
        <v>20</v>
      </c>
      <c r="E1923" t="s">
        <v>27</v>
      </c>
      <c r="F1923" t="s">
        <v>39</v>
      </c>
      <c r="G1923" t="s">
        <v>38</v>
      </c>
      <c r="H1923">
        <v>84689</v>
      </c>
      <c r="I1923">
        <v>2634</v>
      </c>
      <c r="J1923">
        <v>9</v>
      </c>
      <c r="K1923">
        <v>13</v>
      </c>
      <c r="L1923">
        <v>5</v>
      </c>
      <c r="M1923" t="s">
        <v>24</v>
      </c>
      <c r="N1923">
        <v>1</v>
      </c>
      <c r="O1923">
        <v>32</v>
      </c>
      <c r="P1923">
        <v>35</v>
      </c>
      <c r="Q1923">
        <v>2</v>
      </c>
      <c r="R1923">
        <v>4</v>
      </c>
      <c r="S1923" t="s">
        <v>24</v>
      </c>
    </row>
    <row r="1924" spans="1:19" x14ac:dyDescent="0.25">
      <c r="A1924">
        <v>11923</v>
      </c>
      <c r="B1924">
        <v>35</v>
      </c>
      <c r="C1924" t="s">
        <v>19</v>
      </c>
      <c r="D1924" t="s">
        <v>28</v>
      </c>
      <c r="E1924" t="s">
        <v>33</v>
      </c>
      <c r="F1924" t="s">
        <v>39</v>
      </c>
      <c r="G1924" t="s">
        <v>38</v>
      </c>
      <c r="H1924">
        <v>29211</v>
      </c>
      <c r="I1924">
        <v>34006</v>
      </c>
      <c r="J1924">
        <v>24</v>
      </c>
      <c r="K1924">
        <v>4</v>
      </c>
      <c r="L1924">
        <v>3</v>
      </c>
      <c r="M1924" t="s">
        <v>25</v>
      </c>
      <c r="N1924">
        <v>4</v>
      </c>
      <c r="O1924">
        <v>28</v>
      </c>
      <c r="P1924">
        <v>8</v>
      </c>
      <c r="Q1924">
        <v>1</v>
      </c>
      <c r="R1924">
        <v>2</v>
      </c>
      <c r="S1924" t="s">
        <v>25</v>
      </c>
    </row>
    <row r="1925" spans="1:19" x14ac:dyDescent="0.25">
      <c r="A1925">
        <v>11924</v>
      </c>
      <c r="B1925">
        <v>57</v>
      </c>
      <c r="C1925" t="s">
        <v>19</v>
      </c>
      <c r="D1925" t="s">
        <v>28</v>
      </c>
      <c r="E1925" t="s">
        <v>33</v>
      </c>
      <c r="F1925" t="s">
        <v>39</v>
      </c>
      <c r="G1925" t="s">
        <v>38</v>
      </c>
      <c r="H1925">
        <v>40038</v>
      </c>
      <c r="I1925">
        <v>20554</v>
      </c>
      <c r="J1925">
        <v>21</v>
      </c>
      <c r="K1925">
        <v>5</v>
      </c>
      <c r="L1925">
        <v>2</v>
      </c>
      <c r="M1925" t="s">
        <v>25</v>
      </c>
      <c r="N1925">
        <v>3</v>
      </c>
      <c r="O1925">
        <v>21</v>
      </c>
      <c r="P1925">
        <v>16</v>
      </c>
      <c r="Q1925">
        <v>4</v>
      </c>
      <c r="R1925">
        <v>2</v>
      </c>
      <c r="S1925" t="s">
        <v>25</v>
      </c>
    </row>
    <row r="1926" spans="1:19" x14ac:dyDescent="0.25">
      <c r="A1926">
        <v>11925</v>
      </c>
      <c r="B1926">
        <v>54</v>
      </c>
      <c r="C1926" t="s">
        <v>19</v>
      </c>
      <c r="D1926" t="s">
        <v>28</v>
      </c>
      <c r="E1926" t="s">
        <v>33</v>
      </c>
      <c r="F1926" t="s">
        <v>39</v>
      </c>
      <c r="G1926" t="s">
        <v>38</v>
      </c>
      <c r="H1926">
        <v>25299</v>
      </c>
      <c r="I1926">
        <v>46997</v>
      </c>
      <c r="J1926">
        <v>0</v>
      </c>
      <c r="K1926">
        <v>4</v>
      </c>
      <c r="L1926">
        <v>4</v>
      </c>
      <c r="M1926" t="s">
        <v>25</v>
      </c>
      <c r="N1926">
        <v>1</v>
      </c>
      <c r="O1926">
        <v>36</v>
      </c>
      <c r="P1926">
        <v>37</v>
      </c>
      <c r="Q1926">
        <v>2</v>
      </c>
      <c r="R1926">
        <v>2</v>
      </c>
      <c r="S1926" t="s">
        <v>25</v>
      </c>
    </row>
    <row r="1927" spans="1:19" x14ac:dyDescent="0.25">
      <c r="A1927">
        <v>11926</v>
      </c>
      <c r="B1927">
        <v>53</v>
      </c>
      <c r="C1927" t="s">
        <v>19</v>
      </c>
      <c r="D1927" t="s">
        <v>28</v>
      </c>
      <c r="E1927" t="s">
        <v>27</v>
      </c>
      <c r="F1927" t="s">
        <v>35</v>
      </c>
      <c r="G1927" t="s">
        <v>38</v>
      </c>
      <c r="H1927">
        <v>62300</v>
      </c>
      <c r="I1927">
        <v>39320</v>
      </c>
      <c r="J1927">
        <v>24</v>
      </c>
      <c r="K1927">
        <v>13</v>
      </c>
      <c r="L1927">
        <v>3</v>
      </c>
      <c r="M1927" t="s">
        <v>25</v>
      </c>
      <c r="N1927">
        <v>3</v>
      </c>
      <c r="O1927">
        <v>24</v>
      </c>
      <c r="P1927">
        <v>58</v>
      </c>
      <c r="Q1927">
        <v>3</v>
      </c>
      <c r="R1927">
        <v>2</v>
      </c>
      <c r="S1927" t="s">
        <v>25</v>
      </c>
    </row>
    <row r="1928" spans="1:19" x14ac:dyDescent="0.25">
      <c r="A1928">
        <v>11927</v>
      </c>
      <c r="B1928">
        <v>40</v>
      </c>
      <c r="C1928" t="s">
        <v>31</v>
      </c>
      <c r="D1928" t="s">
        <v>20</v>
      </c>
      <c r="E1928" t="s">
        <v>36</v>
      </c>
      <c r="F1928" t="s">
        <v>39</v>
      </c>
      <c r="G1928" t="s">
        <v>23</v>
      </c>
      <c r="H1928">
        <v>54018</v>
      </c>
      <c r="I1928">
        <v>4306</v>
      </c>
      <c r="J1928">
        <v>5</v>
      </c>
      <c r="K1928">
        <v>9</v>
      </c>
      <c r="L1928">
        <v>3</v>
      </c>
      <c r="M1928" t="s">
        <v>25</v>
      </c>
      <c r="N1928">
        <v>3</v>
      </c>
      <c r="O1928">
        <v>26</v>
      </c>
      <c r="P1928">
        <v>18</v>
      </c>
      <c r="Q1928">
        <v>3</v>
      </c>
      <c r="R1928">
        <v>2</v>
      </c>
      <c r="S1928" t="s">
        <v>25</v>
      </c>
    </row>
    <row r="1929" spans="1:19" x14ac:dyDescent="0.25">
      <c r="A1929">
        <v>11928</v>
      </c>
      <c r="B1929">
        <v>23</v>
      </c>
      <c r="C1929" t="s">
        <v>31</v>
      </c>
      <c r="D1929" t="s">
        <v>41</v>
      </c>
      <c r="E1929" t="s">
        <v>27</v>
      </c>
      <c r="F1929" t="s">
        <v>22</v>
      </c>
      <c r="G1929" t="s">
        <v>30</v>
      </c>
      <c r="H1929">
        <v>78559</v>
      </c>
      <c r="I1929">
        <v>5221</v>
      </c>
      <c r="J1929">
        <v>14</v>
      </c>
      <c r="K1929">
        <v>4</v>
      </c>
      <c r="L1929">
        <v>2</v>
      </c>
      <c r="M1929" t="s">
        <v>24</v>
      </c>
      <c r="N1929">
        <v>2</v>
      </c>
      <c r="O1929">
        <v>12</v>
      </c>
      <c r="P1929">
        <v>26</v>
      </c>
      <c r="Q1929">
        <v>4</v>
      </c>
      <c r="R1929">
        <v>1</v>
      </c>
      <c r="S1929" t="s">
        <v>25</v>
      </c>
    </row>
    <row r="1930" spans="1:19" x14ac:dyDescent="0.25">
      <c r="A1930">
        <v>11929</v>
      </c>
      <c r="B1930">
        <v>53</v>
      </c>
      <c r="C1930" t="s">
        <v>31</v>
      </c>
      <c r="D1930" t="s">
        <v>20</v>
      </c>
      <c r="E1930" t="s">
        <v>27</v>
      </c>
      <c r="F1930" t="s">
        <v>35</v>
      </c>
      <c r="G1930" t="s">
        <v>30</v>
      </c>
      <c r="H1930">
        <v>89462</v>
      </c>
      <c r="I1930">
        <v>3440</v>
      </c>
      <c r="J1930">
        <v>9</v>
      </c>
      <c r="K1930">
        <v>3</v>
      </c>
      <c r="L1930">
        <v>3</v>
      </c>
      <c r="M1930" t="s">
        <v>25</v>
      </c>
      <c r="N1930">
        <v>2</v>
      </c>
      <c r="O1930">
        <v>2</v>
      </c>
      <c r="P1930">
        <v>53</v>
      </c>
      <c r="Q1930">
        <v>4</v>
      </c>
      <c r="R1930">
        <v>2</v>
      </c>
      <c r="S1930" t="s">
        <v>25</v>
      </c>
    </row>
    <row r="1931" spans="1:19" x14ac:dyDescent="0.25">
      <c r="A1931">
        <v>11930</v>
      </c>
      <c r="B1931">
        <v>41</v>
      </c>
      <c r="C1931" t="s">
        <v>19</v>
      </c>
      <c r="D1931" t="s">
        <v>26</v>
      </c>
      <c r="E1931" t="s">
        <v>40</v>
      </c>
      <c r="F1931" t="s">
        <v>39</v>
      </c>
      <c r="G1931" t="s">
        <v>23</v>
      </c>
      <c r="H1931">
        <v>18141</v>
      </c>
      <c r="I1931">
        <v>31090</v>
      </c>
      <c r="J1931">
        <v>17</v>
      </c>
      <c r="K1931">
        <v>3</v>
      </c>
      <c r="L1931">
        <v>5</v>
      </c>
      <c r="M1931" t="s">
        <v>25</v>
      </c>
      <c r="N1931">
        <v>3</v>
      </c>
      <c r="O1931">
        <v>35</v>
      </c>
      <c r="P1931">
        <v>30</v>
      </c>
      <c r="Q1931">
        <v>3</v>
      </c>
      <c r="R1931">
        <v>4</v>
      </c>
      <c r="S1931" t="s">
        <v>24</v>
      </c>
    </row>
    <row r="1932" spans="1:19" x14ac:dyDescent="0.25">
      <c r="A1932">
        <v>11931</v>
      </c>
      <c r="B1932">
        <v>37</v>
      </c>
      <c r="C1932" t="s">
        <v>19</v>
      </c>
      <c r="D1932" t="s">
        <v>41</v>
      </c>
      <c r="E1932" t="s">
        <v>21</v>
      </c>
      <c r="F1932" t="s">
        <v>22</v>
      </c>
      <c r="G1932" t="s">
        <v>38</v>
      </c>
      <c r="H1932">
        <v>107928</v>
      </c>
      <c r="I1932">
        <v>47428</v>
      </c>
      <c r="J1932">
        <v>20</v>
      </c>
      <c r="K1932">
        <v>1</v>
      </c>
      <c r="L1932">
        <v>3</v>
      </c>
      <c r="M1932" t="s">
        <v>25</v>
      </c>
      <c r="N1932">
        <v>3</v>
      </c>
      <c r="O1932">
        <v>9</v>
      </c>
      <c r="P1932">
        <v>30</v>
      </c>
      <c r="Q1932">
        <v>4</v>
      </c>
      <c r="R1932">
        <v>2</v>
      </c>
      <c r="S1932" t="s">
        <v>25</v>
      </c>
    </row>
    <row r="1933" spans="1:19" x14ac:dyDescent="0.25">
      <c r="A1933">
        <v>11932</v>
      </c>
      <c r="B1933">
        <v>24</v>
      </c>
      <c r="C1933" t="s">
        <v>19</v>
      </c>
      <c r="D1933" t="s">
        <v>34</v>
      </c>
      <c r="E1933" t="s">
        <v>40</v>
      </c>
      <c r="F1933" t="s">
        <v>35</v>
      </c>
      <c r="G1933" t="s">
        <v>30</v>
      </c>
      <c r="H1933">
        <v>17140</v>
      </c>
      <c r="I1933">
        <v>31339</v>
      </c>
      <c r="J1933">
        <v>14</v>
      </c>
      <c r="K1933">
        <v>2</v>
      </c>
      <c r="L1933">
        <v>4</v>
      </c>
      <c r="M1933" t="s">
        <v>24</v>
      </c>
      <c r="N1933">
        <v>3</v>
      </c>
      <c r="O1933">
        <v>18</v>
      </c>
      <c r="P1933">
        <v>25</v>
      </c>
      <c r="Q1933">
        <v>2</v>
      </c>
      <c r="R1933">
        <v>4</v>
      </c>
      <c r="S1933" t="s">
        <v>24</v>
      </c>
    </row>
    <row r="1934" spans="1:19" x14ac:dyDescent="0.25">
      <c r="A1934">
        <v>11933</v>
      </c>
      <c r="B1934">
        <v>30</v>
      </c>
      <c r="C1934" t="s">
        <v>19</v>
      </c>
      <c r="D1934" t="s">
        <v>34</v>
      </c>
      <c r="E1934" t="s">
        <v>40</v>
      </c>
      <c r="F1934" t="s">
        <v>22</v>
      </c>
      <c r="G1934" t="s">
        <v>23</v>
      </c>
      <c r="H1934">
        <v>17778</v>
      </c>
      <c r="I1934">
        <v>36418</v>
      </c>
      <c r="J1934">
        <v>9</v>
      </c>
      <c r="K1934">
        <v>4</v>
      </c>
      <c r="L1934">
        <v>3</v>
      </c>
      <c r="M1934" t="s">
        <v>25</v>
      </c>
      <c r="N1934">
        <v>3</v>
      </c>
      <c r="O1934">
        <v>9</v>
      </c>
      <c r="P1934">
        <v>11</v>
      </c>
      <c r="Q1934">
        <v>3</v>
      </c>
      <c r="R1934">
        <v>1</v>
      </c>
      <c r="S1934" t="s">
        <v>24</v>
      </c>
    </row>
    <row r="1935" spans="1:19" x14ac:dyDescent="0.25">
      <c r="A1935">
        <v>11934</v>
      </c>
      <c r="B1935">
        <v>49</v>
      </c>
      <c r="C1935" t="s">
        <v>19</v>
      </c>
      <c r="D1935" t="s">
        <v>34</v>
      </c>
      <c r="E1935" t="s">
        <v>27</v>
      </c>
      <c r="F1935" t="s">
        <v>39</v>
      </c>
      <c r="G1935" t="s">
        <v>23</v>
      </c>
      <c r="H1935">
        <v>63128</v>
      </c>
      <c r="I1935">
        <v>26783</v>
      </c>
      <c r="J1935">
        <v>8</v>
      </c>
      <c r="K1935">
        <v>1</v>
      </c>
      <c r="L1935">
        <v>3</v>
      </c>
      <c r="M1935" t="s">
        <v>25</v>
      </c>
      <c r="N1935">
        <v>4</v>
      </c>
      <c r="O1935">
        <v>33</v>
      </c>
      <c r="P1935">
        <v>58</v>
      </c>
      <c r="Q1935">
        <v>3</v>
      </c>
      <c r="R1935">
        <v>2</v>
      </c>
      <c r="S1935" t="s">
        <v>25</v>
      </c>
    </row>
    <row r="1936" spans="1:19" x14ac:dyDescent="0.25">
      <c r="A1936">
        <v>11935</v>
      </c>
      <c r="B1936">
        <v>39</v>
      </c>
      <c r="C1936" t="s">
        <v>19</v>
      </c>
      <c r="D1936" t="s">
        <v>20</v>
      </c>
      <c r="E1936" t="s">
        <v>27</v>
      </c>
      <c r="F1936" t="s">
        <v>39</v>
      </c>
      <c r="G1936" t="s">
        <v>23</v>
      </c>
      <c r="H1936">
        <v>61653</v>
      </c>
      <c r="I1936">
        <v>12338</v>
      </c>
      <c r="J1936">
        <v>5</v>
      </c>
      <c r="K1936">
        <v>6</v>
      </c>
      <c r="L1936">
        <v>3</v>
      </c>
      <c r="M1936" t="s">
        <v>25</v>
      </c>
      <c r="N1936">
        <v>2</v>
      </c>
      <c r="O1936">
        <v>26</v>
      </c>
      <c r="P1936">
        <v>58</v>
      </c>
      <c r="Q1936">
        <v>3</v>
      </c>
      <c r="R1936">
        <v>4</v>
      </c>
      <c r="S1936" t="s">
        <v>25</v>
      </c>
    </row>
    <row r="1937" spans="1:19" x14ac:dyDescent="0.25">
      <c r="A1937">
        <v>11936</v>
      </c>
      <c r="B1937">
        <v>35</v>
      </c>
      <c r="C1937" t="s">
        <v>19</v>
      </c>
      <c r="D1937" t="s">
        <v>32</v>
      </c>
      <c r="E1937" t="s">
        <v>27</v>
      </c>
      <c r="F1937" t="s">
        <v>35</v>
      </c>
      <c r="G1937" t="s">
        <v>30</v>
      </c>
      <c r="H1937">
        <v>87181</v>
      </c>
      <c r="I1937">
        <v>17859</v>
      </c>
      <c r="J1937">
        <v>7</v>
      </c>
      <c r="K1937">
        <v>7</v>
      </c>
      <c r="L1937">
        <v>4</v>
      </c>
      <c r="M1937" t="s">
        <v>25</v>
      </c>
      <c r="N1937">
        <v>3</v>
      </c>
      <c r="O1937">
        <v>14</v>
      </c>
      <c r="P1937">
        <v>18</v>
      </c>
      <c r="Q1937">
        <v>3</v>
      </c>
      <c r="R1937">
        <v>3</v>
      </c>
      <c r="S1937" t="s">
        <v>25</v>
      </c>
    </row>
    <row r="1938" spans="1:19" x14ac:dyDescent="0.25">
      <c r="A1938">
        <v>11937</v>
      </c>
      <c r="B1938">
        <v>47</v>
      </c>
      <c r="C1938" t="s">
        <v>31</v>
      </c>
      <c r="D1938" t="s">
        <v>32</v>
      </c>
      <c r="E1938" t="s">
        <v>36</v>
      </c>
      <c r="F1938" t="s">
        <v>35</v>
      </c>
      <c r="G1938" t="s">
        <v>30</v>
      </c>
      <c r="H1938">
        <v>46647</v>
      </c>
      <c r="I1938">
        <v>23571</v>
      </c>
      <c r="J1938">
        <v>16</v>
      </c>
      <c r="K1938">
        <v>4</v>
      </c>
      <c r="L1938">
        <v>3</v>
      </c>
      <c r="M1938" t="s">
        <v>25</v>
      </c>
      <c r="N1938">
        <v>2</v>
      </c>
      <c r="O1938">
        <v>37</v>
      </c>
      <c r="P1938">
        <v>47</v>
      </c>
      <c r="Q1938">
        <v>4</v>
      </c>
      <c r="R1938">
        <v>3</v>
      </c>
      <c r="S1938" t="s">
        <v>25</v>
      </c>
    </row>
    <row r="1939" spans="1:19" x14ac:dyDescent="0.25">
      <c r="A1939">
        <v>11938</v>
      </c>
      <c r="B1939">
        <v>54</v>
      </c>
      <c r="C1939" t="s">
        <v>19</v>
      </c>
      <c r="D1939" t="s">
        <v>41</v>
      </c>
      <c r="E1939" t="s">
        <v>36</v>
      </c>
      <c r="F1939" t="s">
        <v>39</v>
      </c>
      <c r="G1939" t="s">
        <v>30</v>
      </c>
      <c r="H1939">
        <v>59720</v>
      </c>
      <c r="I1939">
        <v>7688</v>
      </c>
      <c r="J1939">
        <v>4</v>
      </c>
      <c r="K1939">
        <v>11</v>
      </c>
      <c r="L1939">
        <v>1</v>
      </c>
      <c r="M1939" t="s">
        <v>24</v>
      </c>
      <c r="N1939">
        <v>2</v>
      </c>
      <c r="O1939">
        <v>7</v>
      </c>
      <c r="P1939">
        <v>11</v>
      </c>
      <c r="Q1939">
        <v>1</v>
      </c>
      <c r="R1939">
        <v>3</v>
      </c>
      <c r="S1939" t="s">
        <v>24</v>
      </c>
    </row>
    <row r="1940" spans="1:19" x14ac:dyDescent="0.25">
      <c r="A1940">
        <v>11939</v>
      </c>
      <c r="B1940">
        <v>42</v>
      </c>
      <c r="C1940" t="s">
        <v>19</v>
      </c>
      <c r="D1940" t="s">
        <v>32</v>
      </c>
      <c r="E1940" t="s">
        <v>36</v>
      </c>
      <c r="F1940" t="s">
        <v>35</v>
      </c>
      <c r="G1940" t="s">
        <v>30</v>
      </c>
      <c r="H1940">
        <v>52087</v>
      </c>
      <c r="I1940">
        <v>28330</v>
      </c>
      <c r="J1940">
        <v>20</v>
      </c>
      <c r="K1940">
        <v>5</v>
      </c>
      <c r="L1940">
        <v>1</v>
      </c>
      <c r="M1940" t="s">
        <v>24</v>
      </c>
      <c r="N1940">
        <v>3</v>
      </c>
      <c r="O1940">
        <v>14</v>
      </c>
      <c r="P1940">
        <v>56</v>
      </c>
      <c r="Q1940">
        <v>4</v>
      </c>
      <c r="R1940">
        <v>1</v>
      </c>
      <c r="S1940" t="s">
        <v>25</v>
      </c>
    </row>
    <row r="1941" spans="1:19" x14ac:dyDescent="0.25">
      <c r="A1941">
        <v>11940</v>
      </c>
      <c r="B1941">
        <v>51</v>
      </c>
      <c r="C1941" t="s">
        <v>31</v>
      </c>
      <c r="D1941" t="s">
        <v>26</v>
      </c>
      <c r="E1941" t="s">
        <v>27</v>
      </c>
      <c r="F1941" t="s">
        <v>39</v>
      </c>
      <c r="G1941" t="s">
        <v>38</v>
      </c>
      <c r="H1941">
        <v>61601</v>
      </c>
      <c r="I1941">
        <v>28237</v>
      </c>
      <c r="J1941">
        <v>7</v>
      </c>
      <c r="K1941">
        <v>3</v>
      </c>
      <c r="L1941">
        <v>2</v>
      </c>
      <c r="M1941" t="s">
        <v>25</v>
      </c>
      <c r="N1941">
        <v>3</v>
      </c>
      <c r="O1941">
        <v>6</v>
      </c>
      <c r="P1941">
        <v>54</v>
      </c>
      <c r="Q1941">
        <v>3</v>
      </c>
      <c r="R1941">
        <v>3</v>
      </c>
      <c r="S1941" t="s">
        <v>25</v>
      </c>
    </row>
    <row r="1942" spans="1:19" x14ac:dyDescent="0.25">
      <c r="A1942">
        <v>11941</v>
      </c>
      <c r="B1942">
        <v>40</v>
      </c>
      <c r="C1942" t="s">
        <v>19</v>
      </c>
      <c r="D1942" t="s">
        <v>20</v>
      </c>
      <c r="E1942" t="s">
        <v>40</v>
      </c>
      <c r="F1942" t="s">
        <v>35</v>
      </c>
      <c r="G1942" t="s">
        <v>38</v>
      </c>
      <c r="H1942">
        <v>14183</v>
      </c>
      <c r="I1942">
        <v>13357</v>
      </c>
      <c r="J1942">
        <v>9</v>
      </c>
      <c r="K1942">
        <v>14</v>
      </c>
      <c r="L1942">
        <v>3</v>
      </c>
      <c r="M1942" t="s">
        <v>25</v>
      </c>
      <c r="N1942">
        <v>4</v>
      </c>
      <c r="O1942">
        <v>4</v>
      </c>
      <c r="P1942">
        <v>23</v>
      </c>
      <c r="Q1942">
        <v>3</v>
      </c>
      <c r="R1942">
        <v>3</v>
      </c>
      <c r="S1942" t="s">
        <v>25</v>
      </c>
    </row>
    <row r="1943" spans="1:19" x14ac:dyDescent="0.25">
      <c r="A1943">
        <v>11942</v>
      </c>
      <c r="B1943">
        <v>22</v>
      </c>
      <c r="C1943" t="s">
        <v>19</v>
      </c>
      <c r="D1943" t="s">
        <v>41</v>
      </c>
      <c r="E1943" t="s">
        <v>27</v>
      </c>
      <c r="F1943" t="s">
        <v>35</v>
      </c>
      <c r="G1943" t="s">
        <v>30</v>
      </c>
      <c r="H1943">
        <v>69656</v>
      </c>
      <c r="I1943">
        <v>23577</v>
      </c>
      <c r="J1943">
        <v>15</v>
      </c>
      <c r="K1943">
        <v>13</v>
      </c>
      <c r="L1943">
        <v>3</v>
      </c>
      <c r="M1943" t="s">
        <v>25</v>
      </c>
      <c r="N1943">
        <v>3</v>
      </c>
      <c r="O1943">
        <v>28</v>
      </c>
      <c r="P1943">
        <v>59</v>
      </c>
      <c r="Q1943">
        <v>2</v>
      </c>
      <c r="R1943">
        <v>4</v>
      </c>
      <c r="S1943" t="s">
        <v>25</v>
      </c>
    </row>
    <row r="1944" spans="1:19" x14ac:dyDescent="0.25">
      <c r="A1944">
        <v>11943</v>
      </c>
      <c r="B1944">
        <v>43</v>
      </c>
      <c r="C1944" t="s">
        <v>19</v>
      </c>
      <c r="D1944" t="s">
        <v>28</v>
      </c>
      <c r="E1944" t="s">
        <v>36</v>
      </c>
      <c r="F1944" t="s">
        <v>37</v>
      </c>
      <c r="G1944" t="s">
        <v>30</v>
      </c>
      <c r="H1944">
        <v>51035</v>
      </c>
      <c r="I1944">
        <v>412</v>
      </c>
      <c r="J1944">
        <v>22</v>
      </c>
      <c r="K1944">
        <v>2</v>
      </c>
      <c r="L1944">
        <v>4</v>
      </c>
      <c r="M1944" t="s">
        <v>25</v>
      </c>
      <c r="N1944">
        <v>1</v>
      </c>
      <c r="O1944">
        <v>4</v>
      </c>
      <c r="P1944">
        <v>51</v>
      </c>
      <c r="Q1944">
        <v>1</v>
      </c>
      <c r="R1944">
        <v>1</v>
      </c>
      <c r="S1944" t="s">
        <v>25</v>
      </c>
    </row>
    <row r="1945" spans="1:19" x14ac:dyDescent="0.25">
      <c r="A1945">
        <v>11944</v>
      </c>
      <c r="B1945">
        <v>21</v>
      </c>
      <c r="C1945" t="s">
        <v>19</v>
      </c>
      <c r="D1945" t="s">
        <v>20</v>
      </c>
      <c r="E1945" t="s">
        <v>27</v>
      </c>
      <c r="F1945" t="s">
        <v>22</v>
      </c>
      <c r="G1945" t="s">
        <v>23</v>
      </c>
      <c r="H1945">
        <v>64527</v>
      </c>
      <c r="I1945">
        <v>13414</v>
      </c>
      <c r="J1945">
        <v>23</v>
      </c>
      <c r="K1945">
        <v>4</v>
      </c>
      <c r="L1945">
        <v>3</v>
      </c>
      <c r="M1945" t="s">
        <v>24</v>
      </c>
      <c r="N1945">
        <v>4</v>
      </c>
      <c r="O1945">
        <v>23</v>
      </c>
      <c r="P1945">
        <v>5</v>
      </c>
      <c r="Q1945">
        <v>4</v>
      </c>
      <c r="R1945">
        <v>2</v>
      </c>
      <c r="S1945" t="s">
        <v>25</v>
      </c>
    </row>
    <row r="1946" spans="1:19" x14ac:dyDescent="0.25">
      <c r="A1946">
        <v>11945</v>
      </c>
      <c r="B1946">
        <v>28</v>
      </c>
      <c r="C1946" t="s">
        <v>19</v>
      </c>
      <c r="D1946" t="s">
        <v>20</v>
      </c>
      <c r="E1946" t="s">
        <v>36</v>
      </c>
      <c r="F1946" t="s">
        <v>39</v>
      </c>
      <c r="G1946" t="s">
        <v>30</v>
      </c>
      <c r="H1946">
        <v>49136</v>
      </c>
      <c r="I1946">
        <v>11853</v>
      </c>
      <c r="J1946">
        <v>17</v>
      </c>
      <c r="K1946">
        <v>1</v>
      </c>
      <c r="L1946">
        <v>5</v>
      </c>
      <c r="M1946" t="s">
        <v>25</v>
      </c>
      <c r="N1946">
        <v>4</v>
      </c>
      <c r="O1946">
        <v>26</v>
      </c>
      <c r="P1946">
        <v>32</v>
      </c>
      <c r="Q1946">
        <v>4</v>
      </c>
      <c r="R1946">
        <v>4</v>
      </c>
      <c r="S1946" t="s">
        <v>25</v>
      </c>
    </row>
    <row r="1947" spans="1:19" x14ac:dyDescent="0.25">
      <c r="A1947">
        <v>11946</v>
      </c>
      <c r="B1947">
        <v>41</v>
      </c>
      <c r="C1947" t="s">
        <v>19</v>
      </c>
      <c r="D1947" t="s">
        <v>20</v>
      </c>
      <c r="E1947" t="s">
        <v>33</v>
      </c>
      <c r="F1947" t="s">
        <v>39</v>
      </c>
      <c r="G1947" t="s">
        <v>30</v>
      </c>
      <c r="H1947">
        <v>35512</v>
      </c>
      <c r="I1947">
        <v>10111</v>
      </c>
      <c r="J1947">
        <v>5</v>
      </c>
      <c r="K1947">
        <v>13</v>
      </c>
      <c r="L1947">
        <v>2</v>
      </c>
      <c r="M1947" t="s">
        <v>24</v>
      </c>
      <c r="N1947">
        <v>4</v>
      </c>
      <c r="O1947">
        <v>22</v>
      </c>
      <c r="P1947">
        <v>45</v>
      </c>
      <c r="Q1947">
        <v>1</v>
      </c>
      <c r="R1947">
        <v>3</v>
      </c>
      <c r="S1947" t="s">
        <v>25</v>
      </c>
    </row>
    <row r="1948" spans="1:19" x14ac:dyDescent="0.25">
      <c r="A1948">
        <v>11947</v>
      </c>
      <c r="B1948">
        <v>32</v>
      </c>
      <c r="C1948" t="s">
        <v>31</v>
      </c>
      <c r="D1948" t="s">
        <v>28</v>
      </c>
      <c r="E1948" t="s">
        <v>33</v>
      </c>
      <c r="F1948" t="s">
        <v>22</v>
      </c>
      <c r="G1948" t="s">
        <v>23</v>
      </c>
      <c r="H1948">
        <v>33845</v>
      </c>
      <c r="I1948">
        <v>24538</v>
      </c>
      <c r="J1948">
        <v>14</v>
      </c>
      <c r="K1948">
        <v>6</v>
      </c>
      <c r="L1948">
        <v>3</v>
      </c>
      <c r="M1948" t="s">
        <v>25</v>
      </c>
      <c r="N1948">
        <v>2</v>
      </c>
      <c r="O1948">
        <v>26</v>
      </c>
      <c r="P1948">
        <v>29</v>
      </c>
      <c r="Q1948">
        <v>2</v>
      </c>
      <c r="R1948">
        <v>2</v>
      </c>
      <c r="S1948" t="s">
        <v>25</v>
      </c>
    </row>
    <row r="1949" spans="1:19" x14ac:dyDescent="0.25">
      <c r="A1949">
        <v>11948</v>
      </c>
      <c r="B1949">
        <v>51</v>
      </c>
      <c r="C1949" t="s">
        <v>19</v>
      </c>
      <c r="D1949" t="s">
        <v>20</v>
      </c>
      <c r="E1949" t="s">
        <v>33</v>
      </c>
      <c r="F1949" t="s">
        <v>22</v>
      </c>
      <c r="G1949" t="s">
        <v>23</v>
      </c>
      <c r="H1949">
        <v>38713</v>
      </c>
      <c r="I1949">
        <v>48197</v>
      </c>
      <c r="J1949">
        <v>11</v>
      </c>
      <c r="K1949">
        <v>9</v>
      </c>
      <c r="L1949">
        <v>3</v>
      </c>
      <c r="M1949" t="s">
        <v>25</v>
      </c>
      <c r="N1949">
        <v>4</v>
      </c>
      <c r="O1949">
        <v>7</v>
      </c>
      <c r="P1949">
        <v>57</v>
      </c>
      <c r="Q1949">
        <v>3</v>
      </c>
      <c r="R1949">
        <v>3</v>
      </c>
      <c r="S1949" t="s">
        <v>25</v>
      </c>
    </row>
    <row r="1950" spans="1:19" x14ac:dyDescent="0.25">
      <c r="A1950">
        <v>11949</v>
      </c>
      <c r="B1950">
        <v>33</v>
      </c>
      <c r="C1950" t="s">
        <v>31</v>
      </c>
      <c r="D1950" t="s">
        <v>20</v>
      </c>
      <c r="E1950" t="s">
        <v>21</v>
      </c>
      <c r="F1950" t="s">
        <v>39</v>
      </c>
      <c r="G1950" t="s">
        <v>38</v>
      </c>
      <c r="H1950">
        <v>90200</v>
      </c>
      <c r="I1950">
        <v>22874</v>
      </c>
      <c r="J1950">
        <v>19</v>
      </c>
      <c r="K1950">
        <v>0</v>
      </c>
      <c r="L1950">
        <v>5</v>
      </c>
      <c r="M1950" t="s">
        <v>24</v>
      </c>
      <c r="N1950">
        <v>3</v>
      </c>
      <c r="O1950">
        <v>12</v>
      </c>
      <c r="P1950">
        <v>37</v>
      </c>
      <c r="Q1950">
        <v>4</v>
      </c>
      <c r="R1950">
        <v>1</v>
      </c>
      <c r="S1950" t="s">
        <v>25</v>
      </c>
    </row>
    <row r="1951" spans="1:19" x14ac:dyDescent="0.25">
      <c r="A1951">
        <v>11950</v>
      </c>
      <c r="B1951">
        <v>59</v>
      </c>
      <c r="C1951" t="s">
        <v>31</v>
      </c>
      <c r="D1951" t="s">
        <v>32</v>
      </c>
      <c r="E1951" t="s">
        <v>40</v>
      </c>
      <c r="F1951" t="s">
        <v>39</v>
      </c>
      <c r="G1951" t="s">
        <v>30</v>
      </c>
      <c r="H1951">
        <v>19800</v>
      </c>
      <c r="I1951">
        <v>303</v>
      </c>
      <c r="J1951">
        <v>12</v>
      </c>
      <c r="K1951">
        <v>8</v>
      </c>
      <c r="L1951">
        <v>2</v>
      </c>
      <c r="M1951" t="s">
        <v>25</v>
      </c>
      <c r="N1951">
        <v>2</v>
      </c>
      <c r="O1951">
        <v>6</v>
      </c>
      <c r="P1951">
        <v>12</v>
      </c>
      <c r="Q1951">
        <v>3</v>
      </c>
      <c r="R1951">
        <v>4</v>
      </c>
      <c r="S1951" t="s">
        <v>25</v>
      </c>
    </row>
    <row r="1952" spans="1:19" x14ac:dyDescent="0.25">
      <c r="A1952">
        <v>11951</v>
      </c>
      <c r="B1952">
        <v>53</v>
      </c>
      <c r="C1952" t="s">
        <v>31</v>
      </c>
      <c r="D1952" t="s">
        <v>26</v>
      </c>
      <c r="E1952" t="s">
        <v>27</v>
      </c>
      <c r="F1952" t="s">
        <v>39</v>
      </c>
      <c r="G1952" t="s">
        <v>30</v>
      </c>
      <c r="H1952">
        <v>79795</v>
      </c>
      <c r="I1952">
        <v>15485</v>
      </c>
      <c r="J1952">
        <v>4</v>
      </c>
      <c r="K1952">
        <v>1</v>
      </c>
      <c r="L1952">
        <v>3</v>
      </c>
      <c r="M1952" t="s">
        <v>24</v>
      </c>
      <c r="N1952">
        <v>1</v>
      </c>
      <c r="O1952">
        <v>2</v>
      </c>
      <c r="P1952">
        <v>32</v>
      </c>
      <c r="Q1952">
        <v>2</v>
      </c>
      <c r="R1952">
        <v>2</v>
      </c>
      <c r="S1952" t="s">
        <v>25</v>
      </c>
    </row>
    <row r="1953" spans="1:19" x14ac:dyDescent="0.25">
      <c r="A1953">
        <v>11952</v>
      </c>
      <c r="B1953">
        <v>42</v>
      </c>
      <c r="C1953" t="s">
        <v>31</v>
      </c>
      <c r="D1953" t="s">
        <v>32</v>
      </c>
      <c r="E1953" t="s">
        <v>21</v>
      </c>
      <c r="F1953" t="s">
        <v>35</v>
      </c>
      <c r="G1953" t="s">
        <v>38</v>
      </c>
      <c r="H1953">
        <v>112502</v>
      </c>
      <c r="I1953">
        <v>7398</v>
      </c>
      <c r="J1953">
        <v>18</v>
      </c>
      <c r="K1953">
        <v>4</v>
      </c>
      <c r="L1953">
        <v>4</v>
      </c>
      <c r="M1953" t="s">
        <v>25</v>
      </c>
      <c r="N1953">
        <v>2</v>
      </c>
      <c r="O1953">
        <v>36</v>
      </c>
      <c r="P1953">
        <v>12</v>
      </c>
      <c r="Q1953">
        <v>4</v>
      </c>
      <c r="R1953">
        <v>4</v>
      </c>
      <c r="S1953" t="s">
        <v>25</v>
      </c>
    </row>
    <row r="1954" spans="1:19" x14ac:dyDescent="0.25">
      <c r="A1954">
        <v>11953</v>
      </c>
      <c r="B1954">
        <v>46</v>
      </c>
      <c r="C1954" t="s">
        <v>19</v>
      </c>
      <c r="D1954" t="s">
        <v>20</v>
      </c>
      <c r="E1954" t="s">
        <v>27</v>
      </c>
      <c r="F1954" t="s">
        <v>39</v>
      </c>
      <c r="G1954" t="s">
        <v>30</v>
      </c>
      <c r="H1954">
        <v>60284</v>
      </c>
      <c r="I1954">
        <v>28048</v>
      </c>
      <c r="J1954">
        <v>21</v>
      </c>
      <c r="K1954">
        <v>4</v>
      </c>
      <c r="L1954">
        <v>3</v>
      </c>
      <c r="M1954" t="s">
        <v>24</v>
      </c>
      <c r="N1954">
        <v>1</v>
      </c>
      <c r="O1954">
        <v>27</v>
      </c>
      <c r="P1954">
        <v>30</v>
      </c>
      <c r="Q1954">
        <v>2</v>
      </c>
      <c r="R1954">
        <v>3</v>
      </c>
      <c r="S1954" t="s">
        <v>24</v>
      </c>
    </row>
    <row r="1955" spans="1:19" x14ac:dyDescent="0.25">
      <c r="A1955">
        <v>11954</v>
      </c>
      <c r="B1955">
        <v>22</v>
      </c>
      <c r="C1955" t="s">
        <v>19</v>
      </c>
      <c r="D1955" t="s">
        <v>26</v>
      </c>
      <c r="E1955" t="s">
        <v>27</v>
      </c>
      <c r="F1955" t="s">
        <v>35</v>
      </c>
      <c r="G1955" t="s">
        <v>30</v>
      </c>
      <c r="H1955">
        <v>65722</v>
      </c>
      <c r="I1955">
        <v>29830</v>
      </c>
      <c r="J1955">
        <v>2</v>
      </c>
      <c r="K1955">
        <v>5</v>
      </c>
      <c r="L1955">
        <v>2</v>
      </c>
      <c r="M1955" t="s">
        <v>25</v>
      </c>
      <c r="N1955">
        <v>1</v>
      </c>
      <c r="O1955">
        <v>11</v>
      </c>
      <c r="P1955">
        <v>35</v>
      </c>
      <c r="Q1955">
        <v>4</v>
      </c>
      <c r="R1955">
        <v>1</v>
      </c>
      <c r="S1955" t="s">
        <v>24</v>
      </c>
    </row>
    <row r="1956" spans="1:19" x14ac:dyDescent="0.25">
      <c r="A1956">
        <v>11955</v>
      </c>
      <c r="B1956">
        <v>46</v>
      </c>
      <c r="C1956" t="s">
        <v>31</v>
      </c>
      <c r="D1956" t="s">
        <v>34</v>
      </c>
      <c r="E1956" t="s">
        <v>27</v>
      </c>
      <c r="F1956" t="s">
        <v>22</v>
      </c>
      <c r="G1956" t="s">
        <v>38</v>
      </c>
      <c r="H1956">
        <v>81996</v>
      </c>
      <c r="I1956">
        <v>44275</v>
      </c>
      <c r="J1956">
        <v>0</v>
      </c>
      <c r="K1956">
        <v>2</v>
      </c>
      <c r="L1956">
        <v>3</v>
      </c>
      <c r="M1956" t="s">
        <v>24</v>
      </c>
      <c r="N1956">
        <v>4</v>
      </c>
      <c r="O1956">
        <v>10</v>
      </c>
      <c r="P1956">
        <v>47</v>
      </c>
      <c r="Q1956">
        <v>2</v>
      </c>
      <c r="R1956">
        <v>4</v>
      </c>
      <c r="S1956" t="s">
        <v>25</v>
      </c>
    </row>
    <row r="1957" spans="1:19" x14ac:dyDescent="0.25">
      <c r="A1957">
        <v>11956</v>
      </c>
      <c r="B1957">
        <v>37</v>
      </c>
      <c r="C1957" t="s">
        <v>31</v>
      </c>
      <c r="D1957" t="s">
        <v>20</v>
      </c>
      <c r="E1957" t="s">
        <v>36</v>
      </c>
      <c r="F1957" t="s">
        <v>22</v>
      </c>
      <c r="G1957" t="s">
        <v>30</v>
      </c>
      <c r="H1957">
        <v>48699</v>
      </c>
      <c r="I1957">
        <v>12968</v>
      </c>
      <c r="J1957">
        <v>4</v>
      </c>
      <c r="K1957">
        <v>0</v>
      </c>
      <c r="L1957">
        <v>4</v>
      </c>
      <c r="M1957" t="s">
        <v>24</v>
      </c>
      <c r="N1957">
        <v>1</v>
      </c>
      <c r="O1957">
        <v>10</v>
      </c>
      <c r="P1957">
        <v>41</v>
      </c>
      <c r="Q1957">
        <v>3</v>
      </c>
      <c r="R1957">
        <v>4</v>
      </c>
      <c r="S1957" t="s">
        <v>24</v>
      </c>
    </row>
    <row r="1958" spans="1:19" x14ac:dyDescent="0.25">
      <c r="A1958">
        <v>11957</v>
      </c>
      <c r="B1958">
        <v>36</v>
      </c>
      <c r="C1958" t="s">
        <v>19</v>
      </c>
      <c r="D1958" t="s">
        <v>20</v>
      </c>
      <c r="E1958" t="s">
        <v>40</v>
      </c>
      <c r="F1958" t="s">
        <v>22</v>
      </c>
      <c r="G1958" t="s">
        <v>23</v>
      </c>
      <c r="H1958">
        <v>12988</v>
      </c>
      <c r="I1958">
        <v>32515</v>
      </c>
      <c r="J1958">
        <v>6</v>
      </c>
      <c r="K1958">
        <v>6</v>
      </c>
      <c r="L1958">
        <v>4</v>
      </c>
      <c r="M1958" t="s">
        <v>25</v>
      </c>
      <c r="N1958">
        <v>3</v>
      </c>
      <c r="O1958">
        <v>32</v>
      </c>
      <c r="P1958">
        <v>41</v>
      </c>
      <c r="Q1958">
        <v>4</v>
      </c>
      <c r="R1958">
        <v>2</v>
      </c>
      <c r="S1958" t="s">
        <v>25</v>
      </c>
    </row>
    <row r="1959" spans="1:19" x14ac:dyDescent="0.25">
      <c r="A1959">
        <v>11958</v>
      </c>
      <c r="B1959">
        <v>37</v>
      </c>
      <c r="C1959" t="s">
        <v>19</v>
      </c>
      <c r="D1959" t="s">
        <v>41</v>
      </c>
      <c r="E1959" t="s">
        <v>27</v>
      </c>
      <c r="F1959" t="s">
        <v>35</v>
      </c>
      <c r="G1959" t="s">
        <v>30</v>
      </c>
      <c r="H1959">
        <v>67184</v>
      </c>
      <c r="I1959">
        <v>13686</v>
      </c>
      <c r="J1959">
        <v>15</v>
      </c>
      <c r="K1959">
        <v>10</v>
      </c>
      <c r="L1959">
        <v>5</v>
      </c>
      <c r="M1959" t="s">
        <v>24</v>
      </c>
      <c r="N1959">
        <v>4</v>
      </c>
      <c r="O1959">
        <v>27</v>
      </c>
      <c r="P1959">
        <v>52</v>
      </c>
      <c r="Q1959">
        <v>2</v>
      </c>
      <c r="R1959">
        <v>4</v>
      </c>
      <c r="S1959" t="s">
        <v>25</v>
      </c>
    </row>
    <row r="1960" spans="1:19" x14ac:dyDescent="0.25">
      <c r="A1960">
        <v>11959</v>
      </c>
      <c r="B1960">
        <v>27</v>
      </c>
      <c r="C1960" t="s">
        <v>19</v>
      </c>
      <c r="D1960" t="s">
        <v>20</v>
      </c>
      <c r="E1960" t="s">
        <v>36</v>
      </c>
      <c r="F1960" t="s">
        <v>35</v>
      </c>
      <c r="G1960" t="s">
        <v>38</v>
      </c>
      <c r="H1960">
        <v>64617</v>
      </c>
      <c r="I1960">
        <v>11354</v>
      </c>
      <c r="J1960">
        <v>10</v>
      </c>
      <c r="K1960">
        <v>10</v>
      </c>
      <c r="L1960">
        <v>3</v>
      </c>
      <c r="M1960" t="s">
        <v>25</v>
      </c>
      <c r="N1960">
        <v>4</v>
      </c>
      <c r="O1960">
        <v>24</v>
      </c>
      <c r="P1960">
        <v>55</v>
      </c>
      <c r="Q1960">
        <v>4</v>
      </c>
      <c r="R1960">
        <v>2</v>
      </c>
      <c r="S1960" t="s">
        <v>25</v>
      </c>
    </row>
    <row r="1961" spans="1:19" x14ac:dyDescent="0.25">
      <c r="A1961">
        <v>11960</v>
      </c>
      <c r="B1961">
        <v>34</v>
      </c>
      <c r="C1961" t="s">
        <v>19</v>
      </c>
      <c r="D1961" t="s">
        <v>28</v>
      </c>
      <c r="E1961" t="s">
        <v>33</v>
      </c>
      <c r="F1961" t="s">
        <v>22</v>
      </c>
      <c r="G1961" t="s">
        <v>38</v>
      </c>
      <c r="H1961">
        <v>34863</v>
      </c>
      <c r="I1961">
        <v>19453</v>
      </c>
      <c r="J1961">
        <v>18</v>
      </c>
      <c r="K1961">
        <v>2</v>
      </c>
      <c r="L1961">
        <v>2</v>
      </c>
      <c r="M1961" t="s">
        <v>24</v>
      </c>
      <c r="N1961">
        <v>1</v>
      </c>
      <c r="O1961">
        <v>33</v>
      </c>
      <c r="P1961">
        <v>52</v>
      </c>
      <c r="Q1961">
        <v>2</v>
      </c>
      <c r="R1961">
        <v>3</v>
      </c>
      <c r="S1961" t="s">
        <v>25</v>
      </c>
    </row>
    <row r="1962" spans="1:19" x14ac:dyDescent="0.25">
      <c r="A1962">
        <v>11961</v>
      </c>
      <c r="B1962">
        <v>50</v>
      </c>
      <c r="C1962" t="s">
        <v>19</v>
      </c>
      <c r="D1962" t="s">
        <v>20</v>
      </c>
      <c r="E1962" t="s">
        <v>33</v>
      </c>
      <c r="F1962" t="s">
        <v>35</v>
      </c>
      <c r="G1962" t="s">
        <v>30</v>
      </c>
      <c r="H1962">
        <v>39812</v>
      </c>
      <c r="I1962">
        <v>32323</v>
      </c>
      <c r="J1962">
        <v>24</v>
      </c>
      <c r="K1962">
        <v>7</v>
      </c>
      <c r="L1962">
        <v>3</v>
      </c>
      <c r="M1962" t="s">
        <v>24</v>
      </c>
      <c r="N1962">
        <v>3</v>
      </c>
      <c r="O1962">
        <v>7</v>
      </c>
      <c r="P1962">
        <v>36</v>
      </c>
      <c r="Q1962">
        <v>2</v>
      </c>
      <c r="R1962">
        <v>3</v>
      </c>
      <c r="S1962" t="s">
        <v>25</v>
      </c>
    </row>
    <row r="1963" spans="1:19" x14ac:dyDescent="0.25">
      <c r="A1963">
        <v>11962</v>
      </c>
      <c r="B1963">
        <v>44</v>
      </c>
      <c r="C1963" t="s">
        <v>31</v>
      </c>
      <c r="D1963" t="s">
        <v>20</v>
      </c>
      <c r="E1963" t="s">
        <v>33</v>
      </c>
      <c r="F1963" t="s">
        <v>39</v>
      </c>
      <c r="G1963" t="s">
        <v>38</v>
      </c>
      <c r="H1963">
        <v>41862</v>
      </c>
      <c r="I1963">
        <v>25981</v>
      </c>
      <c r="J1963">
        <v>12</v>
      </c>
      <c r="K1963">
        <v>8</v>
      </c>
      <c r="L1963">
        <v>4</v>
      </c>
      <c r="M1963" t="s">
        <v>25</v>
      </c>
      <c r="N1963">
        <v>3</v>
      </c>
      <c r="O1963">
        <v>3</v>
      </c>
      <c r="P1963">
        <v>41</v>
      </c>
      <c r="Q1963">
        <v>4</v>
      </c>
      <c r="R1963">
        <v>4</v>
      </c>
      <c r="S1963" t="s">
        <v>25</v>
      </c>
    </row>
    <row r="1964" spans="1:19" x14ac:dyDescent="0.25">
      <c r="A1964">
        <v>11963</v>
      </c>
      <c r="B1964">
        <v>43</v>
      </c>
      <c r="C1964" t="s">
        <v>31</v>
      </c>
      <c r="D1964" t="s">
        <v>34</v>
      </c>
      <c r="E1964" t="s">
        <v>40</v>
      </c>
      <c r="F1964" t="s">
        <v>35</v>
      </c>
      <c r="G1964" t="s">
        <v>23</v>
      </c>
      <c r="H1964">
        <v>16003</v>
      </c>
      <c r="I1964">
        <v>24704</v>
      </c>
      <c r="J1964">
        <v>1</v>
      </c>
      <c r="K1964">
        <v>3</v>
      </c>
      <c r="L1964">
        <v>4</v>
      </c>
      <c r="M1964" t="s">
        <v>24</v>
      </c>
      <c r="N1964">
        <v>4</v>
      </c>
      <c r="O1964">
        <v>6</v>
      </c>
      <c r="P1964">
        <v>40</v>
      </c>
      <c r="Q1964">
        <v>1</v>
      </c>
      <c r="R1964">
        <v>3</v>
      </c>
      <c r="S1964" t="s">
        <v>25</v>
      </c>
    </row>
    <row r="1965" spans="1:19" x14ac:dyDescent="0.25">
      <c r="A1965">
        <v>11964</v>
      </c>
      <c r="B1965">
        <v>39</v>
      </c>
      <c r="C1965" t="s">
        <v>19</v>
      </c>
      <c r="D1965" t="s">
        <v>41</v>
      </c>
      <c r="E1965" t="s">
        <v>36</v>
      </c>
      <c r="F1965" t="s">
        <v>35</v>
      </c>
      <c r="G1965" t="s">
        <v>38</v>
      </c>
      <c r="H1965">
        <v>50584</v>
      </c>
      <c r="I1965">
        <v>13499</v>
      </c>
      <c r="J1965">
        <v>23</v>
      </c>
      <c r="K1965">
        <v>2</v>
      </c>
      <c r="L1965">
        <v>4</v>
      </c>
      <c r="M1965" t="s">
        <v>25</v>
      </c>
      <c r="N1965">
        <v>3</v>
      </c>
      <c r="O1965">
        <v>2</v>
      </c>
      <c r="P1965">
        <v>37</v>
      </c>
      <c r="Q1965">
        <v>3</v>
      </c>
      <c r="R1965">
        <v>3</v>
      </c>
      <c r="S1965" t="s">
        <v>25</v>
      </c>
    </row>
    <row r="1966" spans="1:19" x14ac:dyDescent="0.25">
      <c r="A1966">
        <v>11965</v>
      </c>
      <c r="B1966">
        <v>52</v>
      </c>
      <c r="C1966" t="s">
        <v>31</v>
      </c>
      <c r="D1966" t="s">
        <v>41</v>
      </c>
      <c r="E1966" t="s">
        <v>36</v>
      </c>
      <c r="F1966" t="s">
        <v>39</v>
      </c>
      <c r="G1966" t="s">
        <v>30</v>
      </c>
      <c r="H1966">
        <v>67676</v>
      </c>
      <c r="I1966">
        <v>645</v>
      </c>
      <c r="J1966">
        <v>4</v>
      </c>
      <c r="K1966">
        <v>12</v>
      </c>
      <c r="L1966">
        <v>3</v>
      </c>
      <c r="M1966" t="s">
        <v>24</v>
      </c>
      <c r="N1966">
        <v>1</v>
      </c>
      <c r="O1966">
        <v>23</v>
      </c>
      <c r="P1966">
        <v>18</v>
      </c>
      <c r="Q1966">
        <v>3</v>
      </c>
      <c r="R1966">
        <v>3</v>
      </c>
      <c r="S1966" t="s">
        <v>25</v>
      </c>
    </row>
    <row r="1967" spans="1:19" x14ac:dyDescent="0.25">
      <c r="A1967">
        <v>11966</v>
      </c>
      <c r="B1967">
        <v>33</v>
      </c>
      <c r="C1967" t="s">
        <v>31</v>
      </c>
      <c r="D1967" t="s">
        <v>32</v>
      </c>
      <c r="E1967" t="s">
        <v>36</v>
      </c>
      <c r="F1967" t="s">
        <v>35</v>
      </c>
      <c r="G1967" t="s">
        <v>38</v>
      </c>
      <c r="H1967">
        <v>60848</v>
      </c>
      <c r="I1967">
        <v>21203</v>
      </c>
      <c r="J1967">
        <v>7</v>
      </c>
      <c r="K1967">
        <v>7</v>
      </c>
      <c r="L1967">
        <v>3</v>
      </c>
      <c r="M1967" t="s">
        <v>25</v>
      </c>
      <c r="N1967">
        <v>3</v>
      </c>
      <c r="O1967">
        <v>17</v>
      </c>
      <c r="P1967">
        <v>10</v>
      </c>
      <c r="Q1967">
        <v>3</v>
      </c>
      <c r="R1967">
        <v>3</v>
      </c>
      <c r="S1967" t="s">
        <v>25</v>
      </c>
    </row>
    <row r="1968" spans="1:19" x14ac:dyDescent="0.25">
      <c r="A1968">
        <v>11967</v>
      </c>
      <c r="B1968">
        <v>20</v>
      </c>
      <c r="C1968" t="s">
        <v>31</v>
      </c>
      <c r="D1968" t="s">
        <v>41</v>
      </c>
      <c r="E1968" t="s">
        <v>21</v>
      </c>
      <c r="F1968" t="s">
        <v>39</v>
      </c>
      <c r="G1968" t="s">
        <v>30</v>
      </c>
      <c r="H1968">
        <v>112070</v>
      </c>
      <c r="I1968">
        <v>11561</v>
      </c>
      <c r="J1968">
        <v>15</v>
      </c>
      <c r="K1968">
        <v>1</v>
      </c>
      <c r="L1968">
        <v>2</v>
      </c>
      <c r="M1968" t="s">
        <v>24</v>
      </c>
      <c r="N1968">
        <v>4</v>
      </c>
      <c r="O1968">
        <v>36</v>
      </c>
      <c r="P1968">
        <v>20</v>
      </c>
      <c r="Q1968">
        <v>1</v>
      </c>
      <c r="R1968">
        <v>3</v>
      </c>
      <c r="S1968" t="s">
        <v>25</v>
      </c>
    </row>
    <row r="1969" spans="1:19" x14ac:dyDescent="0.25">
      <c r="A1969">
        <v>11968</v>
      </c>
      <c r="B1969">
        <v>50</v>
      </c>
      <c r="C1969" t="s">
        <v>19</v>
      </c>
      <c r="D1969" t="s">
        <v>20</v>
      </c>
      <c r="E1969" t="s">
        <v>27</v>
      </c>
      <c r="F1969" t="s">
        <v>39</v>
      </c>
      <c r="G1969" t="s">
        <v>30</v>
      </c>
      <c r="H1969">
        <v>70219</v>
      </c>
      <c r="I1969">
        <v>10086</v>
      </c>
      <c r="J1969">
        <v>5</v>
      </c>
      <c r="K1969">
        <v>0</v>
      </c>
      <c r="L1969">
        <v>2</v>
      </c>
      <c r="M1969" t="s">
        <v>24</v>
      </c>
      <c r="N1969">
        <v>2</v>
      </c>
      <c r="O1969">
        <v>1</v>
      </c>
      <c r="P1969">
        <v>9</v>
      </c>
      <c r="Q1969">
        <v>4</v>
      </c>
      <c r="R1969">
        <v>2</v>
      </c>
      <c r="S1969" t="s">
        <v>25</v>
      </c>
    </row>
    <row r="1970" spans="1:19" x14ac:dyDescent="0.25">
      <c r="A1970">
        <v>11969</v>
      </c>
      <c r="B1970">
        <v>41</v>
      </c>
      <c r="C1970" t="s">
        <v>19</v>
      </c>
      <c r="D1970" t="s">
        <v>28</v>
      </c>
      <c r="E1970" t="s">
        <v>33</v>
      </c>
      <c r="F1970" t="s">
        <v>35</v>
      </c>
      <c r="G1970" t="s">
        <v>30</v>
      </c>
      <c r="H1970">
        <v>38167</v>
      </c>
      <c r="I1970">
        <v>31117</v>
      </c>
      <c r="J1970">
        <v>24</v>
      </c>
      <c r="K1970">
        <v>3</v>
      </c>
      <c r="L1970">
        <v>1</v>
      </c>
      <c r="M1970" t="s">
        <v>25</v>
      </c>
      <c r="N1970">
        <v>3</v>
      </c>
      <c r="O1970">
        <v>20</v>
      </c>
      <c r="P1970">
        <v>18</v>
      </c>
      <c r="Q1970">
        <v>2</v>
      </c>
      <c r="R1970">
        <v>3</v>
      </c>
      <c r="S1970" t="s">
        <v>25</v>
      </c>
    </row>
    <row r="1971" spans="1:19" x14ac:dyDescent="0.25">
      <c r="A1971">
        <v>11970</v>
      </c>
      <c r="B1971">
        <v>34</v>
      </c>
      <c r="C1971" t="s">
        <v>31</v>
      </c>
      <c r="D1971" t="s">
        <v>41</v>
      </c>
      <c r="E1971" t="s">
        <v>40</v>
      </c>
      <c r="F1971" t="s">
        <v>39</v>
      </c>
      <c r="G1971" t="s">
        <v>38</v>
      </c>
      <c r="H1971">
        <v>16084</v>
      </c>
      <c r="I1971">
        <v>1273</v>
      </c>
      <c r="J1971">
        <v>18</v>
      </c>
      <c r="K1971">
        <v>8</v>
      </c>
      <c r="L1971">
        <v>3</v>
      </c>
      <c r="M1971" t="s">
        <v>25</v>
      </c>
      <c r="N1971">
        <v>2</v>
      </c>
      <c r="O1971">
        <v>4</v>
      </c>
      <c r="P1971">
        <v>26</v>
      </c>
      <c r="Q1971">
        <v>4</v>
      </c>
      <c r="R1971">
        <v>3</v>
      </c>
      <c r="S1971" t="s">
        <v>25</v>
      </c>
    </row>
    <row r="1972" spans="1:19" x14ac:dyDescent="0.25">
      <c r="A1972">
        <v>11971</v>
      </c>
      <c r="B1972">
        <v>41</v>
      </c>
      <c r="C1972" t="s">
        <v>31</v>
      </c>
      <c r="D1972" t="s">
        <v>32</v>
      </c>
      <c r="E1972" t="s">
        <v>36</v>
      </c>
      <c r="F1972" t="s">
        <v>39</v>
      </c>
      <c r="G1972" t="s">
        <v>30</v>
      </c>
      <c r="H1972">
        <v>58869</v>
      </c>
      <c r="I1972">
        <v>11492</v>
      </c>
      <c r="J1972">
        <v>21</v>
      </c>
      <c r="K1972">
        <v>8</v>
      </c>
      <c r="L1972">
        <v>3</v>
      </c>
      <c r="M1972" t="s">
        <v>25</v>
      </c>
      <c r="N1972">
        <v>3</v>
      </c>
      <c r="O1972">
        <v>28</v>
      </c>
      <c r="P1972">
        <v>15</v>
      </c>
      <c r="Q1972">
        <v>4</v>
      </c>
      <c r="R1972">
        <v>3</v>
      </c>
      <c r="S1972" t="s">
        <v>25</v>
      </c>
    </row>
    <row r="1973" spans="1:19" x14ac:dyDescent="0.25">
      <c r="A1973">
        <v>11972</v>
      </c>
      <c r="B1973">
        <v>46</v>
      </c>
      <c r="C1973" t="s">
        <v>31</v>
      </c>
      <c r="D1973" t="s">
        <v>41</v>
      </c>
      <c r="E1973" t="s">
        <v>33</v>
      </c>
      <c r="F1973" t="s">
        <v>37</v>
      </c>
      <c r="G1973" t="s">
        <v>30</v>
      </c>
      <c r="H1973">
        <v>37094</v>
      </c>
      <c r="I1973">
        <v>28038</v>
      </c>
      <c r="J1973">
        <v>2</v>
      </c>
      <c r="K1973">
        <v>14</v>
      </c>
      <c r="L1973">
        <v>2</v>
      </c>
      <c r="M1973" t="s">
        <v>24</v>
      </c>
      <c r="N1973">
        <v>3</v>
      </c>
      <c r="O1973">
        <v>20</v>
      </c>
      <c r="P1973">
        <v>24</v>
      </c>
      <c r="Q1973">
        <v>3</v>
      </c>
      <c r="R1973">
        <v>1</v>
      </c>
      <c r="S1973" t="s">
        <v>25</v>
      </c>
    </row>
    <row r="1974" spans="1:19" x14ac:dyDescent="0.25">
      <c r="A1974">
        <v>11973</v>
      </c>
      <c r="B1974">
        <v>57</v>
      </c>
      <c r="C1974" t="s">
        <v>31</v>
      </c>
      <c r="D1974" t="s">
        <v>28</v>
      </c>
      <c r="E1974" t="s">
        <v>33</v>
      </c>
      <c r="F1974" t="s">
        <v>39</v>
      </c>
      <c r="G1974" t="s">
        <v>38</v>
      </c>
      <c r="H1974">
        <v>29630</v>
      </c>
      <c r="I1974">
        <v>31739</v>
      </c>
      <c r="J1974">
        <v>4</v>
      </c>
      <c r="K1974">
        <v>6</v>
      </c>
      <c r="L1974">
        <v>3</v>
      </c>
      <c r="M1974" t="s">
        <v>25</v>
      </c>
      <c r="N1974">
        <v>4</v>
      </c>
      <c r="O1974">
        <v>14</v>
      </c>
      <c r="P1974">
        <v>56</v>
      </c>
      <c r="Q1974">
        <v>3</v>
      </c>
      <c r="R1974">
        <v>1</v>
      </c>
      <c r="S1974" t="s">
        <v>25</v>
      </c>
    </row>
    <row r="1975" spans="1:19" x14ac:dyDescent="0.25">
      <c r="A1975">
        <v>11974</v>
      </c>
      <c r="B1975">
        <v>34</v>
      </c>
      <c r="C1975" t="s">
        <v>31</v>
      </c>
      <c r="D1975" t="s">
        <v>34</v>
      </c>
      <c r="E1975" t="s">
        <v>36</v>
      </c>
      <c r="F1975" t="s">
        <v>35</v>
      </c>
      <c r="G1975" t="s">
        <v>38</v>
      </c>
      <c r="H1975">
        <v>48362</v>
      </c>
      <c r="I1975">
        <v>20487</v>
      </c>
      <c r="J1975">
        <v>21</v>
      </c>
      <c r="K1975">
        <v>4</v>
      </c>
      <c r="L1975">
        <v>4</v>
      </c>
      <c r="M1975" t="s">
        <v>25</v>
      </c>
      <c r="N1975">
        <v>3</v>
      </c>
      <c r="O1975">
        <v>16</v>
      </c>
      <c r="P1975">
        <v>46</v>
      </c>
      <c r="Q1975">
        <v>4</v>
      </c>
      <c r="R1975">
        <v>4</v>
      </c>
      <c r="S1975" t="s">
        <v>25</v>
      </c>
    </row>
    <row r="1976" spans="1:19" x14ac:dyDescent="0.25">
      <c r="A1976">
        <v>11975</v>
      </c>
      <c r="B1976">
        <v>42</v>
      </c>
      <c r="C1976" t="s">
        <v>31</v>
      </c>
      <c r="D1976" t="s">
        <v>41</v>
      </c>
      <c r="E1976" t="s">
        <v>36</v>
      </c>
      <c r="F1976" t="s">
        <v>39</v>
      </c>
      <c r="G1976" t="s">
        <v>38</v>
      </c>
      <c r="H1976">
        <v>57356</v>
      </c>
      <c r="I1976">
        <v>24790</v>
      </c>
      <c r="J1976">
        <v>6</v>
      </c>
      <c r="K1976">
        <v>8</v>
      </c>
      <c r="L1976">
        <v>2</v>
      </c>
      <c r="M1976" t="s">
        <v>25</v>
      </c>
      <c r="N1976">
        <v>2</v>
      </c>
      <c r="O1976">
        <v>26</v>
      </c>
      <c r="P1976">
        <v>22</v>
      </c>
      <c r="Q1976">
        <v>3</v>
      </c>
      <c r="R1976">
        <v>2</v>
      </c>
      <c r="S1976" t="s">
        <v>25</v>
      </c>
    </row>
    <row r="1977" spans="1:19" x14ac:dyDescent="0.25">
      <c r="A1977">
        <v>11976</v>
      </c>
      <c r="B1977">
        <v>33</v>
      </c>
      <c r="C1977" t="s">
        <v>19</v>
      </c>
      <c r="D1977" t="s">
        <v>41</v>
      </c>
      <c r="E1977" t="s">
        <v>36</v>
      </c>
      <c r="F1977" t="s">
        <v>39</v>
      </c>
      <c r="G1977" t="s">
        <v>23</v>
      </c>
      <c r="H1977">
        <v>67013</v>
      </c>
      <c r="I1977">
        <v>21153</v>
      </c>
      <c r="J1977">
        <v>21</v>
      </c>
      <c r="K1977">
        <v>13</v>
      </c>
      <c r="L1977">
        <v>3</v>
      </c>
      <c r="M1977" t="s">
        <v>24</v>
      </c>
      <c r="N1977">
        <v>4</v>
      </c>
      <c r="O1977">
        <v>31</v>
      </c>
      <c r="P1977">
        <v>44</v>
      </c>
      <c r="Q1977">
        <v>3</v>
      </c>
      <c r="R1977">
        <v>3</v>
      </c>
      <c r="S1977" t="s">
        <v>25</v>
      </c>
    </row>
    <row r="1978" spans="1:19" x14ac:dyDescent="0.25">
      <c r="A1978">
        <v>11977</v>
      </c>
      <c r="B1978">
        <v>37</v>
      </c>
      <c r="C1978" t="s">
        <v>19</v>
      </c>
      <c r="D1978" t="s">
        <v>28</v>
      </c>
      <c r="E1978" t="s">
        <v>36</v>
      </c>
      <c r="F1978" t="s">
        <v>39</v>
      </c>
      <c r="G1978" t="s">
        <v>23</v>
      </c>
      <c r="H1978">
        <v>58255</v>
      </c>
      <c r="I1978">
        <v>8462</v>
      </c>
      <c r="J1978">
        <v>4</v>
      </c>
      <c r="K1978">
        <v>4</v>
      </c>
      <c r="L1978">
        <v>3</v>
      </c>
      <c r="M1978" t="s">
        <v>25</v>
      </c>
      <c r="N1978">
        <v>1</v>
      </c>
      <c r="O1978">
        <v>24</v>
      </c>
      <c r="P1978">
        <v>22</v>
      </c>
      <c r="Q1978">
        <v>3</v>
      </c>
      <c r="R1978">
        <v>1</v>
      </c>
      <c r="S1978" t="s">
        <v>24</v>
      </c>
    </row>
    <row r="1979" spans="1:19" x14ac:dyDescent="0.25">
      <c r="A1979">
        <v>11978</v>
      </c>
      <c r="B1979">
        <v>28</v>
      </c>
      <c r="C1979" t="s">
        <v>31</v>
      </c>
      <c r="D1979" t="s">
        <v>20</v>
      </c>
      <c r="E1979" t="s">
        <v>36</v>
      </c>
      <c r="F1979" t="s">
        <v>39</v>
      </c>
      <c r="G1979" t="s">
        <v>38</v>
      </c>
      <c r="H1979">
        <v>54413</v>
      </c>
      <c r="I1979">
        <v>894</v>
      </c>
      <c r="J1979">
        <v>13</v>
      </c>
      <c r="K1979">
        <v>0</v>
      </c>
      <c r="L1979">
        <v>3</v>
      </c>
      <c r="M1979" t="s">
        <v>24</v>
      </c>
      <c r="N1979">
        <v>4</v>
      </c>
      <c r="O1979">
        <v>31</v>
      </c>
      <c r="P1979">
        <v>32</v>
      </c>
      <c r="Q1979">
        <v>4</v>
      </c>
      <c r="R1979">
        <v>3</v>
      </c>
      <c r="S1979" t="s">
        <v>25</v>
      </c>
    </row>
    <row r="1980" spans="1:19" x14ac:dyDescent="0.25">
      <c r="A1980">
        <v>11979</v>
      </c>
      <c r="B1980">
        <v>47</v>
      </c>
      <c r="C1980" t="s">
        <v>19</v>
      </c>
      <c r="D1980" t="s">
        <v>34</v>
      </c>
      <c r="E1980" t="s">
        <v>33</v>
      </c>
      <c r="F1980" t="s">
        <v>35</v>
      </c>
      <c r="G1980" t="s">
        <v>30</v>
      </c>
      <c r="H1980">
        <v>40034</v>
      </c>
      <c r="I1980">
        <v>39766</v>
      </c>
      <c r="J1980">
        <v>0</v>
      </c>
      <c r="K1980">
        <v>11</v>
      </c>
      <c r="L1980">
        <v>3</v>
      </c>
      <c r="M1980" t="s">
        <v>25</v>
      </c>
      <c r="N1980">
        <v>1</v>
      </c>
      <c r="O1980">
        <v>25</v>
      </c>
      <c r="P1980">
        <v>42</v>
      </c>
      <c r="Q1980">
        <v>3</v>
      </c>
      <c r="R1980">
        <v>3</v>
      </c>
      <c r="S1980" t="s">
        <v>25</v>
      </c>
    </row>
    <row r="1981" spans="1:19" x14ac:dyDescent="0.25">
      <c r="A1981">
        <v>11980</v>
      </c>
      <c r="B1981">
        <v>41</v>
      </c>
      <c r="C1981" t="s">
        <v>31</v>
      </c>
      <c r="D1981" t="s">
        <v>26</v>
      </c>
      <c r="E1981" t="s">
        <v>27</v>
      </c>
      <c r="F1981" t="s">
        <v>39</v>
      </c>
      <c r="G1981" t="s">
        <v>38</v>
      </c>
      <c r="H1981">
        <v>64368</v>
      </c>
      <c r="I1981">
        <v>22763</v>
      </c>
      <c r="J1981">
        <v>9</v>
      </c>
      <c r="K1981">
        <v>3</v>
      </c>
      <c r="L1981">
        <v>4</v>
      </c>
      <c r="M1981" t="s">
        <v>24</v>
      </c>
      <c r="N1981">
        <v>4</v>
      </c>
      <c r="O1981">
        <v>24</v>
      </c>
      <c r="P1981">
        <v>9</v>
      </c>
      <c r="Q1981">
        <v>2</v>
      </c>
      <c r="R1981">
        <v>1</v>
      </c>
      <c r="S1981" t="s">
        <v>25</v>
      </c>
    </row>
    <row r="1982" spans="1:19" x14ac:dyDescent="0.25">
      <c r="A1982">
        <v>11981</v>
      </c>
      <c r="B1982">
        <v>29</v>
      </c>
      <c r="C1982" t="s">
        <v>19</v>
      </c>
      <c r="D1982" t="s">
        <v>20</v>
      </c>
      <c r="E1982" t="s">
        <v>36</v>
      </c>
      <c r="F1982" t="s">
        <v>22</v>
      </c>
      <c r="G1982" t="s">
        <v>38</v>
      </c>
      <c r="H1982">
        <v>58849</v>
      </c>
      <c r="I1982">
        <v>26293</v>
      </c>
      <c r="J1982">
        <v>15</v>
      </c>
      <c r="K1982">
        <v>9</v>
      </c>
      <c r="L1982">
        <v>4</v>
      </c>
      <c r="M1982" t="s">
        <v>25</v>
      </c>
      <c r="N1982">
        <v>2</v>
      </c>
      <c r="O1982">
        <v>23</v>
      </c>
      <c r="P1982">
        <v>59</v>
      </c>
      <c r="Q1982">
        <v>4</v>
      </c>
      <c r="R1982">
        <v>3</v>
      </c>
      <c r="S1982" t="s">
        <v>25</v>
      </c>
    </row>
    <row r="1983" spans="1:19" x14ac:dyDescent="0.25">
      <c r="A1983">
        <v>11982</v>
      </c>
      <c r="B1983">
        <v>23</v>
      </c>
      <c r="C1983" t="s">
        <v>19</v>
      </c>
      <c r="D1983" t="s">
        <v>20</v>
      </c>
      <c r="E1983" t="s">
        <v>33</v>
      </c>
      <c r="F1983" t="s">
        <v>35</v>
      </c>
      <c r="G1983" t="s">
        <v>38</v>
      </c>
      <c r="H1983">
        <v>33895</v>
      </c>
      <c r="I1983">
        <v>29740</v>
      </c>
      <c r="J1983">
        <v>23</v>
      </c>
      <c r="K1983">
        <v>5</v>
      </c>
      <c r="L1983">
        <v>3</v>
      </c>
      <c r="M1983" t="s">
        <v>25</v>
      </c>
      <c r="N1983">
        <v>3</v>
      </c>
      <c r="O1983">
        <v>15</v>
      </c>
      <c r="P1983">
        <v>15</v>
      </c>
      <c r="Q1983">
        <v>4</v>
      </c>
      <c r="R1983">
        <v>3</v>
      </c>
      <c r="S1983" t="s">
        <v>25</v>
      </c>
    </row>
    <row r="1984" spans="1:19" x14ac:dyDescent="0.25">
      <c r="A1984">
        <v>11983</v>
      </c>
      <c r="B1984">
        <v>36</v>
      </c>
      <c r="C1984" t="s">
        <v>19</v>
      </c>
      <c r="D1984" t="s">
        <v>20</v>
      </c>
      <c r="E1984" t="s">
        <v>27</v>
      </c>
      <c r="F1984" t="s">
        <v>35</v>
      </c>
      <c r="G1984" t="s">
        <v>30</v>
      </c>
      <c r="H1984">
        <v>64228</v>
      </c>
      <c r="I1984">
        <v>11388</v>
      </c>
      <c r="J1984">
        <v>2</v>
      </c>
      <c r="K1984">
        <v>9</v>
      </c>
      <c r="L1984">
        <v>3</v>
      </c>
      <c r="M1984" t="s">
        <v>24</v>
      </c>
      <c r="N1984">
        <v>1</v>
      </c>
      <c r="O1984">
        <v>26</v>
      </c>
      <c r="P1984">
        <v>31</v>
      </c>
      <c r="Q1984">
        <v>1</v>
      </c>
      <c r="R1984">
        <v>2</v>
      </c>
      <c r="S1984" t="s">
        <v>24</v>
      </c>
    </row>
    <row r="1985" spans="1:19" x14ac:dyDescent="0.25">
      <c r="A1985">
        <v>11984</v>
      </c>
      <c r="B1985">
        <v>49</v>
      </c>
      <c r="C1985" t="s">
        <v>19</v>
      </c>
      <c r="D1985" t="s">
        <v>34</v>
      </c>
      <c r="E1985" t="s">
        <v>40</v>
      </c>
      <c r="F1985" t="s">
        <v>35</v>
      </c>
      <c r="G1985" t="s">
        <v>38</v>
      </c>
      <c r="H1985">
        <v>17376</v>
      </c>
      <c r="I1985">
        <v>24667</v>
      </c>
      <c r="J1985">
        <v>8</v>
      </c>
      <c r="K1985">
        <v>11</v>
      </c>
      <c r="L1985">
        <v>3</v>
      </c>
      <c r="M1985" t="s">
        <v>25</v>
      </c>
      <c r="N1985">
        <v>4</v>
      </c>
      <c r="O1985">
        <v>13</v>
      </c>
      <c r="P1985">
        <v>27</v>
      </c>
      <c r="Q1985">
        <v>3</v>
      </c>
      <c r="R1985">
        <v>4</v>
      </c>
      <c r="S1985" t="s">
        <v>25</v>
      </c>
    </row>
    <row r="1986" spans="1:19" x14ac:dyDescent="0.25">
      <c r="A1986">
        <v>11985</v>
      </c>
      <c r="B1986">
        <v>22</v>
      </c>
      <c r="C1986" t="s">
        <v>19</v>
      </c>
      <c r="D1986" t="s">
        <v>41</v>
      </c>
      <c r="E1986" t="s">
        <v>33</v>
      </c>
      <c r="F1986" t="s">
        <v>22</v>
      </c>
      <c r="G1986" t="s">
        <v>30</v>
      </c>
      <c r="H1986">
        <v>41371</v>
      </c>
      <c r="I1986">
        <v>41921</v>
      </c>
      <c r="J1986">
        <v>15</v>
      </c>
      <c r="K1986">
        <v>3</v>
      </c>
      <c r="L1986">
        <v>3</v>
      </c>
      <c r="M1986" t="s">
        <v>24</v>
      </c>
      <c r="N1986">
        <v>3</v>
      </c>
      <c r="O1986">
        <v>34</v>
      </c>
      <c r="P1986">
        <v>58</v>
      </c>
      <c r="Q1986">
        <v>2</v>
      </c>
      <c r="R1986">
        <v>3</v>
      </c>
      <c r="S1986" t="s">
        <v>25</v>
      </c>
    </row>
    <row r="1987" spans="1:19" x14ac:dyDescent="0.25">
      <c r="A1987">
        <v>11986</v>
      </c>
      <c r="B1987">
        <v>21</v>
      </c>
      <c r="C1987" t="s">
        <v>31</v>
      </c>
      <c r="D1987" t="s">
        <v>32</v>
      </c>
      <c r="E1987" t="s">
        <v>33</v>
      </c>
      <c r="F1987" t="s">
        <v>35</v>
      </c>
      <c r="G1987" t="s">
        <v>30</v>
      </c>
      <c r="H1987">
        <v>36054</v>
      </c>
      <c r="I1987">
        <v>7851</v>
      </c>
      <c r="J1987">
        <v>9</v>
      </c>
      <c r="K1987">
        <v>9</v>
      </c>
      <c r="L1987">
        <v>3</v>
      </c>
      <c r="M1987" t="s">
        <v>25</v>
      </c>
      <c r="N1987">
        <v>4</v>
      </c>
      <c r="O1987">
        <v>31</v>
      </c>
      <c r="P1987">
        <v>58</v>
      </c>
      <c r="Q1987">
        <v>1</v>
      </c>
      <c r="R1987">
        <v>3</v>
      </c>
      <c r="S1987" t="s">
        <v>24</v>
      </c>
    </row>
    <row r="1988" spans="1:19" x14ac:dyDescent="0.25">
      <c r="A1988">
        <v>11987</v>
      </c>
      <c r="B1988">
        <v>42</v>
      </c>
      <c r="C1988" t="s">
        <v>19</v>
      </c>
      <c r="D1988" t="s">
        <v>20</v>
      </c>
      <c r="E1988" t="s">
        <v>36</v>
      </c>
      <c r="F1988" t="s">
        <v>35</v>
      </c>
      <c r="G1988" t="s">
        <v>23</v>
      </c>
      <c r="H1988">
        <v>46800</v>
      </c>
      <c r="I1988">
        <v>2377</v>
      </c>
      <c r="J1988">
        <v>23</v>
      </c>
      <c r="K1988">
        <v>2</v>
      </c>
      <c r="L1988">
        <v>4</v>
      </c>
      <c r="M1988" t="s">
        <v>25</v>
      </c>
      <c r="N1988">
        <v>3</v>
      </c>
      <c r="O1988">
        <v>30</v>
      </c>
      <c r="P1988">
        <v>30</v>
      </c>
      <c r="Q1988">
        <v>3</v>
      </c>
      <c r="R1988">
        <v>3</v>
      </c>
      <c r="S1988" t="s">
        <v>25</v>
      </c>
    </row>
    <row r="1989" spans="1:19" x14ac:dyDescent="0.25">
      <c r="A1989">
        <v>11988</v>
      </c>
      <c r="B1989">
        <v>52</v>
      </c>
      <c r="C1989" t="s">
        <v>31</v>
      </c>
      <c r="D1989" t="s">
        <v>34</v>
      </c>
      <c r="E1989" t="s">
        <v>36</v>
      </c>
      <c r="F1989" t="s">
        <v>39</v>
      </c>
      <c r="G1989" t="s">
        <v>30</v>
      </c>
      <c r="H1989">
        <v>50486</v>
      </c>
      <c r="I1989">
        <v>4824</v>
      </c>
      <c r="J1989">
        <v>15</v>
      </c>
      <c r="K1989">
        <v>11</v>
      </c>
      <c r="L1989">
        <v>5</v>
      </c>
      <c r="M1989" t="s">
        <v>24</v>
      </c>
      <c r="N1989">
        <v>1</v>
      </c>
      <c r="O1989">
        <v>8</v>
      </c>
      <c r="P1989">
        <v>25</v>
      </c>
      <c r="Q1989">
        <v>3</v>
      </c>
      <c r="R1989">
        <v>2</v>
      </c>
      <c r="S1989" t="s">
        <v>25</v>
      </c>
    </row>
    <row r="1990" spans="1:19" x14ac:dyDescent="0.25">
      <c r="A1990">
        <v>11989</v>
      </c>
      <c r="B1990">
        <v>31</v>
      </c>
      <c r="C1990" t="s">
        <v>19</v>
      </c>
      <c r="D1990" t="s">
        <v>20</v>
      </c>
      <c r="E1990" t="s">
        <v>21</v>
      </c>
      <c r="F1990" t="s">
        <v>22</v>
      </c>
      <c r="G1990" t="s">
        <v>38</v>
      </c>
      <c r="H1990">
        <v>91254</v>
      </c>
      <c r="I1990">
        <v>44861</v>
      </c>
      <c r="J1990">
        <v>12</v>
      </c>
      <c r="K1990">
        <v>14</v>
      </c>
      <c r="L1990">
        <v>3</v>
      </c>
      <c r="M1990" t="s">
        <v>25</v>
      </c>
      <c r="N1990">
        <v>1</v>
      </c>
      <c r="O1990">
        <v>38</v>
      </c>
      <c r="P1990">
        <v>6</v>
      </c>
      <c r="Q1990">
        <v>4</v>
      </c>
      <c r="R1990">
        <v>3</v>
      </c>
      <c r="S1990" t="s">
        <v>25</v>
      </c>
    </row>
    <row r="1991" spans="1:19" x14ac:dyDescent="0.25">
      <c r="A1991">
        <v>11990</v>
      </c>
      <c r="B1991">
        <v>54</v>
      </c>
      <c r="C1991" t="s">
        <v>31</v>
      </c>
      <c r="D1991" t="s">
        <v>41</v>
      </c>
      <c r="E1991" t="s">
        <v>40</v>
      </c>
      <c r="F1991" t="s">
        <v>39</v>
      </c>
      <c r="G1991" t="s">
        <v>38</v>
      </c>
      <c r="H1991">
        <v>13849</v>
      </c>
      <c r="I1991">
        <v>13483</v>
      </c>
      <c r="J1991">
        <v>10</v>
      </c>
      <c r="K1991">
        <v>13</v>
      </c>
      <c r="L1991">
        <v>1</v>
      </c>
      <c r="M1991" t="s">
        <v>25</v>
      </c>
      <c r="N1991">
        <v>4</v>
      </c>
      <c r="O1991">
        <v>2</v>
      </c>
      <c r="P1991">
        <v>59</v>
      </c>
      <c r="Q1991">
        <v>1</v>
      </c>
      <c r="R1991">
        <v>3</v>
      </c>
      <c r="S1991" t="s">
        <v>24</v>
      </c>
    </row>
    <row r="1992" spans="1:19" x14ac:dyDescent="0.25">
      <c r="A1992">
        <v>11991</v>
      </c>
      <c r="B1992">
        <v>30</v>
      </c>
      <c r="C1992" t="s">
        <v>19</v>
      </c>
      <c r="D1992" t="s">
        <v>34</v>
      </c>
      <c r="E1992" t="s">
        <v>21</v>
      </c>
      <c r="F1992" t="s">
        <v>39</v>
      </c>
      <c r="G1992" t="s">
        <v>30</v>
      </c>
      <c r="H1992">
        <v>115560</v>
      </c>
      <c r="I1992">
        <v>14646</v>
      </c>
      <c r="J1992">
        <v>0</v>
      </c>
      <c r="K1992">
        <v>0</v>
      </c>
      <c r="L1992">
        <v>5</v>
      </c>
      <c r="M1992" t="s">
        <v>25</v>
      </c>
      <c r="N1992">
        <v>4</v>
      </c>
      <c r="O1992">
        <v>6</v>
      </c>
      <c r="P1992">
        <v>44</v>
      </c>
      <c r="Q1992">
        <v>2</v>
      </c>
      <c r="R1992">
        <v>2</v>
      </c>
      <c r="S1992" t="s">
        <v>24</v>
      </c>
    </row>
    <row r="1993" spans="1:19" x14ac:dyDescent="0.25">
      <c r="A1993">
        <v>11992</v>
      </c>
      <c r="B1993">
        <v>52</v>
      </c>
      <c r="C1993" t="s">
        <v>19</v>
      </c>
      <c r="D1993" t="s">
        <v>26</v>
      </c>
      <c r="E1993" t="s">
        <v>40</v>
      </c>
      <c r="F1993" t="s">
        <v>35</v>
      </c>
      <c r="G1993" t="s">
        <v>38</v>
      </c>
      <c r="H1993">
        <v>19567</v>
      </c>
      <c r="I1993">
        <v>19880</v>
      </c>
      <c r="J1993">
        <v>16</v>
      </c>
      <c r="K1993">
        <v>5</v>
      </c>
      <c r="L1993">
        <v>4</v>
      </c>
      <c r="M1993" t="s">
        <v>25</v>
      </c>
      <c r="N1993">
        <v>2</v>
      </c>
      <c r="O1993">
        <v>39</v>
      </c>
      <c r="P1993">
        <v>46</v>
      </c>
      <c r="Q1993">
        <v>3</v>
      </c>
      <c r="R1993">
        <v>2</v>
      </c>
      <c r="S1993" t="s">
        <v>25</v>
      </c>
    </row>
    <row r="1994" spans="1:19" x14ac:dyDescent="0.25">
      <c r="A1994">
        <v>11993</v>
      </c>
      <c r="B1994">
        <v>45</v>
      </c>
      <c r="C1994" t="s">
        <v>19</v>
      </c>
      <c r="D1994" t="s">
        <v>20</v>
      </c>
      <c r="E1994" t="s">
        <v>36</v>
      </c>
      <c r="F1994" t="s">
        <v>39</v>
      </c>
      <c r="G1994" t="s">
        <v>30</v>
      </c>
      <c r="H1994">
        <v>53376</v>
      </c>
      <c r="I1994">
        <v>45237</v>
      </c>
      <c r="J1994">
        <v>6</v>
      </c>
      <c r="K1994">
        <v>11</v>
      </c>
      <c r="L1994">
        <v>4</v>
      </c>
      <c r="M1994" t="s">
        <v>24</v>
      </c>
      <c r="N1994">
        <v>2</v>
      </c>
      <c r="O1994">
        <v>19</v>
      </c>
      <c r="P1994">
        <v>34</v>
      </c>
      <c r="Q1994">
        <v>3</v>
      </c>
      <c r="R1994">
        <v>4</v>
      </c>
      <c r="S1994" t="s">
        <v>25</v>
      </c>
    </row>
    <row r="1995" spans="1:19" x14ac:dyDescent="0.25">
      <c r="A1995">
        <v>11994</v>
      </c>
      <c r="B1995">
        <v>39</v>
      </c>
      <c r="C1995" t="s">
        <v>19</v>
      </c>
      <c r="D1995" t="s">
        <v>28</v>
      </c>
      <c r="E1995" t="s">
        <v>33</v>
      </c>
      <c r="F1995" t="s">
        <v>39</v>
      </c>
      <c r="G1995" t="s">
        <v>38</v>
      </c>
      <c r="H1995">
        <v>37919</v>
      </c>
      <c r="I1995">
        <v>15297</v>
      </c>
      <c r="J1995">
        <v>24</v>
      </c>
      <c r="K1995">
        <v>3</v>
      </c>
      <c r="L1995">
        <v>3</v>
      </c>
      <c r="M1995" t="s">
        <v>25</v>
      </c>
      <c r="N1995">
        <v>3</v>
      </c>
      <c r="O1995">
        <v>11</v>
      </c>
      <c r="P1995">
        <v>28</v>
      </c>
      <c r="Q1995">
        <v>4</v>
      </c>
      <c r="R1995">
        <v>4</v>
      </c>
      <c r="S1995" t="s">
        <v>25</v>
      </c>
    </row>
    <row r="1996" spans="1:19" x14ac:dyDescent="0.25">
      <c r="A1996">
        <v>11995</v>
      </c>
      <c r="B1996">
        <v>53</v>
      </c>
      <c r="C1996" t="s">
        <v>19</v>
      </c>
      <c r="D1996" t="s">
        <v>32</v>
      </c>
      <c r="E1996" t="s">
        <v>29</v>
      </c>
      <c r="F1996" t="s">
        <v>22</v>
      </c>
      <c r="G1996" t="s">
        <v>30</v>
      </c>
      <c r="H1996">
        <v>164939</v>
      </c>
      <c r="I1996">
        <v>40910</v>
      </c>
      <c r="J1996">
        <v>21</v>
      </c>
      <c r="K1996">
        <v>7</v>
      </c>
      <c r="L1996">
        <v>4</v>
      </c>
      <c r="M1996" t="s">
        <v>25</v>
      </c>
      <c r="N1996">
        <v>3</v>
      </c>
      <c r="O1996">
        <v>38</v>
      </c>
      <c r="P1996">
        <v>55</v>
      </c>
      <c r="Q1996">
        <v>3</v>
      </c>
      <c r="R1996">
        <v>3</v>
      </c>
      <c r="S1996" t="s">
        <v>25</v>
      </c>
    </row>
    <row r="1997" spans="1:19" x14ac:dyDescent="0.25">
      <c r="A1997">
        <v>11996</v>
      </c>
      <c r="B1997">
        <v>45</v>
      </c>
      <c r="C1997" t="s">
        <v>19</v>
      </c>
      <c r="D1997" t="s">
        <v>28</v>
      </c>
      <c r="E1997" t="s">
        <v>40</v>
      </c>
      <c r="F1997" t="s">
        <v>35</v>
      </c>
      <c r="G1997" t="s">
        <v>30</v>
      </c>
      <c r="H1997">
        <v>19917</v>
      </c>
      <c r="I1997">
        <v>11001</v>
      </c>
      <c r="J1997">
        <v>22</v>
      </c>
      <c r="K1997">
        <v>13</v>
      </c>
      <c r="L1997">
        <v>3</v>
      </c>
      <c r="M1997" t="s">
        <v>25</v>
      </c>
      <c r="N1997">
        <v>1</v>
      </c>
      <c r="O1997">
        <v>9</v>
      </c>
      <c r="P1997">
        <v>48</v>
      </c>
      <c r="Q1997">
        <v>1</v>
      </c>
      <c r="R1997">
        <v>3</v>
      </c>
      <c r="S1997" t="s">
        <v>24</v>
      </c>
    </row>
    <row r="1998" spans="1:19" x14ac:dyDescent="0.25">
      <c r="A1998">
        <v>11997</v>
      </c>
      <c r="B1998">
        <v>45</v>
      </c>
      <c r="C1998" t="s">
        <v>19</v>
      </c>
      <c r="D1998" t="s">
        <v>20</v>
      </c>
      <c r="E1998" t="s">
        <v>36</v>
      </c>
      <c r="F1998" t="s">
        <v>39</v>
      </c>
      <c r="G1998" t="s">
        <v>38</v>
      </c>
      <c r="H1998">
        <v>50883</v>
      </c>
      <c r="I1998">
        <v>37326</v>
      </c>
      <c r="J1998">
        <v>2</v>
      </c>
      <c r="K1998">
        <v>8</v>
      </c>
      <c r="L1998">
        <v>3</v>
      </c>
      <c r="M1998" t="s">
        <v>25</v>
      </c>
      <c r="N1998">
        <v>2</v>
      </c>
      <c r="O1998">
        <v>16</v>
      </c>
      <c r="P1998">
        <v>37</v>
      </c>
      <c r="Q1998">
        <v>2</v>
      </c>
      <c r="R1998">
        <v>4</v>
      </c>
      <c r="S1998" t="s">
        <v>25</v>
      </c>
    </row>
    <row r="1999" spans="1:19" x14ac:dyDescent="0.25">
      <c r="A1999">
        <v>11998</v>
      </c>
      <c r="B1999">
        <v>57</v>
      </c>
      <c r="C1999" t="s">
        <v>31</v>
      </c>
      <c r="D1999" t="s">
        <v>26</v>
      </c>
      <c r="E1999" t="s">
        <v>27</v>
      </c>
      <c r="F1999" t="s">
        <v>39</v>
      </c>
      <c r="G1999" t="s">
        <v>30</v>
      </c>
      <c r="H1999">
        <v>78018</v>
      </c>
      <c r="I1999">
        <v>2603</v>
      </c>
      <c r="J1999">
        <v>0</v>
      </c>
      <c r="K1999">
        <v>12</v>
      </c>
      <c r="L1999">
        <v>5</v>
      </c>
      <c r="M1999" t="s">
        <v>25</v>
      </c>
      <c r="N1999">
        <v>4</v>
      </c>
      <c r="O1999">
        <v>2</v>
      </c>
      <c r="P1999">
        <v>35</v>
      </c>
      <c r="Q1999">
        <v>2</v>
      </c>
      <c r="R1999">
        <v>1</v>
      </c>
      <c r="S1999" t="s">
        <v>25</v>
      </c>
    </row>
    <row r="2000" spans="1:19" x14ac:dyDescent="0.25">
      <c r="A2000">
        <v>11999</v>
      </c>
      <c r="B2000">
        <v>55</v>
      </c>
      <c r="C2000" t="s">
        <v>19</v>
      </c>
      <c r="D2000" t="s">
        <v>34</v>
      </c>
      <c r="E2000" t="s">
        <v>36</v>
      </c>
      <c r="F2000" t="s">
        <v>39</v>
      </c>
      <c r="G2000" t="s">
        <v>30</v>
      </c>
      <c r="H2000">
        <v>55022</v>
      </c>
      <c r="I2000">
        <v>44135</v>
      </c>
      <c r="J2000">
        <v>6</v>
      </c>
      <c r="K2000">
        <v>10</v>
      </c>
      <c r="L2000">
        <v>3</v>
      </c>
      <c r="M2000" t="s">
        <v>24</v>
      </c>
      <c r="N2000">
        <v>1</v>
      </c>
      <c r="O2000">
        <v>37</v>
      </c>
      <c r="P2000">
        <v>11</v>
      </c>
      <c r="Q2000">
        <v>4</v>
      </c>
      <c r="R2000">
        <v>3</v>
      </c>
      <c r="S2000" t="s">
        <v>25</v>
      </c>
    </row>
    <row r="2001" spans="1:19" x14ac:dyDescent="0.25">
      <c r="A2001">
        <v>12000</v>
      </c>
      <c r="B2001">
        <v>48</v>
      </c>
      <c r="C2001" t="s">
        <v>19</v>
      </c>
      <c r="D2001" t="s">
        <v>20</v>
      </c>
      <c r="E2001" t="s">
        <v>33</v>
      </c>
      <c r="F2001" t="s">
        <v>39</v>
      </c>
      <c r="G2001" t="s">
        <v>30</v>
      </c>
      <c r="H2001">
        <v>32740</v>
      </c>
      <c r="I2001">
        <v>25189</v>
      </c>
      <c r="J2001">
        <v>6</v>
      </c>
      <c r="K2001">
        <v>12</v>
      </c>
      <c r="L2001">
        <v>5</v>
      </c>
      <c r="M2001" t="s">
        <v>25</v>
      </c>
      <c r="N2001">
        <v>2</v>
      </c>
      <c r="O2001">
        <v>9</v>
      </c>
      <c r="P2001">
        <v>6</v>
      </c>
      <c r="Q2001">
        <v>1</v>
      </c>
      <c r="R2001">
        <v>2</v>
      </c>
      <c r="S2001" t="s">
        <v>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A1EC7-D678-4CD9-9B6F-65F134900701}">
  <dimension ref="A2:B58"/>
  <sheetViews>
    <sheetView zoomScale="85" zoomScaleNormal="85" workbookViewId="0">
      <selection activeCell="A13" sqref="A13"/>
    </sheetView>
  </sheetViews>
  <sheetFormatPr defaultRowHeight="15" x14ac:dyDescent="0.25"/>
  <cols>
    <col min="1" max="1" width="13.28515625" bestFit="1" customWidth="1"/>
    <col min="2" max="2" width="20" bestFit="1" customWidth="1"/>
    <col min="13" max="13" width="15.28515625" customWidth="1"/>
    <col min="17" max="17" width="13.28515625" bestFit="1" customWidth="1"/>
  </cols>
  <sheetData>
    <row r="2" spans="1:2" x14ac:dyDescent="0.25">
      <c r="A2" s="1" t="s">
        <v>42</v>
      </c>
      <c r="B2" t="s">
        <v>44</v>
      </c>
    </row>
    <row r="3" spans="1:2" x14ac:dyDescent="0.25">
      <c r="A3" s="2" t="s">
        <v>31</v>
      </c>
      <c r="B3" s="6">
        <v>88</v>
      </c>
    </row>
    <row r="4" spans="1:2" x14ac:dyDescent="0.25">
      <c r="A4" s="2" t="s">
        <v>19</v>
      </c>
      <c r="B4" s="6">
        <v>188</v>
      </c>
    </row>
    <row r="5" spans="1:2" x14ac:dyDescent="0.25">
      <c r="A5" s="2" t="s">
        <v>43</v>
      </c>
      <c r="B5" s="6">
        <v>276</v>
      </c>
    </row>
    <row r="20" spans="1:2" x14ac:dyDescent="0.25">
      <c r="A20" s="1" t="s">
        <v>42</v>
      </c>
      <c r="B20" t="s">
        <v>44</v>
      </c>
    </row>
    <row r="21" spans="1:2" x14ac:dyDescent="0.25">
      <c r="A21" s="2" t="s">
        <v>33</v>
      </c>
      <c r="B21" s="6">
        <v>89</v>
      </c>
    </row>
    <row r="22" spans="1:2" x14ac:dyDescent="0.25">
      <c r="A22" s="2" t="s">
        <v>27</v>
      </c>
      <c r="B22" s="6">
        <v>63</v>
      </c>
    </row>
    <row r="23" spans="1:2" x14ac:dyDescent="0.25">
      <c r="A23" s="2" t="s">
        <v>40</v>
      </c>
      <c r="B23" s="6">
        <v>22</v>
      </c>
    </row>
    <row r="24" spans="1:2" x14ac:dyDescent="0.25">
      <c r="A24" s="2" t="s">
        <v>29</v>
      </c>
      <c r="B24" s="6">
        <v>10</v>
      </c>
    </row>
    <row r="25" spans="1:2" x14ac:dyDescent="0.25">
      <c r="A25" s="2" t="s">
        <v>36</v>
      </c>
      <c r="B25" s="6">
        <v>63</v>
      </c>
    </row>
    <row r="26" spans="1:2" x14ac:dyDescent="0.25">
      <c r="A26" s="2" t="s">
        <v>21</v>
      </c>
      <c r="B26" s="6">
        <v>29</v>
      </c>
    </row>
    <row r="27" spans="1:2" x14ac:dyDescent="0.25">
      <c r="A27" s="2" t="s">
        <v>43</v>
      </c>
      <c r="B27" s="6">
        <v>276</v>
      </c>
    </row>
    <row r="36" spans="1:2" x14ac:dyDescent="0.25">
      <c r="A36" s="1" t="s">
        <v>42</v>
      </c>
      <c r="B36" t="s">
        <v>44</v>
      </c>
    </row>
    <row r="37" spans="1:2" x14ac:dyDescent="0.25">
      <c r="A37" s="2" t="s">
        <v>39</v>
      </c>
      <c r="B37" s="6">
        <v>134</v>
      </c>
    </row>
    <row r="38" spans="1:2" x14ac:dyDescent="0.25">
      <c r="A38" s="2" t="s">
        <v>22</v>
      </c>
      <c r="B38" s="6">
        <v>38</v>
      </c>
    </row>
    <row r="39" spans="1:2" x14ac:dyDescent="0.25">
      <c r="A39" s="2" t="s">
        <v>35</v>
      </c>
      <c r="B39" s="6">
        <v>85</v>
      </c>
    </row>
    <row r="40" spans="1:2" x14ac:dyDescent="0.25">
      <c r="A40" s="2" t="s">
        <v>37</v>
      </c>
      <c r="B40" s="6">
        <v>19</v>
      </c>
    </row>
    <row r="41" spans="1:2" x14ac:dyDescent="0.25">
      <c r="A41" s="2" t="s">
        <v>43</v>
      </c>
      <c r="B41" s="6">
        <v>276</v>
      </c>
    </row>
    <row r="51" spans="1:2" x14ac:dyDescent="0.25">
      <c r="A51" s="1" t="s">
        <v>42</v>
      </c>
      <c r="B51" t="s">
        <v>44</v>
      </c>
    </row>
    <row r="52" spans="1:2" x14ac:dyDescent="0.25">
      <c r="A52" s="2" t="s">
        <v>32</v>
      </c>
      <c r="B52" s="6">
        <v>20</v>
      </c>
    </row>
    <row r="53" spans="1:2" x14ac:dyDescent="0.25">
      <c r="A53" s="2" t="s">
        <v>28</v>
      </c>
      <c r="B53" s="6">
        <v>23</v>
      </c>
    </row>
    <row r="54" spans="1:2" x14ac:dyDescent="0.25">
      <c r="A54" s="2" t="s">
        <v>20</v>
      </c>
      <c r="B54" s="6">
        <v>69</v>
      </c>
    </row>
    <row r="55" spans="1:2" x14ac:dyDescent="0.25">
      <c r="A55" s="2" t="s">
        <v>34</v>
      </c>
      <c r="B55" s="6">
        <v>32</v>
      </c>
    </row>
    <row r="56" spans="1:2" x14ac:dyDescent="0.25">
      <c r="A56" s="2" t="s">
        <v>26</v>
      </c>
      <c r="B56" s="6">
        <v>44</v>
      </c>
    </row>
    <row r="57" spans="1:2" x14ac:dyDescent="0.25">
      <c r="A57" s="2" t="s">
        <v>41</v>
      </c>
      <c r="B57" s="6">
        <v>88</v>
      </c>
    </row>
    <row r="58" spans="1:2" x14ac:dyDescent="0.25">
      <c r="A58" s="2" t="s">
        <v>43</v>
      </c>
      <c r="B58" s="6">
        <v>276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4860-FDC9-4C44-96DC-20A74F5AB062}">
  <dimension ref="A1:P76"/>
  <sheetViews>
    <sheetView topLeftCell="A10" workbookViewId="0">
      <selection activeCell="A36" sqref="A36"/>
    </sheetView>
  </sheetViews>
  <sheetFormatPr defaultRowHeight="15" x14ac:dyDescent="0.25"/>
  <cols>
    <col min="1" max="1" width="13.140625" bestFit="1" customWidth="1"/>
    <col min="2" max="2" width="20" bestFit="1" customWidth="1"/>
    <col min="16" max="16" width="10.5703125" bestFit="1" customWidth="1"/>
  </cols>
  <sheetData>
    <row r="1" spans="1:16" x14ac:dyDescent="0.25">
      <c r="A1" s="1" t="s">
        <v>18</v>
      </c>
      <c r="B1" t="s">
        <v>24</v>
      </c>
    </row>
    <row r="3" spans="1:16" x14ac:dyDescent="0.25">
      <c r="A3" s="1" t="s">
        <v>42</v>
      </c>
      <c r="B3" t="s">
        <v>44</v>
      </c>
      <c r="P3">
        <f>COUNTIF(HRData[Attrition],"Yes")</f>
        <v>276</v>
      </c>
    </row>
    <row r="4" spans="1:16" x14ac:dyDescent="0.25">
      <c r="A4" s="2" t="s">
        <v>33</v>
      </c>
      <c r="B4" s="6">
        <v>89</v>
      </c>
    </row>
    <row r="5" spans="1:16" x14ac:dyDescent="0.25">
      <c r="A5" s="2" t="s">
        <v>27</v>
      </c>
      <c r="B5" s="6">
        <v>63</v>
      </c>
      <c r="P5">
        <f>COUNTIF(HRData[Attrition],"Yes") / COUNTA(HRData[EmployeeID])*100</f>
        <v>13.8</v>
      </c>
    </row>
    <row r="6" spans="1:16" x14ac:dyDescent="0.25">
      <c r="A6" s="2" t="s">
        <v>40</v>
      </c>
      <c r="B6" s="6">
        <v>22</v>
      </c>
    </row>
    <row r="7" spans="1:16" x14ac:dyDescent="0.25">
      <c r="A7" s="2" t="s">
        <v>29</v>
      </c>
      <c r="B7" s="6">
        <v>10</v>
      </c>
      <c r="P7" s="4">
        <f>AVERAGEIFS(HRData[YearsAtCompany], HRData[Attrition],"Yes")</f>
        <v>11.681159420289855</v>
      </c>
    </row>
    <row r="8" spans="1:16" x14ac:dyDescent="0.25">
      <c r="A8" s="2" t="s">
        <v>36</v>
      </c>
      <c r="B8" s="6">
        <v>63</v>
      </c>
    </row>
    <row r="9" spans="1:16" x14ac:dyDescent="0.25">
      <c r="A9" s="2" t="s">
        <v>21</v>
      </c>
      <c r="B9" s="6">
        <v>29</v>
      </c>
      <c r="P9">
        <f>AVERAGEIFS(HRData[MonthlyIncome], HRData[Attrition],"Yes")</f>
        <v>58789.55072463768</v>
      </c>
    </row>
    <row r="10" spans="1:16" x14ac:dyDescent="0.25">
      <c r="A10" s="2" t="s">
        <v>43</v>
      </c>
      <c r="B10" s="6">
        <v>276</v>
      </c>
    </row>
    <row r="11" spans="1:16" x14ac:dyDescent="0.25">
      <c r="P11" s="4">
        <f>COUNTIFS(HRData[Overtime],"Yes", HRData[Attrition],"Yes") / COUNTIF(HRData[Attrition],"Yes")</f>
        <v>0.24637681159420291</v>
      </c>
    </row>
    <row r="22" spans="1:2" x14ac:dyDescent="0.25">
      <c r="A22" s="1" t="s">
        <v>18</v>
      </c>
      <c r="B22" t="s">
        <v>24</v>
      </c>
    </row>
    <row r="24" spans="1:2" x14ac:dyDescent="0.25">
      <c r="A24" s="1" t="s">
        <v>42</v>
      </c>
      <c r="B24" t="s">
        <v>44</v>
      </c>
    </row>
    <row r="25" spans="1:2" x14ac:dyDescent="0.25">
      <c r="A25" s="2" t="s">
        <v>32</v>
      </c>
      <c r="B25" s="6">
        <v>20</v>
      </c>
    </row>
    <row r="26" spans="1:2" x14ac:dyDescent="0.25">
      <c r="A26" s="2" t="s">
        <v>28</v>
      </c>
      <c r="B26" s="6">
        <v>23</v>
      </c>
    </row>
    <row r="27" spans="1:2" x14ac:dyDescent="0.25">
      <c r="A27" s="2" t="s">
        <v>20</v>
      </c>
      <c r="B27" s="6">
        <v>69</v>
      </c>
    </row>
    <row r="28" spans="1:2" x14ac:dyDescent="0.25">
      <c r="A28" s="2" t="s">
        <v>34</v>
      </c>
      <c r="B28" s="6">
        <v>32</v>
      </c>
    </row>
    <row r="29" spans="1:2" x14ac:dyDescent="0.25">
      <c r="A29" s="2" t="s">
        <v>26</v>
      </c>
      <c r="B29" s="6">
        <v>44</v>
      </c>
    </row>
    <row r="30" spans="1:2" x14ac:dyDescent="0.25">
      <c r="A30" s="2" t="s">
        <v>41</v>
      </c>
      <c r="B30" s="6">
        <v>88</v>
      </c>
    </row>
    <row r="31" spans="1:2" x14ac:dyDescent="0.25">
      <c r="A31" s="2" t="s">
        <v>43</v>
      </c>
      <c r="B31" s="6">
        <v>276</v>
      </c>
    </row>
    <row r="36" spans="1:2" x14ac:dyDescent="0.25">
      <c r="A36" s="1" t="s">
        <v>18</v>
      </c>
      <c r="B36" t="s">
        <v>24</v>
      </c>
    </row>
    <row r="38" spans="1:2" x14ac:dyDescent="0.25">
      <c r="A38" s="1" t="s">
        <v>42</v>
      </c>
      <c r="B38" t="s">
        <v>44</v>
      </c>
    </row>
    <row r="39" spans="1:2" x14ac:dyDescent="0.25">
      <c r="A39" s="2">
        <v>1</v>
      </c>
      <c r="B39" s="6">
        <v>121</v>
      </c>
    </row>
    <row r="40" spans="1:2" x14ac:dyDescent="0.25">
      <c r="A40" s="2">
        <v>2</v>
      </c>
      <c r="B40" s="6">
        <v>66</v>
      </c>
    </row>
    <row r="41" spans="1:2" x14ac:dyDescent="0.25">
      <c r="A41" s="2">
        <v>3</v>
      </c>
      <c r="B41" s="6">
        <v>64</v>
      </c>
    </row>
    <row r="42" spans="1:2" x14ac:dyDescent="0.25">
      <c r="A42" s="2">
        <v>4</v>
      </c>
      <c r="B42" s="6">
        <v>25</v>
      </c>
    </row>
    <row r="43" spans="1:2" x14ac:dyDescent="0.25">
      <c r="A43" s="2" t="s">
        <v>43</v>
      </c>
      <c r="B43" s="6">
        <v>276</v>
      </c>
    </row>
    <row r="59" spans="1:3" x14ac:dyDescent="0.25">
      <c r="A59" s="7"/>
      <c r="B59" s="8"/>
      <c r="C59" s="9"/>
    </row>
    <row r="60" spans="1:3" x14ac:dyDescent="0.25">
      <c r="A60" s="10"/>
      <c r="B60" s="3"/>
      <c r="C60" s="11"/>
    </row>
    <row r="61" spans="1:3" x14ac:dyDescent="0.25">
      <c r="A61" s="10"/>
      <c r="B61" s="3"/>
      <c r="C61" s="11"/>
    </row>
    <row r="62" spans="1:3" x14ac:dyDescent="0.25">
      <c r="A62" s="10"/>
      <c r="B62" s="3"/>
      <c r="C62" s="11"/>
    </row>
    <row r="63" spans="1:3" x14ac:dyDescent="0.25">
      <c r="A63" s="10"/>
      <c r="B63" s="3"/>
      <c r="C63" s="11"/>
    </row>
    <row r="64" spans="1:3" x14ac:dyDescent="0.25">
      <c r="A64" s="10"/>
      <c r="B64" s="3"/>
      <c r="C64" s="11"/>
    </row>
    <row r="65" spans="1:3" x14ac:dyDescent="0.25">
      <c r="A65" s="10"/>
      <c r="B65" s="3"/>
      <c r="C65" s="11"/>
    </row>
    <row r="66" spans="1:3" x14ac:dyDescent="0.25">
      <c r="A66" s="10"/>
      <c r="B66" s="3"/>
      <c r="C66" s="11"/>
    </row>
    <row r="67" spans="1:3" x14ac:dyDescent="0.25">
      <c r="A67" s="10"/>
      <c r="B67" s="3"/>
      <c r="C67" s="11"/>
    </row>
    <row r="68" spans="1:3" x14ac:dyDescent="0.25">
      <c r="A68" s="10"/>
      <c r="B68" s="3"/>
      <c r="C68" s="11"/>
    </row>
    <row r="69" spans="1:3" x14ac:dyDescent="0.25">
      <c r="A69" s="10"/>
      <c r="B69" s="3"/>
      <c r="C69" s="11"/>
    </row>
    <row r="70" spans="1:3" x14ac:dyDescent="0.25">
      <c r="A70" s="10"/>
      <c r="B70" s="3"/>
      <c r="C70" s="11"/>
    </row>
    <row r="71" spans="1:3" x14ac:dyDescent="0.25">
      <c r="A71" s="10"/>
      <c r="B71" s="3"/>
      <c r="C71" s="11"/>
    </row>
    <row r="72" spans="1:3" x14ac:dyDescent="0.25">
      <c r="A72" s="10"/>
      <c r="B72" s="3"/>
      <c r="C72" s="11"/>
    </row>
    <row r="73" spans="1:3" x14ac:dyDescent="0.25">
      <c r="A73" s="10"/>
      <c r="B73" s="3"/>
      <c r="C73" s="11"/>
    </row>
    <row r="74" spans="1:3" x14ac:dyDescent="0.25">
      <c r="A74" s="10"/>
      <c r="B74" s="3"/>
      <c r="C74" s="11"/>
    </row>
    <row r="75" spans="1:3" x14ac:dyDescent="0.25">
      <c r="A75" s="10"/>
      <c r="B75" s="3"/>
      <c r="C75" s="11"/>
    </row>
    <row r="76" spans="1:3" x14ac:dyDescent="0.25">
      <c r="A76" s="12"/>
      <c r="B76" s="13"/>
      <c r="C76" s="14"/>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2206F-825A-4752-9216-1AB4FFC57B3D}">
  <dimension ref="B6:C53"/>
  <sheetViews>
    <sheetView workbookViewId="0">
      <selection activeCell="C46" sqref="C46"/>
    </sheetView>
  </sheetViews>
  <sheetFormatPr defaultRowHeight="15" x14ac:dyDescent="0.25"/>
  <cols>
    <col min="2" max="2" width="13.85546875" bestFit="1" customWidth="1"/>
    <col min="3" max="3" width="23.7109375" bestFit="1" customWidth="1"/>
  </cols>
  <sheetData>
    <row r="6" spans="2:3" x14ac:dyDescent="0.25">
      <c r="B6" s="1" t="s">
        <v>42</v>
      </c>
      <c r="C6" t="s">
        <v>45</v>
      </c>
    </row>
    <row r="7" spans="2:3" x14ac:dyDescent="0.25">
      <c r="B7" s="2" t="s">
        <v>32</v>
      </c>
      <c r="C7" s="4">
        <v>2.8317307692307692</v>
      </c>
    </row>
    <row r="8" spans="2:3" x14ac:dyDescent="0.25">
      <c r="B8" s="2" t="s">
        <v>28</v>
      </c>
      <c r="C8" s="4">
        <v>2.782178217821782</v>
      </c>
    </row>
    <row r="9" spans="2:3" x14ac:dyDescent="0.25">
      <c r="B9" s="2" t="s">
        <v>20</v>
      </c>
      <c r="C9" s="4">
        <v>2.8314447592067991</v>
      </c>
    </row>
    <row r="10" spans="2:3" x14ac:dyDescent="0.25">
      <c r="B10" s="2" t="s">
        <v>34</v>
      </c>
      <c r="C10" s="4">
        <v>2.8720930232558142</v>
      </c>
    </row>
    <row r="11" spans="2:3" x14ac:dyDescent="0.25">
      <c r="B11" s="2" t="s">
        <v>26</v>
      </c>
      <c r="C11" s="4">
        <v>2.7571428571428571</v>
      </c>
    </row>
    <row r="12" spans="2:3" x14ac:dyDescent="0.25">
      <c r="B12" s="2" t="s">
        <v>41</v>
      </c>
      <c r="C12" s="4">
        <v>2.7307692307692308</v>
      </c>
    </row>
    <row r="13" spans="2:3" x14ac:dyDescent="0.25">
      <c r="B13" s="2" t="s">
        <v>43</v>
      </c>
      <c r="C13" s="6">
        <v>2.8029999999999999</v>
      </c>
    </row>
    <row r="26" spans="2:3" x14ac:dyDescent="0.25">
      <c r="B26" s="1" t="s">
        <v>42</v>
      </c>
      <c r="C26" t="s">
        <v>46</v>
      </c>
    </row>
    <row r="27" spans="2:3" x14ac:dyDescent="0.25">
      <c r="B27" s="2" t="s">
        <v>33</v>
      </c>
      <c r="C27" s="6">
        <v>2.8510638297872339</v>
      </c>
    </row>
    <row r="28" spans="2:3" x14ac:dyDescent="0.25">
      <c r="B28" s="2" t="s">
        <v>27</v>
      </c>
      <c r="C28" s="6">
        <v>2.7805486284289276</v>
      </c>
    </row>
    <row r="29" spans="2:3" x14ac:dyDescent="0.25">
      <c r="B29" s="2" t="s">
        <v>40</v>
      </c>
      <c r="C29" s="6">
        <v>2.7924528301886791</v>
      </c>
    </row>
    <row r="30" spans="2:3" x14ac:dyDescent="0.25">
      <c r="B30" s="2" t="s">
        <v>29</v>
      </c>
      <c r="C30" s="6">
        <v>2.7311827956989245</v>
      </c>
    </row>
    <row r="31" spans="2:3" x14ac:dyDescent="0.25">
      <c r="B31" s="2" t="s">
        <v>36</v>
      </c>
      <c r="C31" s="6">
        <v>2.8190127970749543</v>
      </c>
    </row>
    <row r="32" spans="2:3" x14ac:dyDescent="0.25">
      <c r="B32" s="2" t="s">
        <v>21</v>
      </c>
      <c r="C32" s="6">
        <v>2.8008474576271185</v>
      </c>
    </row>
    <row r="33" spans="2:3" x14ac:dyDescent="0.25">
      <c r="B33" s="2" t="s">
        <v>43</v>
      </c>
      <c r="C33" s="6">
        <v>2.8119999999999998</v>
      </c>
    </row>
    <row r="46" spans="2:3" x14ac:dyDescent="0.25">
      <c r="B46" s="1" t="s">
        <v>42</v>
      </c>
      <c r="C46" t="s">
        <v>47</v>
      </c>
    </row>
    <row r="47" spans="2:3" x14ac:dyDescent="0.25">
      <c r="B47" s="2" t="s">
        <v>33</v>
      </c>
      <c r="C47" s="6">
        <v>31.696808510638299</v>
      </c>
    </row>
    <row r="48" spans="2:3" x14ac:dyDescent="0.25">
      <c r="B48" s="2" t="s">
        <v>27</v>
      </c>
      <c r="C48" s="6">
        <v>32.835411471321699</v>
      </c>
    </row>
    <row r="49" spans="2:3" x14ac:dyDescent="0.25">
      <c r="B49" s="2" t="s">
        <v>40</v>
      </c>
      <c r="C49" s="6">
        <v>31.062893081761008</v>
      </c>
    </row>
    <row r="50" spans="2:3" x14ac:dyDescent="0.25">
      <c r="B50" s="2" t="s">
        <v>29</v>
      </c>
      <c r="C50" s="6">
        <v>31.86021505376344</v>
      </c>
    </row>
    <row r="51" spans="2:3" x14ac:dyDescent="0.25">
      <c r="B51" s="2" t="s">
        <v>36</v>
      </c>
      <c r="C51" s="6">
        <v>31.819012797074954</v>
      </c>
    </row>
    <row r="52" spans="2:3" x14ac:dyDescent="0.25">
      <c r="B52" s="2" t="s">
        <v>21</v>
      </c>
      <c r="C52" s="6">
        <v>32.682203389830505</v>
      </c>
    </row>
    <row r="53" spans="2:3" x14ac:dyDescent="0.25">
      <c r="B53" s="2" t="s">
        <v>43</v>
      </c>
      <c r="C53" s="6">
        <v>32.031999999999996</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Dashboard_Overview</vt:lpstr>
      <vt:lpstr>Dashboard_Attrition</vt:lpstr>
      <vt:lpstr>Dashboard_Performance</vt:lpstr>
      <vt:lpstr>Dashboard_Compensation</vt:lpstr>
      <vt:lpstr>page 4</vt:lpstr>
      <vt:lpstr>Data</vt:lpstr>
      <vt:lpstr>page 1</vt:lpstr>
      <vt:lpstr>page 2</vt:lpstr>
      <vt:lpstr>page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Aakash Sosa</cp:lastModifiedBy>
  <dcterms:created xsi:type="dcterms:W3CDTF">2025-11-19T16:53:09Z</dcterms:created>
  <dcterms:modified xsi:type="dcterms:W3CDTF">2025-11-21T16:59:56Z</dcterms:modified>
</cp:coreProperties>
</file>