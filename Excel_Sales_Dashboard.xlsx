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code\dashboards\"/>
    </mc:Choice>
  </mc:AlternateContent>
  <xr:revisionPtr revIDLastSave="0" documentId="8_{42FAEAFB-F1F7-4C11-BB82-97D8946C3F67}" xr6:coauthVersionLast="47" xr6:coauthVersionMax="47" xr10:uidLastSave="{00000000-0000-0000-0000-000000000000}"/>
  <bookViews>
    <workbookView xWindow="-120" yWindow="-120" windowWidth="29040" windowHeight="15720" firstSheet="1" activeTab="2" xr2:uid="{00000000-000D-0000-FFFF-FFFF00000000}"/>
  </bookViews>
  <sheets>
    <sheet name="Data" sheetId="2" r:id="rId1"/>
    <sheet name="pivots" sheetId="3" r:id="rId2"/>
    <sheet name="new main" sheetId="11" r:id="rId3"/>
    <sheet name="sales" sheetId="13" r:id="rId4"/>
    <sheet name="profit" sheetId="14" r:id="rId5"/>
    <sheet name="Sheet1" sheetId="15" r:id="rId6"/>
    <sheet name="top sales" sheetId="16" r:id="rId7"/>
    <sheet name="botttom sales" sheetId="17" r:id="rId8"/>
  </sheets>
  <definedNames>
    <definedName name="Slicer_month">#N/A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3" l="1"/>
  <c r="D44" i="3"/>
  <c r="B12" i="3" l="1"/>
  <c r="B34" i="3"/>
  <c r="B23" i="3"/>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<sst xmlns="http://schemas.openxmlformats.org/spreadsheetml/2006/main" count="338" uniqueCount="41">
  <si>
    <t>Order ID</t>
  </si>
  <si>
    <t>Order Date</t>
  </si>
  <si>
    <t>Product</t>
  </si>
  <si>
    <t>Units Sold</t>
  </si>
  <si>
    <t>Unit Price</t>
  </si>
  <si>
    <t>Total Sales</t>
  </si>
  <si>
    <t>Profit</t>
  </si>
  <si>
    <t>Profit Percent</t>
  </si>
  <si>
    <t>Laptop</t>
  </si>
  <si>
    <t>Monitor</t>
  </si>
  <si>
    <t>Tablet</t>
  </si>
  <si>
    <t>Headphones</t>
  </si>
  <si>
    <t>Mobile</t>
  </si>
  <si>
    <t>Mouse</t>
  </si>
  <si>
    <t>Keyboard</t>
  </si>
  <si>
    <t>year</t>
  </si>
  <si>
    <t>month</t>
  </si>
  <si>
    <t>south</t>
  </si>
  <si>
    <t>east</t>
  </si>
  <si>
    <t>north</t>
  </si>
  <si>
    <t>west</t>
  </si>
  <si>
    <t>region</t>
  </si>
  <si>
    <t>Row Labels</t>
  </si>
  <si>
    <t>Grand Total</t>
  </si>
  <si>
    <t>Sum of Total Sales</t>
  </si>
  <si>
    <t>Sum of Units Sold</t>
  </si>
  <si>
    <t>Sum of Profit</t>
  </si>
  <si>
    <t>Nov</t>
  </si>
  <si>
    <t>Sum of Profit Percent</t>
  </si>
  <si>
    <t>Column Labels</t>
  </si>
  <si>
    <t>Apr</t>
  </si>
  <si>
    <t>Mar</t>
  </si>
  <si>
    <t>Jun</t>
  </si>
  <si>
    <t>Feb</t>
  </si>
  <si>
    <t>Aug</t>
  </si>
  <si>
    <t>Jan</t>
  </si>
  <si>
    <t>Jul</t>
  </si>
  <si>
    <t>Oct</t>
  </si>
  <si>
    <t>May</t>
  </si>
  <si>
    <t>Sep</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</si>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</sst>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1009]#,##0.00"/>
    <numFmt numFmtId="166" formatCode="[$$-1009]#,##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5">
    <dxf>
      <numFmt numFmtId="2" formatCode="0.00"/>
    </dxf>
    <dxf>
      <numFmt numFmtId="165" formatCode="[$$-1009]#,##0.00"/>
    </dxf>
    <dxf>
      <numFmt numFmtId="165" formatCode="[$$-1009]#,##0.00"/>
    </dxf>
    <dxf>
      <numFmt numFmtId="165" formatCode="[$$-1009]#,##0.00"/>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[Excel_Sales_Dashboard.xlsx]pivots!units sold each 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pivots!$B$79:$B$80</c:f>
              <c:strCache>
                <c:ptCount val="1"/>
                <c:pt idx="0">
                  <c:v>Headphones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pivots!$B$81:$B$93</c:f>
              <c:numCache>
                <c:formatCode>General</c:formatCode>
                <c:ptCount val="12"/>
                <c:pt idx="2">
                  <c:v>14</c:v>
                </c:pt>
                <c:pt idx="3">
                  <c:v>18</c:v>
                </c:pt>
                <c:pt idx="10">
                  <c:v>4</c:v>
                </c:pt>
                <c:pt idx="11">
                  <c:v>26</c:v>
                </c:pt>
              </c:numCache>
            </c:numRef>
          </c:val>
          <c:smooth val="0"/>
          <c:extLst>
            <c:ext xmlns:c16="http://schemas.microsoft.com/office/drawing/2014/chart" uri="{C3380CC4-5D6E-409C-BE32-E72D297353CC}">
              <c16:uniqueId val="{00000000-36A8-4977-B7E1-771ECB8EF7F8}"/>
            </c:ext>
          </c:extLst>
        </c:ser>
        <c:ser>
          <c:idx val="1"/>
          <c:order val="1"/>
          <c:tx>
            <c:strRef>
              <c:f>pivots!$C$79:$C$80</c:f>
              <c:strCache>
                <c:ptCount val="1"/>
                <c:pt idx="0">
                  <c:v>Keyboard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pivots!$C$81:$C$93</c:f>
              <c:numCache>
                <c:formatCode>General</c:formatCode>
                <c:ptCount val="12"/>
                <c:pt idx="0">
                  <c:v>11</c:v>
                </c:pt>
                <c:pt idx="3">
                  <c:v>4</c:v>
                </c:pt>
                <c:pt idx="11">
                  <c:v>3</c:v>
                </c:pt>
              </c:numCache>
            </c:numRef>
          </c:val>
          <c:smooth val="0"/>
          <c:extLst>
            <c:ext xmlns:c16="http://schemas.microsoft.com/office/drawing/2014/chart" uri="{C3380CC4-5D6E-409C-BE32-E72D297353CC}">
              <c16:uniqueId val="{00000011-CD82-474D-B724-8D33A82ABCB8}"/>
            </c:ext>
          </c:extLst>
        </c:ser>
        <c:ser>
          <c:idx val="2"/>
          <c:order val="2"/>
          <c:tx>
            <c:strRef>
              <c:f>pivots!$D$79:$D$80</c:f>
              <c:strCache>
                <c:ptCount val="1"/>
                <c:pt idx="0">
                  <c:v>Laptop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pivots!$D$81:$D$93</c:f>
              <c:numCache>
                <c:formatCode>General</c:formatCode>
                <c:ptCount val="12"/>
                <c:pt idx="0">
                  <c:v>6</c:v>
                </c:pt>
                <c:pt idx="1">
                  <c:v>11</c:v>
                </c:pt>
                <c:pt idx="2">
                  <c:v>7</c:v>
                </c:pt>
                <c:pt idx="3">
                  <c:v>3</c:v>
                </c:pt>
                <c:pt idx="4">
                  <c:v>25</c:v>
                </c:pt>
                <c:pt idx="5">
                  <c:v>18</c:v>
                </c:pt>
                <c:pt idx="6">
                  <c:v>39</c:v>
                </c:pt>
                <c:pt idx="9">
                  <c:v>4</c:v>
                </c:pt>
                <c:pt idx="11">
                  <c:v>2</c:v>
                </c:pt>
              </c:numCache>
            </c:numRef>
          </c:val>
          <c:smooth val="0"/>
          <c:extLst>
            <c:ext xmlns:c16="http://schemas.microsoft.com/office/drawing/2014/chart" uri="{C3380CC4-5D6E-409C-BE32-E72D297353CC}">
              <c16:uniqueId val="{00000012-CD82-474D-B724-8D33A82ABCB8}"/>
            </c:ext>
          </c:extLst>
        </c:ser>
        <c:ser>
          <c:idx val="3"/>
          <c:order val="3"/>
          <c:tx>
            <c:strRef>
              <c:f>pivots!$E$79:$E$80</c:f>
              <c:strCache>
                <c:ptCount val="1"/>
                <c:pt idx="0">
                  <c:v>Mobile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pivots!$E$81:$E$93</c:f>
              <c:numCache>
                <c:formatCode>General</c:formatCode>
                <c:ptCount val="12"/>
                <c:pt idx="0">
                  <c:v>15</c:v>
                </c:pt>
                <c:pt idx="3">
                  <c:v>13</c:v>
                </c:pt>
                <c:pt idx="4">
                  <c:v>12</c:v>
                </c:pt>
                <c:pt idx="6">
                  <c:v>1</c:v>
                </c:pt>
                <c:pt idx="9">
                  <c:v>8</c:v>
                </c:pt>
              </c:numCache>
            </c:numRef>
          </c:val>
          <c:smooth val="0"/>
          <c:extLst>
            <c:ext xmlns:c16="http://schemas.microsoft.com/office/drawing/2014/chart" uri="{C3380CC4-5D6E-409C-BE32-E72D297353CC}">
              <c16:uniqueId val="{00000013-CD82-474D-B724-8D33A82ABCB8}"/>
            </c:ext>
          </c:extLst>
        </c:ser>
        <c:ser>
          <c:idx val="4"/>
          <c:order val="4"/>
          <c:tx>
            <c:strRef>
              <c:f>pivots!$F$79:$F$80</c:f>
              <c:strCache>
                <c:ptCount val="1"/>
                <c:pt idx="0">
                  <c:v>Monitor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pivots!$F$81:$F$93</c:f>
              <c:numCache>
                <c:formatCode>General</c:formatCode>
                <c:ptCount val="12"/>
                <c:pt idx="0">
                  <c:v>4</c:v>
                </c:pt>
                <c:pt idx="2">
                  <c:v>6</c:v>
                </c:pt>
                <c:pt idx="3">
                  <c:v>23</c:v>
                </c:pt>
                <c:pt idx="6">
                  <c:v>6</c:v>
                </c:pt>
                <c:pt idx="10">
                  <c:v>28</c:v>
                </c:pt>
                <c:pt idx="11">
                  <c:v>17</c:v>
                </c:pt>
              </c:numCache>
            </c:numRef>
          </c:val>
          <c:smooth val="0"/>
          <c:extLst>
            <c:ext xmlns:c16="http://schemas.microsoft.com/office/drawing/2014/chart" uri="{C3380CC4-5D6E-409C-BE32-E72D297353CC}">
              <c16:uniqueId val="{00000014-CD82-474D-B724-8D33A82ABCB8}"/>
            </c:ext>
          </c:extLst>
        </c:ser>
        <c:ser>
          <c:idx val="5"/>
          <c:order val="5"/>
          <c:tx>
            <c:strRef>
              <c:f>pivots!$G$79:$G$80</c:f>
              <c:strCache>
                <c:ptCount val="1"/>
                <c:pt idx="0">
                  <c:v>Mouse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pivots!$G$81:$G$93</c:f>
              <c:numCache>
                <c:formatCode>General</c:formatCode>
                <c:ptCount val="12"/>
                <c:pt idx="0">
                  <c:v>10</c:v>
                </c:pt>
                <c:pt idx="4">
                  <c:v>22</c:v>
                </c:pt>
                <c:pt idx="9">
                  <c:v>2</c:v>
                </c:pt>
                <c:pt idx="11">
                  <c:v>1</c:v>
                </c:pt>
              </c:numCache>
            </c:numRef>
          </c:val>
          <c:smooth val="0"/>
          <c:extLst>
            <c:ext xmlns:c16="http://schemas.microsoft.com/office/drawing/2014/chart" uri="{C3380CC4-5D6E-409C-BE32-E72D297353CC}">
              <c16:uniqueId val="{00000016-CD82-474D-B724-8D33A82ABCB8}"/>
            </c:ext>
          </c:extLst>
        </c:ser>
        <c:ser>
          <c:idx val="6"/>
          <c:order val="6"/>
          <c:tx>
            <c:strRef>
              <c:f>pivots!$H$79:$H$80</c:f>
              <c:strCache>
                <c:ptCount val="1"/>
                <c:pt idx="0">
                  <c:v>Tablet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pivots!$H$81:$H$93</c:f>
              <c:numCache>
                <c:formatCode>General</c:formatCode>
                <c:ptCount val="12"/>
                <c:pt idx="0">
                  <c:v>1</c:v>
                </c:pt>
                <c:pt idx="1">
                  <c:v>19</c:v>
                </c:pt>
                <c:pt idx="3">
                  <c:v>6</c:v>
                </c:pt>
                <c:pt idx="6">
                  <c:v>8</c:v>
                </c:pt>
                <c:pt idx="7">
                  <c:v>19</c:v>
                </c:pt>
                <c:pt idx="8">
                  <c:v>4</c:v>
                </c:pt>
              </c:numCache>
            </c:numRef>
          </c:val>
          <c:smooth val="0"/>
          <c:extLst>
            <c:ext xmlns:c16="http://schemas.microsoft.com/office/drawing/2014/chart" uri="{C3380CC4-5D6E-409C-BE32-E72D297353CC}">
              <c16:uniqueId val="{00000017-CD82-474D-B724-8D33A82ABCB8}"/>
            </c:ext>
          </c:extLst>
        </c:ser>
        <c:dLbls>
          <c:showLegendKey val="0"/>
          <c:showVal val="0"/>
          <c:showCatName val="0"/>
          <c:showSerName val="0"/>
          <c:showPercent val="0"/>
          <c:showBubbleSize val="0"/>
        </c:dLbls>
        <c:marker val="1"/>
        <c:smooth val="0"/>
        <c:axId val="1907926576"/>
        <c:axId val="1907948656"/>
      </c:lineChart>
      <c:catAx>
        <c:axId val="19079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948656"/>
        <c:crosses val="autoZero"/>
        <c:auto val="1"/>
        <c:lblAlgn val="ctr"/>
        <c:lblOffset val="100"/>
        <c:noMultiLvlLbl val="0"/>
      </c:catAx>
      <c:valAx>
        <c:axId val="190794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9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[Excel_Sales_Dashboard.xlsx]pivots!prod sold in year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pivots!$B$67:$B$68</c:f>
              <c:strCache>
                <c:ptCount val="1"/>
                <c:pt idx="0">
                  <c:v>2025</c:v>
                </c:pt>
              </c:strCache>
            </c:strRef>
          </c:tx>
          <c:spPr>
            <a:solidFill>
              <a:schemeClr val="accent1"/>
            </a:solidFill>
            <a:ln>
              <a:noFill/>
            </a:ln>
            <a:effectLst/>
          </c:spPr>
          <c:invertIfNegative val="0"/>
          <c:cat>
            <c:strRef>
              <c:f>pivots!$A$69:$A$76</c:f>
              <c:strCache>
                <c:ptCount val="7"/>
                <c:pt idx="0">
                  <c:v>Headphones</c:v>
                </c:pt>
                <c:pt idx="1">
                  <c:v>Keyboard</c:v>
                </c:pt>
                <c:pt idx="2">
                  <c:v>Laptop</c:v>
                </c:pt>
                <c:pt idx="3">
                  <c:v>Mobile</c:v>
                </c:pt>
                <c:pt idx="4">
                  <c:v>Monitor</c:v>
                </c:pt>
                <c:pt idx="5">
                  <c:v>Mouse</c:v>
                </c:pt>
                <c:pt idx="6">
                  <c:v>Tablet</c:v>
                </c:pt>
              </c:strCache>
            </c:strRef>
          </c:cat>
          <c:val>
            <c:numRef>
              <c:f>pivots!$B$69:$B$76</c:f>
              <c:numCache>
                <c:formatCode>General</c:formatCode>
                <c:ptCount val="7"/>
                <c:pt idx="0">
                  <c:v>62</c:v>
                </c:pt>
                <c:pt idx="1">
                  <c:v>18</c:v>
                </c:pt>
                <c:pt idx="2">
                  <c:v>115</c:v>
                </c:pt>
                <c:pt idx="3">
                  <c:v>49</c:v>
                </c:pt>
                <c:pt idx="4">
                  <c:v>84</c:v>
                </c:pt>
                <c:pt idx="5">
                  <c:v>35</c:v>
                </c:pt>
                <c:pt idx="6">
                  <c:v>57</c:v>
                </c:pt>
              </c:numCache>
            </c:numRef>
          </c:val>
          <c:extLst>
            <c:ext xmlns:c16="http://schemas.microsoft.com/office/drawing/2014/chart" uri="{C3380CC4-5D6E-409C-BE32-E72D297353CC}">
              <c16:uniqueId val="{00000000-0C7A-42D1-B2FC-C8A6AD2BADE6}"/>
            </c:ext>
          </c:extLst>
        </c:ser>
        <c:dLbls>
          <c:showLegendKey val="0"/>
          <c:showVal val="0"/>
          <c:showCatName val="0"/>
          <c:showSerName val="0"/>
          <c:showPercent val="0"/>
          <c:showBubbleSize val="0"/>
        </c:dLbls>
        <c:gapWidth val="219"/>
        <c:overlap val="-27"/>
        <c:axId val="1908277424"/>
        <c:axId val="1908277904"/>
      </c:barChart>
      <c:catAx>
        <c:axId val="190827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77904"/>
        <c:crosses val="autoZero"/>
        <c:auto val="1"/>
        <c:lblAlgn val="ctr"/>
        <c:lblOffset val="100"/>
        <c:noMultiLvlLbl val="0"/>
      </c:catAx>
      <c:valAx>
        <c:axId val="190827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7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[Excel_Sales_Dashboard.xlsx]pivots!prft bt reg</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pivots!$B$59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E0-441E-9F31-8C6960916B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E0-441E-9F31-8C6960916B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E0-441E-9F31-8C6960916B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E0-441E-9F31-8C6960916B48}"/>
              </c:ext>
            </c:extLst>
          </c:dPt>
          <c:cat>
            <c:strRef>
              <c:f>pivots!$A$60:$A$64</c:f>
              <c:strCache>
                <c:ptCount val="4"/>
                <c:pt idx="0">
                  <c:v>east</c:v>
                </c:pt>
                <c:pt idx="1">
                  <c:v>north</c:v>
                </c:pt>
                <c:pt idx="2">
                  <c:v>south</c:v>
                </c:pt>
                <c:pt idx="3">
                  <c:v>west</c:v>
                </c:pt>
              </c:strCache>
            </c:strRef>
          </c:cat>
          <c:val>
            <c:numRef>
              <c:f>pivots!$B$60:$B$64</c:f>
              <c:numCache>
                <c:formatCode>[$$-1009]#,##0.00</c:formatCode>
                <c:ptCount val="4"/>
                <c:pt idx="0">
                  <c:v>20316.297938028063</c:v>
                </c:pt>
                <c:pt idx="1">
                  <c:v>17355.659159446688</c:v>
                </c:pt>
                <c:pt idx="2">
                  <c:v>10208.968766558788</c:v>
                </c:pt>
                <c:pt idx="3">
                  <c:v>28772.71581042264</c:v>
                </c:pt>
              </c:numCache>
            </c:numRef>
          </c:val>
          <c:extLst>
            <c:ext xmlns:c16="http://schemas.microsoft.com/office/drawing/2014/chart" uri="{C3380CC4-5D6E-409C-BE32-E72D297353CC}">
              <c16:uniqueId val="{00000000-3C32-467A-92E4-139EC6060F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[Excel_Sales_Dashboard.xlsx]pivots!sales by reg</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pivots!$B$47:$B$48</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8F-4461-8E3F-557D253912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8F-4461-8E3F-557D253912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8F-4461-8E3F-557D253912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8F-4461-8E3F-557D253912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8F-4461-8E3F-557D253912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8F-4461-8E3F-557D2539127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8F-4461-8E3F-557D25391276}"/>
              </c:ext>
            </c:extLst>
          </c:dPt>
          <c:cat>
            <c:strRef>
              <c:f>pivots!$A$49:$A$56</c:f>
              <c:strCache>
                <c:ptCount val="7"/>
                <c:pt idx="0">
                  <c:v>Headphones</c:v>
                </c:pt>
                <c:pt idx="1">
                  <c:v>Keyboard</c:v>
                </c:pt>
                <c:pt idx="2">
                  <c:v>Laptop</c:v>
                </c:pt>
                <c:pt idx="3">
                  <c:v>Mobile</c:v>
                </c:pt>
                <c:pt idx="4">
                  <c:v>Monitor</c:v>
                </c:pt>
                <c:pt idx="5">
                  <c:v>Mouse</c:v>
                </c:pt>
                <c:pt idx="6">
                  <c:v>Tablet</c:v>
                </c:pt>
              </c:strCache>
            </c:strRef>
          </c:cat>
          <c:val>
            <c:numRef>
              <c:f>pivots!$B$49:$B$56</c:f>
              <c:numCache>
                <c:formatCode>[$$-1009]#,##0.00</c:formatCode>
                <c:ptCount val="7"/>
                <c:pt idx="0">
                  <c:v>29966</c:v>
                </c:pt>
                <c:pt idx="2">
                  <c:v>72432</c:v>
                </c:pt>
                <c:pt idx="3">
                  <c:v>3486</c:v>
                </c:pt>
                <c:pt idx="4">
                  <c:v>39643</c:v>
                </c:pt>
                <c:pt idx="5">
                  <c:v>11784</c:v>
                </c:pt>
              </c:numCache>
            </c:numRef>
          </c:val>
          <c:extLst>
            <c:ext xmlns:c16="http://schemas.microsoft.com/office/drawing/2014/chart" uri="{C3380CC4-5D6E-409C-BE32-E72D297353CC}">
              <c16:uniqueId val="{00000000-D9A4-4079-BC27-EC1FCD2FC631}"/>
            </c:ext>
          </c:extLst>
        </c:ser>
        <c:ser>
          <c:idx val="1"/>
          <c:order val="1"/>
          <c:tx>
            <c:strRef>
              <c:f>pivots!$C$47:$C$48</c:f>
              <c:strCache>
                <c:ptCount val="1"/>
                <c:pt idx="0">
                  <c:v>north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pivots!$A$49:$A$56</c:f>
              <c:strCache>
                <c:ptCount val="7"/>
                <c:pt idx="0">
                  <c:v>Headphones</c:v>
                </c:pt>
                <c:pt idx="1">
                  <c:v>Keyboard</c:v>
                </c:pt>
                <c:pt idx="2">
                  <c:v>Laptop</c:v>
                </c:pt>
                <c:pt idx="3">
                  <c:v>Mobile</c:v>
                </c:pt>
                <c:pt idx="4">
                  <c:v>Monitor</c:v>
                </c:pt>
                <c:pt idx="5">
                  <c:v>Mouse</c:v>
                </c:pt>
                <c:pt idx="6">
                  <c:v>Tablet</c:v>
                </c:pt>
              </c:strCache>
            </c:strRef>
          </c:cat>
          <c:val>
            <c:numRef>
              <c:f>pivots!$C$49:$C$56</c:f>
              <c:numCache>
                <c:formatCode>[$$-1009]#,##0.00</c:formatCode>
                <c:ptCount val="7"/>
                <c:pt idx="1">
                  <c:v>4720</c:v>
                </c:pt>
                <c:pt idx="2">
                  <c:v>5930</c:v>
                </c:pt>
                <c:pt idx="3">
                  <c:v>38868</c:v>
                </c:pt>
                <c:pt idx="5">
                  <c:v>1950</c:v>
                </c:pt>
                <c:pt idx="6">
                  <c:v>42516</c:v>
                </c:pt>
              </c:numCache>
            </c:numRef>
          </c:val>
          <c:extLst>
            <c:ext xmlns:c16="http://schemas.microsoft.com/office/drawing/2014/chart" uri="{C3380CC4-5D6E-409C-BE32-E72D297353CC}">
              <c16:uniqueId val="{0000004A-2488-4B25-BDD0-507377D9D8C7}"/>
            </c:ext>
          </c:extLst>
        </c:ser>
        <c:ser>
          <c:idx val="2"/>
          <c:order val="2"/>
          <c:tx>
            <c:strRef>
              <c:f>pivots!$D$47:$D$48</c:f>
              <c:strCache>
                <c:ptCount val="1"/>
                <c:pt idx="0">
                  <c:v>south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pivots!$A$49:$A$56</c:f>
              <c:strCache>
                <c:ptCount val="7"/>
                <c:pt idx="0">
                  <c:v>Headphones</c:v>
                </c:pt>
                <c:pt idx="1">
                  <c:v>Keyboard</c:v>
                </c:pt>
                <c:pt idx="2">
                  <c:v>Laptop</c:v>
                </c:pt>
                <c:pt idx="3">
                  <c:v>Mobile</c:v>
                </c:pt>
                <c:pt idx="4">
                  <c:v>Monitor</c:v>
                </c:pt>
                <c:pt idx="5">
                  <c:v>Mouse</c:v>
                </c:pt>
                <c:pt idx="6">
                  <c:v>Tablet</c:v>
                </c:pt>
              </c:strCache>
            </c:strRef>
          </c:cat>
          <c:val>
            <c:numRef>
              <c:f>pivots!$D$49:$D$56</c:f>
              <c:numCache>
                <c:formatCode>[$$-1009]#,##0.00</c:formatCode>
                <c:ptCount val="7"/>
                <c:pt idx="0">
                  <c:v>10151</c:v>
                </c:pt>
                <c:pt idx="1">
                  <c:v>9396</c:v>
                </c:pt>
                <c:pt idx="2">
                  <c:v>10350</c:v>
                </c:pt>
                <c:pt idx="3">
                  <c:v>11456</c:v>
                </c:pt>
                <c:pt idx="4">
                  <c:v>13558</c:v>
                </c:pt>
              </c:numCache>
            </c:numRef>
          </c:val>
          <c:extLst>
            <c:ext xmlns:c16="http://schemas.microsoft.com/office/drawing/2014/chart" uri="{C3380CC4-5D6E-409C-BE32-E72D297353CC}">
              <c16:uniqueId val="{0000004B-2488-4B25-BDD0-507377D9D8C7}"/>
            </c:ext>
          </c:extLst>
        </c:ser>
        <c:ser>
          <c:idx val="3"/>
          <c:order val="3"/>
          <c:tx>
            <c:strRef>
              <c:f>pivots!$E$47:$E$48</c:f>
              <c:strCache>
                <c:ptCount val="1"/>
                <c:pt idx="0">
                  <c:v>west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pivots!$A$49:$A$56</c:f>
              <c:strCache>
                <c:ptCount val="7"/>
                <c:pt idx="0">
                  <c:v>Headphones</c:v>
                </c:pt>
                <c:pt idx="1">
                  <c:v>Keyboard</c:v>
                </c:pt>
                <c:pt idx="2">
                  <c:v>Laptop</c:v>
                </c:pt>
                <c:pt idx="3">
                  <c:v>Mobile</c:v>
                </c:pt>
                <c:pt idx="4">
                  <c:v>Monitor</c:v>
                </c:pt>
                <c:pt idx="5">
                  <c:v>Mouse</c:v>
                </c:pt>
                <c:pt idx="6">
                  <c:v>Tablet</c:v>
                </c:pt>
              </c:strCache>
            </c:strRef>
          </c:cat>
          <c:val>
            <c:numRef>
              <c:f>pivots!$E$49:$E$56</c:f>
              <c:numCache>
                <c:formatCode>[$$-1009]#,##0.00</c:formatCode>
                <c:ptCount val="7"/>
                <c:pt idx="0">
                  <c:v>40748</c:v>
                </c:pt>
                <c:pt idx="1">
                  <c:v>3866</c:v>
                </c:pt>
                <c:pt idx="2">
                  <c:v>26694</c:v>
                </c:pt>
                <c:pt idx="4">
                  <c:v>34087</c:v>
                </c:pt>
                <c:pt idx="5">
                  <c:v>17226</c:v>
                </c:pt>
                <c:pt idx="6">
                  <c:v>30187</c:v>
                </c:pt>
              </c:numCache>
            </c:numRef>
          </c:val>
          <c:extLst>
            <c:ext xmlns:c16="http://schemas.microsoft.com/office/drawing/2014/chart" uri="{C3380CC4-5D6E-409C-BE32-E72D297353CC}">
              <c16:uniqueId val="{0000004C-2488-4B25-BDD0-507377D9D8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[Excel_Sales_Dashboard.xlsx]pivots!prft prsnt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A4-46AA-80B1-0E4FB334B3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A4-46AA-80B1-0E4FB334B3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A4-46AA-80B1-0E4FB334B3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A4-46AA-80B1-0E4FB334B3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A4-46AA-80B1-0E4FB334B3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A4-46AA-80B1-0E4FB334B3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6A4-46AA-80B1-0E4FB334B3E8}"/>
              </c:ext>
            </c:extLst>
          </c:dPt>
          <c:cat>
            <c:strRef>
              <c:f>pivots!$A$37:$A$44</c:f>
              <c:strCache>
                <c:ptCount val="7"/>
                <c:pt idx="0">
                  <c:v>Headphones</c:v>
                </c:pt>
                <c:pt idx="1">
                  <c:v>Keyboard</c:v>
                </c:pt>
                <c:pt idx="2">
                  <c:v>Laptop</c:v>
                </c:pt>
                <c:pt idx="3">
                  <c:v>Mobile</c:v>
                </c:pt>
                <c:pt idx="4">
                  <c:v>Monitor</c:v>
                </c:pt>
                <c:pt idx="5">
                  <c:v>Mouse</c:v>
                </c:pt>
                <c:pt idx="6">
                  <c:v>Tablet</c:v>
                </c:pt>
              </c:strCache>
            </c:strRef>
          </c:cat>
          <c:val>
            <c:numRef>
              <c:f>pivots!$B$37:$B$44</c:f>
              <c:numCache>
                <c:formatCode>0.00</c:formatCode>
                <c:ptCount val="7"/>
                <c:pt idx="0">
                  <c:v>122.37588867095413</c:v>
                </c:pt>
                <c:pt idx="1">
                  <c:v>70.286180076226316</c:v>
                </c:pt>
                <c:pt idx="2">
                  <c:v>197.88544380592703</c:v>
                </c:pt>
                <c:pt idx="3">
                  <c:v>110.97514048045943</c:v>
                </c:pt>
                <c:pt idx="4">
                  <c:v>165.59032623220301</c:v>
                </c:pt>
                <c:pt idx="5">
                  <c:v>100.95659794775017</c:v>
                </c:pt>
                <c:pt idx="6">
                  <c:v>98.793969595641244</c:v>
                </c:pt>
              </c:numCache>
            </c:numRef>
          </c:val>
          <c:extLst>
            <c:ext xmlns:c16="http://schemas.microsoft.com/office/drawing/2014/chart" uri="{C3380CC4-5D6E-409C-BE32-E72D297353CC}">
              <c16:uniqueId val="{00000000-A73C-4CB1-BCD6-D83DD349F2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[Excel_Sales_Dashboard.xlsx]pivots!total prft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pivots!$B$25</c:f>
              <c:strCache>
                <c:ptCount val="1"/>
                <c:pt idx="0">
                  <c:v>Total</c:v>
                </c:pt>
              </c:strCache>
            </c:strRef>
          </c:tx>
          <c:explosion val="33"/>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2-4FD9-44FB-98E7-50B206CEF3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A8-4C08-AF04-2A0B0A0E5B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A8-4C08-AF04-2A0B0A0E5B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A8-4C08-AF04-2A0B0A0E5B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A8-4C08-AF04-2A0B0A0E5B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A8-4C08-AF04-2A0B0A0E5B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A8-4C08-AF04-2A0B0A0E5BD6}"/>
              </c:ext>
            </c:extLst>
          </c:dPt>
          <c:cat>
            <c:strRef>
              <c:f>pivots!$A$26:$A$33</c:f>
              <c:strCache>
                <c:ptCount val="7"/>
                <c:pt idx="0">
                  <c:v>Headphones</c:v>
                </c:pt>
                <c:pt idx="1">
                  <c:v>Keyboard</c:v>
                </c:pt>
                <c:pt idx="2">
                  <c:v>Laptop</c:v>
                </c:pt>
                <c:pt idx="3">
                  <c:v>Mobile</c:v>
                </c:pt>
                <c:pt idx="4">
                  <c:v>Monitor</c:v>
                </c:pt>
                <c:pt idx="5">
                  <c:v>Mouse</c:v>
                </c:pt>
                <c:pt idx="6">
                  <c:v>Tablet</c:v>
                </c:pt>
              </c:strCache>
            </c:strRef>
          </c:cat>
          <c:val>
            <c:numRef>
              <c:f>pivots!$B$26:$B$33</c:f>
              <c:numCache>
                <c:formatCode>[$$-1009]#,##0.00</c:formatCode>
                <c:ptCount val="7"/>
                <c:pt idx="0">
                  <c:v>13764.320784415635</c:v>
                </c:pt>
                <c:pt idx="1">
                  <c:v>3084.2032214964852</c:v>
                </c:pt>
                <c:pt idx="2">
                  <c:v>14880.439605671319</c:v>
                </c:pt>
                <c:pt idx="3">
                  <c:v>8065.3744462166305</c:v>
                </c:pt>
                <c:pt idx="4">
                  <c:v>14815.221510262591</c:v>
                </c:pt>
                <c:pt idx="5">
                  <c:v>6987.6156693595503</c:v>
                </c:pt>
                <c:pt idx="6">
                  <c:v>15056.466437033974</c:v>
                </c:pt>
              </c:numCache>
            </c:numRef>
          </c:val>
          <c:extLst>
            <c:ext xmlns:c16="http://schemas.microsoft.com/office/drawing/2014/chart" uri="{C3380CC4-5D6E-409C-BE32-E72D297353CC}">
              <c16:uniqueId val="{00000000-4FD9-44FB-98E7-50B206CEF3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[Excel_Sales_Dashboard.xlsx]pivots!total qnt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90-4D86-A4D0-B013FD47D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90-4D86-A4D0-B013FD47D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90-4D86-A4D0-B013FD47D0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90-4D86-A4D0-B013FD47D0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90-4D86-A4D0-B013FD47D0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D90-4D86-A4D0-B013FD47D0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D90-4D86-A4D0-B013FD47D037}"/>
              </c:ext>
            </c:extLst>
          </c:dPt>
          <c:cat>
            <c:strRef>
              <c:f>pivots!$A$15:$A$22</c:f>
              <c:strCache>
                <c:ptCount val="7"/>
                <c:pt idx="0">
                  <c:v>Headphones</c:v>
                </c:pt>
                <c:pt idx="1">
                  <c:v>Keyboard</c:v>
                </c:pt>
                <c:pt idx="2">
                  <c:v>Laptop</c:v>
                </c:pt>
                <c:pt idx="3">
                  <c:v>Mobile</c:v>
                </c:pt>
                <c:pt idx="4">
                  <c:v>Monitor</c:v>
                </c:pt>
                <c:pt idx="5">
                  <c:v>Mouse</c:v>
                </c:pt>
                <c:pt idx="6">
                  <c:v>Tablet</c:v>
                </c:pt>
              </c:strCache>
            </c:strRef>
          </c:cat>
          <c:val>
            <c:numRef>
              <c:f>pivots!$B$15:$B$22</c:f>
              <c:numCache>
                <c:formatCode>General</c:formatCode>
                <c:ptCount val="7"/>
                <c:pt idx="0">
                  <c:v>62</c:v>
                </c:pt>
                <c:pt idx="1">
                  <c:v>18</c:v>
                </c:pt>
                <c:pt idx="2">
                  <c:v>115</c:v>
                </c:pt>
                <c:pt idx="3">
                  <c:v>49</c:v>
                </c:pt>
                <c:pt idx="4">
                  <c:v>84</c:v>
                </c:pt>
                <c:pt idx="5">
                  <c:v>35</c:v>
                </c:pt>
                <c:pt idx="6">
                  <c:v>57</c:v>
                </c:pt>
              </c:numCache>
            </c:numRef>
          </c:val>
          <c:extLst>
            <c:ext xmlns:c16="http://schemas.microsoft.com/office/drawing/2014/chart" uri="{C3380CC4-5D6E-409C-BE32-E72D297353CC}">
              <c16:uniqueId val="{00000000-6B9D-45E1-84CA-465B53F765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[Excel_Sales_Dashboard.xlsx]pivots!total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4C-4DEE-97C2-5A97E41DB4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4C-4DEE-97C2-5A97E41DB4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4C-4DEE-97C2-5A97E41DB4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4C-4DEE-97C2-5A97E41DB4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4C-4DEE-97C2-5A97E41DB4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4C-4DEE-97C2-5A97E41DB4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4C-4DEE-97C2-5A97E41DB44D}"/>
              </c:ext>
            </c:extLst>
          </c:dPt>
          <c:cat>
            <c:strRef>
              <c:f>pivots!$A$4:$A$11</c:f>
              <c:strCache>
                <c:ptCount val="7"/>
                <c:pt idx="0">
                  <c:v>Headphones</c:v>
                </c:pt>
                <c:pt idx="1">
                  <c:v>Keyboard</c:v>
                </c:pt>
                <c:pt idx="2">
                  <c:v>Laptop</c:v>
                </c:pt>
                <c:pt idx="3">
                  <c:v>Mobile</c:v>
                </c:pt>
                <c:pt idx="4">
                  <c:v>Monitor</c:v>
                </c:pt>
                <c:pt idx="5">
                  <c:v>Mouse</c:v>
                </c:pt>
                <c:pt idx="6">
                  <c:v>Tablet</c:v>
                </c:pt>
              </c:strCache>
            </c:strRef>
          </c:cat>
          <c:val>
            <c:numRef>
              <c:f>pivots!$B$4:$B$11</c:f>
              <c:numCache>
                <c:formatCode>[$$-1009]#,##0.00</c:formatCode>
                <c:ptCount val="7"/>
                <c:pt idx="0">
                  <c:v>80865</c:v>
                </c:pt>
                <c:pt idx="1">
                  <c:v>17982</c:v>
                </c:pt>
                <c:pt idx="2">
                  <c:v>115406</c:v>
                </c:pt>
                <c:pt idx="3">
                  <c:v>53810</c:v>
                </c:pt>
                <c:pt idx="4">
                  <c:v>87288</c:v>
                </c:pt>
                <c:pt idx="5">
                  <c:v>30960</c:v>
                </c:pt>
                <c:pt idx="6">
                  <c:v>72703</c:v>
                </c:pt>
              </c:numCache>
            </c:numRef>
          </c:val>
          <c:extLst>
            <c:ext xmlns:c16="http://schemas.microsoft.com/office/drawing/2014/chart" uri="{C3380CC4-5D6E-409C-BE32-E72D297353CC}">
              <c16:uniqueId val="{00000000-669D-40DD-9DB8-0176288E55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[Excel_Sales_Dashboard.xlsx]pivots!PivotTable1</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pivots!$B$96:$B$97</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pivots!$B$98:$B$103</c:f>
              <c:numCache>
                <c:formatCode>General</c:formatCode>
                <c:ptCount val="5"/>
                <c:pt idx="0">
                  <c:v>29966</c:v>
                </c:pt>
                <c:pt idx="1">
                  <c:v>72432</c:v>
                </c:pt>
                <c:pt idx="2">
                  <c:v>3486</c:v>
                </c:pt>
                <c:pt idx="3">
                  <c:v>39643</c:v>
                </c:pt>
              </c:numCache>
            </c:numRef>
          </c:val>
          <c:extLst>
            <c:ext xmlns:c16="http://schemas.microsoft.com/office/drawing/2014/chart" uri="{C3380CC4-5D6E-409C-BE32-E72D297353CC}">
              <c16:uniqueId val="{0000000D-F358-470A-8519-6E184F58BA0D}"/>
            </c:ext>
          </c:extLst>
        </c:ser>
        <c:ser>
          <c:idx val="1"/>
          <c:order val="1"/>
          <c:tx>
            <c:strRef>
              <c:f>pivots!$C$96:$C$97</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pivots!$C$98:$C$103</c:f>
              <c:numCache>
                <c:formatCode>General</c:formatCode>
                <c:ptCount val="5"/>
                <c:pt idx="1">
                  <c:v>5930</c:v>
                </c:pt>
                <c:pt idx="2">
                  <c:v>38868</c:v>
                </c:pt>
                <c:pt idx="4">
                  <c:v>42516</c:v>
                </c:pt>
              </c:numCache>
            </c:numRef>
          </c:val>
          <c:extLst>
            <c:ext xmlns:c16="http://schemas.microsoft.com/office/drawing/2014/chart" uri="{C3380CC4-5D6E-409C-BE32-E72D297353CC}">
              <c16:uniqueId val="{00000012-CDC0-4A28-A751-9392A6F49509}"/>
            </c:ext>
          </c:extLst>
        </c:ser>
        <c:ser>
          <c:idx val="2"/>
          <c:order val="2"/>
          <c:tx>
            <c:strRef>
              <c:f>pivots!$D$96:$D$97</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pivots!$D$98:$D$103</c:f>
              <c:numCache>
                <c:formatCode>General</c:formatCode>
                <c:ptCount val="5"/>
                <c:pt idx="0">
                  <c:v>10151</c:v>
                </c:pt>
                <c:pt idx="1">
                  <c:v>10350</c:v>
                </c:pt>
                <c:pt idx="2">
                  <c:v>11456</c:v>
                </c:pt>
                <c:pt idx="3">
                  <c:v>13558</c:v>
                </c:pt>
              </c:numCache>
            </c:numRef>
          </c:val>
          <c:extLst>
            <c:ext xmlns:c16="http://schemas.microsoft.com/office/drawing/2014/chart" uri="{C3380CC4-5D6E-409C-BE32-E72D297353CC}">
              <c16:uniqueId val="{00000013-CDC0-4A28-A751-9392A6F49509}"/>
            </c:ext>
          </c:extLst>
        </c:ser>
        <c:ser>
          <c:idx val="3"/>
          <c:order val="3"/>
          <c:tx>
            <c:strRef>
              <c:f>pivots!$E$96:$E$97</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pivots!$E$98:$E$103</c:f>
              <c:numCache>
                <c:formatCode>General</c:formatCode>
                <c:ptCount val="5"/>
                <c:pt idx="0">
                  <c:v>40748</c:v>
                </c:pt>
                <c:pt idx="1">
                  <c:v>26694</c:v>
                </c:pt>
                <c:pt idx="3">
                  <c:v>34087</c:v>
                </c:pt>
                <c:pt idx="4">
                  <c:v>30187</c:v>
                </c:pt>
              </c:numCache>
            </c:numRef>
          </c:val>
          <c:extLst>
            <c:ext xmlns:c16="http://schemas.microsoft.com/office/drawing/2014/chart" uri="{C3380CC4-5D6E-409C-BE32-E72D297353CC}">
              <c16:uniqueId val="{00000014-CDC0-4A28-A751-9392A6F49509}"/>
            </c:ext>
          </c:extLst>
        </c:ser>
        <c:dLbls>
          <c:showLegendKey val="0"/>
          <c:showVal val="0"/>
          <c:showCatName val="0"/>
          <c:showSerName val="0"/>
          <c:showPercent val="0"/>
          <c:showBubbleSize val="0"/>
        </c:dLbls>
        <c:gapWidth val="150"/>
        <c:shape val="box"/>
        <c:axId val="611107679"/>
        <c:axId val="617551647"/>
        <c:axId val="0"/>
      </c:bar3DChart>
      <c:catAx>
        <c:axId val="61110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551647"/>
        <c:crosses val="autoZero"/>
        <c:auto val="1"/>
        <c:lblAlgn val="ctr"/>
        <c:lblOffset val="100"/>
        <c:noMultiLvlLbl val="0"/>
      </c:catAx>
      <c:valAx>
        <c:axId val="61755164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1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[Excel_Sales_Dashboard.xlsx]pivots!PivotTable2</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pivots!$B$117:$B$118</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pivots!$B$119:$B$124</c:f>
              <c:numCache>
                <c:formatCode>General</c:formatCode>
                <c:ptCount val="5"/>
                <c:pt idx="0">
                  <c:v>29966</c:v>
                </c:pt>
                <c:pt idx="2">
                  <c:v>3486</c:v>
                </c:pt>
                <c:pt idx="3">
                  <c:v>11784</c:v>
                </c:pt>
              </c:numCache>
            </c:numRef>
          </c:val>
          <c:extLst>
            <c:ext xmlns:c16="http://schemas.microsoft.com/office/drawing/2014/chart" uri="{C3380CC4-5D6E-409C-BE32-E72D297353CC}">
              <c16:uniqueId val="{00000000-DD6B-446A-B7F7-F9CC30F154E6}"/>
            </c:ext>
          </c:extLst>
        </c:ser>
        <c:ser>
          <c:idx val="1"/>
          <c:order val="1"/>
          <c:tx>
            <c:strRef>
              <c:f>pivots!$C$117:$C$118</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pivots!$C$119:$C$124</c:f>
              <c:numCache>
                <c:formatCode>General</c:formatCode>
                <c:ptCount val="5"/>
                <c:pt idx="1">
                  <c:v>4720</c:v>
                </c:pt>
                <c:pt idx="2">
                  <c:v>38868</c:v>
                </c:pt>
                <c:pt idx="3">
                  <c:v>1950</c:v>
                </c:pt>
                <c:pt idx="4">
                  <c:v>42516</c:v>
                </c:pt>
              </c:numCache>
            </c:numRef>
          </c:val>
          <c:extLst>
            <c:ext xmlns:c16="http://schemas.microsoft.com/office/drawing/2014/chart" uri="{C3380CC4-5D6E-409C-BE32-E72D297353CC}">
              <c16:uniqueId val="{00000012-867C-4476-99C3-F13E5729DAD1}"/>
            </c:ext>
          </c:extLst>
        </c:ser>
        <c:ser>
          <c:idx val="2"/>
          <c:order val="2"/>
          <c:tx>
            <c:strRef>
              <c:f>pivots!$D$117:$D$118</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pivots!$D$119:$D$124</c:f>
              <c:numCache>
                <c:formatCode>General</c:formatCode>
                <c:ptCount val="5"/>
                <c:pt idx="0">
                  <c:v>10151</c:v>
                </c:pt>
                <c:pt idx="1">
                  <c:v>9396</c:v>
                </c:pt>
                <c:pt idx="2">
                  <c:v>11456</c:v>
                </c:pt>
              </c:numCache>
            </c:numRef>
          </c:val>
          <c:extLst>
            <c:ext xmlns:c16="http://schemas.microsoft.com/office/drawing/2014/chart" uri="{C3380CC4-5D6E-409C-BE32-E72D297353CC}">
              <c16:uniqueId val="{00000013-867C-4476-99C3-F13E5729DAD1}"/>
            </c:ext>
          </c:extLst>
        </c:ser>
        <c:ser>
          <c:idx val="3"/>
          <c:order val="3"/>
          <c:tx>
            <c:strRef>
              <c:f>pivots!$E$117:$E$118</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pivots!$E$119:$E$124</c:f>
              <c:numCache>
                <c:formatCode>General</c:formatCode>
                <c:ptCount val="5"/>
                <c:pt idx="0">
                  <c:v>40748</c:v>
                </c:pt>
                <c:pt idx="1">
                  <c:v>3866</c:v>
                </c:pt>
                <c:pt idx="3">
                  <c:v>17226</c:v>
                </c:pt>
                <c:pt idx="4">
                  <c:v>30187</c:v>
                </c:pt>
              </c:numCache>
            </c:numRef>
          </c:val>
          <c:extLst>
            <c:ext xmlns:c16="http://schemas.microsoft.com/office/drawing/2014/chart" uri="{C3380CC4-5D6E-409C-BE32-E72D297353CC}">
              <c16:uniqueId val="{00000014-867C-4476-99C3-F13E5729DAD1}"/>
            </c:ext>
          </c:extLst>
        </c:ser>
        <c:dLbls>
          <c:showLegendKey val="0"/>
          <c:showVal val="0"/>
          <c:showCatName val="0"/>
          <c:showSerName val="0"/>
          <c:showPercent val="0"/>
          <c:showBubbleSize val="0"/>
        </c:dLbls>
        <c:gapWidth val="150"/>
        <c:shape val="box"/>
        <c:axId val="408064927"/>
        <c:axId val="522861839"/>
        <c:axId val="0"/>
      </c:bar3DChart>
      <c:catAx>
        <c:axId val="40806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861839"/>
        <c:crosses val="autoZero"/>
        <c:auto val="1"/>
        <c:lblAlgn val="ctr"/>
        <c:lblOffset val="100"/>
        <c:noMultiLvlLbl val="0"/>
      </c:catAx>
      <c:valAx>
        <c:axId val="5228618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06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[Excel_Sales_Dashboard.xlsx]pivots!total sales</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0529113715803183E-2"/>
          <c:y val="0.13854320973422252"/>
          <c:w val="0.59264431629697745"/>
          <c:h val="0.79496342749768001"/>
        </c:manualLayout>
      </c:layout>
      <c:doughnutChart>
        <c:varyColors val="1"/>
        <c:ser>
          <c:idx val="0"/>
          <c:order val="0"/>
          <c:tx>
            <c:strRef>
              <c:f>pivots!$B$3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BDF9-46E8-9367-72231FC8784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BDF9-46E8-9367-72231FC8784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BDF9-46E8-9367-72231FC8784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BDF9-46E8-9367-72231FC8784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BDF9-46E8-9367-72231FC8784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BDF9-46E8-9367-72231FC8784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BDF9-46E8-9367-72231FC87849}"/>
              </c:ext>
            </c:extLst>
          </c:dPt>
          <c:dLbls>
            <c:dLbl>
              <c:idx val="0"/>
              <c:layout>
                <c:manualLayout>
                  <c:x val="1.559213910643537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BDF9-46E8-9367-72231FC87849}"/>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28-BDF9-46E8-9367-72231FC878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pivots!$A$4:$A$11</c:f>
              <c:strCache>
                <c:ptCount val="7"/>
                <c:pt idx="0">
                  <c:v>Headphones</c:v>
                </c:pt>
                <c:pt idx="1">
                  <c:v>Keyboard</c:v>
                </c:pt>
                <c:pt idx="2">
                  <c:v>Laptop</c:v>
                </c:pt>
                <c:pt idx="3">
                  <c:v>Mobile</c:v>
                </c:pt>
                <c:pt idx="4">
                  <c:v>Monitor</c:v>
                </c:pt>
                <c:pt idx="5">
                  <c:v>Mouse</c:v>
                </c:pt>
                <c:pt idx="6">
                  <c:v>Tablet</c:v>
                </c:pt>
              </c:strCache>
            </c:strRef>
          </c:cat>
          <c:val>
            <c:numRef>
              <c:f>pivots!$B$4:$B$11</c:f>
              <c:numCache>
                <c:formatCode>[$$-1009]#,##0.00</c:formatCode>
                <c:ptCount val="7"/>
                <c:pt idx="0">
                  <c:v>80865</c:v>
                </c:pt>
                <c:pt idx="1">
                  <c:v>17982</c:v>
                </c:pt>
                <c:pt idx="2">
                  <c:v>115406</c:v>
                </c:pt>
                <c:pt idx="3">
                  <c:v>53810</c:v>
                </c:pt>
                <c:pt idx="4">
                  <c:v>87288</c:v>
                </c:pt>
                <c:pt idx="5">
                  <c:v>30960</c:v>
                </c:pt>
                <c:pt idx="6">
                  <c:v>72703</c:v>
                </c:pt>
              </c:numCache>
            </c:numRef>
          </c:val>
          <c:extLst>
            <c:ext xmlns:c16="http://schemas.microsoft.com/office/drawing/2014/chart" uri="{C3380CC4-5D6E-409C-BE32-E72D297353CC}">
              <c16:uniqueId val="{0000002D-BDF9-46E8-9367-72231FC878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[Excel_Sales_Dashboard.xlsx]pivots!prft prsnt</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0529113715803183E-2"/>
          <c:y val="0.13854320973422252"/>
          <c:w val="0.59264431629697745"/>
          <c:h val="0.79496342749768001"/>
        </c:manualLayout>
      </c:layout>
      <c:doughnutChart>
        <c:varyColors val="1"/>
        <c:ser>
          <c:idx val="0"/>
          <c:order val="0"/>
          <c:tx>
            <c:strRef>
              <c:f>pivots!$B$36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95B8-4E20-9F1C-90002D7E70A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95B8-4E20-9F1C-90002D7E70A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95B8-4E20-9F1C-90002D7E70A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95B8-4E20-9F1C-90002D7E70A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95B8-4E20-9F1C-90002D7E70A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95B8-4E20-9F1C-90002D7E70A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95B8-4E20-9F1C-90002D7E70A4}"/>
              </c:ext>
            </c:extLst>
          </c:dPt>
          <c:dLbls>
            <c:dLbl>
              <c:idx val="0"/>
              <c:layout>
                <c:manualLayout>
                  <c:x val="1.559213910643537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95B8-4E20-9F1C-90002D7E70A4}"/>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28-95B8-4E20-9F1C-90002D7E70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pivots!$A$37:$A$44</c:f>
              <c:strCache>
                <c:ptCount val="7"/>
                <c:pt idx="0">
                  <c:v>Headphones</c:v>
                </c:pt>
                <c:pt idx="1">
                  <c:v>Keyboard</c:v>
                </c:pt>
                <c:pt idx="2">
                  <c:v>Laptop</c:v>
                </c:pt>
                <c:pt idx="3">
                  <c:v>Mobile</c:v>
                </c:pt>
                <c:pt idx="4">
                  <c:v>Monitor</c:v>
                </c:pt>
                <c:pt idx="5">
                  <c:v>Mouse</c:v>
                </c:pt>
                <c:pt idx="6">
                  <c:v>Tablet</c:v>
                </c:pt>
              </c:strCache>
            </c:strRef>
          </c:cat>
          <c:val>
            <c:numRef>
              <c:f>pivots!$B$37:$B$44</c:f>
              <c:numCache>
                <c:formatCode>0.00</c:formatCode>
                <c:ptCount val="7"/>
                <c:pt idx="0">
                  <c:v>122.37588867095413</c:v>
                </c:pt>
                <c:pt idx="1">
                  <c:v>70.286180076226316</c:v>
                </c:pt>
                <c:pt idx="2">
                  <c:v>197.88544380592703</c:v>
                </c:pt>
                <c:pt idx="3">
                  <c:v>110.97514048045943</c:v>
                </c:pt>
                <c:pt idx="4">
                  <c:v>165.59032623220301</c:v>
                </c:pt>
                <c:pt idx="5">
                  <c:v>100.95659794775017</c:v>
                </c:pt>
                <c:pt idx="6">
                  <c:v>98.793969595641244</c:v>
                </c:pt>
              </c:numCache>
            </c:numRef>
          </c:val>
          <c:extLst>
            <c:ext xmlns:c16="http://schemas.microsoft.com/office/drawing/2014/chart" uri="{C3380CC4-5D6E-409C-BE32-E72D297353CC}">
              <c16:uniqueId val="{0000002D-95B8-4E20-9F1C-90002D7E70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[Excel_Sales_Dashboard.xlsx]pivots!total prft</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0529113715803183E-2"/>
          <c:y val="0.13854320973422252"/>
          <c:w val="0.59264431629697745"/>
          <c:h val="0.79496342749768001"/>
        </c:manualLayout>
      </c:layout>
      <c:doughnutChart>
        <c:varyColors val="1"/>
        <c:ser>
          <c:idx val="0"/>
          <c:order val="0"/>
          <c:tx>
            <c:strRef>
              <c:f>pivots!$B$25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692D-4D34-AB71-9B1022DBDF0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692D-4D34-AB71-9B1022DBDF0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692D-4D34-AB71-9B1022DBDF0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692D-4D34-AB71-9B1022DBDF0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692D-4D34-AB71-9B1022DBDF0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692D-4D34-AB71-9B1022DBDF0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692D-4D34-AB71-9B1022DBDF0B}"/>
              </c:ext>
            </c:extLst>
          </c:dPt>
          <c:dLbls>
            <c:dLbl>
              <c:idx val="0"/>
              <c:layout>
                <c:manualLayout>
                  <c:x val="1.559213910643537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692D-4D34-AB71-9B1022DBDF0B}"/>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28-692D-4D34-AB71-9B1022DBDF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pivots!$A$26:$A$33</c:f>
              <c:strCache>
                <c:ptCount val="7"/>
                <c:pt idx="0">
                  <c:v>Headphones</c:v>
                </c:pt>
                <c:pt idx="1">
                  <c:v>Keyboard</c:v>
                </c:pt>
                <c:pt idx="2">
                  <c:v>Laptop</c:v>
                </c:pt>
                <c:pt idx="3">
                  <c:v>Mobile</c:v>
                </c:pt>
                <c:pt idx="4">
                  <c:v>Monitor</c:v>
                </c:pt>
                <c:pt idx="5">
                  <c:v>Mouse</c:v>
                </c:pt>
                <c:pt idx="6">
                  <c:v>Tablet</c:v>
                </c:pt>
              </c:strCache>
            </c:strRef>
          </c:cat>
          <c:val>
            <c:numRef>
              <c:f>pivots!$B$26:$B$33</c:f>
              <c:numCache>
                <c:formatCode>[$$-1009]#,##0.00</c:formatCode>
                <c:ptCount val="7"/>
                <c:pt idx="0">
                  <c:v>13764.320784415635</c:v>
                </c:pt>
                <c:pt idx="1">
                  <c:v>3084.2032214964852</c:v>
                </c:pt>
                <c:pt idx="2">
                  <c:v>14880.439605671319</c:v>
                </c:pt>
                <c:pt idx="3">
                  <c:v>8065.3744462166305</c:v>
                </c:pt>
                <c:pt idx="4">
                  <c:v>14815.221510262591</c:v>
                </c:pt>
                <c:pt idx="5">
                  <c:v>6987.6156693595503</c:v>
                </c:pt>
                <c:pt idx="6">
                  <c:v>15056.466437033974</c:v>
                </c:pt>
              </c:numCache>
            </c:numRef>
          </c:val>
          <c:extLst>
            <c:ext xmlns:c16="http://schemas.microsoft.com/office/drawing/2014/chart" uri="{C3380CC4-5D6E-409C-BE32-E72D297353CC}">
              <c16:uniqueId val="{0000002D-692D-4D34-AB71-9B1022DBDF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[Excel_Sales_Dashboard.xlsx]pivots!total qnt</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21391064353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0529113715803183E-2"/>
          <c:y val="0.13854320973422252"/>
          <c:w val="0.59264431629697745"/>
          <c:h val="0.79496342749768001"/>
        </c:manualLayout>
      </c:layout>
      <c:doughnutChart>
        <c:varyColors val="1"/>
        <c:ser>
          <c:idx val="0"/>
          <c:order val="0"/>
          <c:tx>
            <c:strRef>
              <c:f>pivots!$B$14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2F80-4DDA-B5F5-05C1B16A65B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2F80-4DDA-B5F5-05C1B16A65B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2F80-4DDA-B5F5-05C1B16A65B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2F80-4DDA-B5F5-05C1B16A65B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2F80-4DDA-B5F5-05C1B16A65B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2F80-4DDA-B5F5-05C1B16A65B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2F80-4DDA-B5F5-05C1B16A65B3}"/>
              </c:ext>
            </c:extLst>
          </c:dPt>
          <c:dLbls>
            <c:dLbl>
              <c:idx val="0"/>
              <c:layout>
                <c:manualLayout>
                  <c:x val="1.559213910643537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F80-4DDA-B5F5-05C1B16A65B3}"/>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18-2F80-4DDA-B5F5-05C1B16A65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pivots!$A$15:$A$22</c:f>
              <c:strCache>
                <c:ptCount val="7"/>
                <c:pt idx="0">
                  <c:v>Headphones</c:v>
                </c:pt>
                <c:pt idx="1">
                  <c:v>Keyboard</c:v>
                </c:pt>
                <c:pt idx="2">
                  <c:v>Laptop</c:v>
                </c:pt>
                <c:pt idx="3">
                  <c:v>Mobile</c:v>
                </c:pt>
                <c:pt idx="4">
                  <c:v>Monitor</c:v>
                </c:pt>
                <c:pt idx="5">
                  <c:v>Mouse</c:v>
                </c:pt>
                <c:pt idx="6">
                  <c:v>Tablet</c:v>
                </c:pt>
              </c:strCache>
            </c:strRef>
          </c:cat>
          <c:val>
            <c:numRef>
              <c:f>pivots!$B$15:$B$22</c:f>
              <c:numCache>
                <c:formatCode>General</c:formatCode>
                <c:ptCount val="7"/>
                <c:pt idx="0">
                  <c:v>62</c:v>
                </c:pt>
                <c:pt idx="1">
                  <c:v>18</c:v>
                </c:pt>
                <c:pt idx="2">
                  <c:v>115</c:v>
                </c:pt>
                <c:pt idx="3">
                  <c:v>49</c:v>
                </c:pt>
                <c:pt idx="4">
                  <c:v>84</c:v>
                </c:pt>
                <c:pt idx="5">
                  <c:v>35</c:v>
                </c:pt>
                <c:pt idx="6">
                  <c:v>57</c:v>
                </c:pt>
              </c:numCache>
            </c:numRef>
          </c:val>
          <c:extLst>
            <c:ext xmlns:c16="http://schemas.microsoft.com/office/drawing/2014/chart" uri="{C3380CC4-5D6E-409C-BE32-E72D297353CC}">
              <c16:uniqueId val="{0000001D-2F80-4DDA-B5F5-05C1B16A65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[Excel_Sales_Dashboard.xlsx]pivots!units sold each month</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74093423286296E-2"/>
          <c:y val="0.10440361621463984"/>
          <c:w val="0.67691579125401691"/>
          <c:h val="0.75923071019631316"/>
        </c:manualLayout>
      </c:layout>
      <c:lineChart>
        <c:grouping val="stacked"/>
        <c:varyColors val="0"/>
        <c:ser>
          <c:idx val="0"/>
          <c:order val="0"/>
          <c:tx>
            <c:strRef>
              <c:f>pivots!$B$79:$B$80</c:f>
              <c:strCache>
                <c:ptCount val="1"/>
                <c:pt idx="0">
                  <c:v>Headphones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pivots!$B$81:$B$93</c:f>
              <c:numCache>
                <c:formatCode>General</c:formatCode>
                <c:ptCount val="12"/>
                <c:pt idx="2">
                  <c:v>14</c:v>
                </c:pt>
                <c:pt idx="3">
                  <c:v>18</c:v>
                </c:pt>
                <c:pt idx="10">
                  <c:v>4</c:v>
                </c:pt>
                <c:pt idx="11">
                  <c:v>26</c:v>
                </c:pt>
              </c:numCache>
            </c:numRef>
          </c:val>
          <c:smooth val="0"/>
          <c:extLst>
            <c:ext xmlns:c16="http://schemas.microsoft.com/office/drawing/2014/chart" uri="{C3380CC4-5D6E-409C-BE32-E72D297353CC}">
              <c16:uniqueId val="{00000000-9264-4FB9-A2DB-96B9F30BEC54}"/>
            </c:ext>
          </c:extLst>
        </c:ser>
        <c:ser>
          <c:idx val="1"/>
          <c:order val="1"/>
          <c:tx>
            <c:strRef>
              <c:f>pivots!$C$79:$C$80</c:f>
              <c:strCache>
                <c:ptCount val="1"/>
                <c:pt idx="0">
                  <c:v>Keyboard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pivots!$C$81:$C$93</c:f>
              <c:numCache>
                <c:formatCode>General</c:formatCode>
                <c:ptCount val="12"/>
                <c:pt idx="0">
                  <c:v>11</c:v>
                </c:pt>
                <c:pt idx="3">
                  <c:v>4</c:v>
                </c:pt>
                <c:pt idx="11">
                  <c:v>3</c:v>
                </c:pt>
              </c:numCache>
            </c:numRef>
          </c:val>
          <c:smooth val="0"/>
          <c:extLst>
            <c:ext xmlns:c16="http://schemas.microsoft.com/office/drawing/2014/chart" uri="{C3380CC4-5D6E-409C-BE32-E72D297353CC}">
              <c16:uniqueId val="{00000011-FFF3-4FC5-805B-CF1F3EBB32F3}"/>
            </c:ext>
          </c:extLst>
        </c:ser>
        <c:ser>
          <c:idx val="2"/>
          <c:order val="2"/>
          <c:tx>
            <c:strRef>
              <c:f>pivots!$D$79:$D$80</c:f>
              <c:strCache>
                <c:ptCount val="1"/>
                <c:pt idx="0">
                  <c:v>Laptop</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pivots!$D$81:$D$93</c:f>
              <c:numCache>
                <c:formatCode>General</c:formatCode>
                <c:ptCount val="12"/>
                <c:pt idx="0">
                  <c:v>6</c:v>
                </c:pt>
                <c:pt idx="1">
                  <c:v>11</c:v>
                </c:pt>
                <c:pt idx="2">
                  <c:v>7</c:v>
                </c:pt>
                <c:pt idx="3">
                  <c:v>3</c:v>
                </c:pt>
                <c:pt idx="4">
                  <c:v>25</c:v>
                </c:pt>
                <c:pt idx="5">
                  <c:v>18</c:v>
                </c:pt>
                <c:pt idx="6">
                  <c:v>39</c:v>
                </c:pt>
                <c:pt idx="9">
                  <c:v>4</c:v>
                </c:pt>
                <c:pt idx="11">
                  <c:v>2</c:v>
                </c:pt>
              </c:numCache>
            </c:numRef>
          </c:val>
          <c:smooth val="0"/>
          <c:extLst>
            <c:ext xmlns:c16="http://schemas.microsoft.com/office/drawing/2014/chart" uri="{C3380CC4-5D6E-409C-BE32-E72D297353CC}">
              <c16:uniqueId val="{00000012-FFF3-4FC5-805B-CF1F3EBB32F3}"/>
            </c:ext>
          </c:extLst>
        </c:ser>
        <c:ser>
          <c:idx val="3"/>
          <c:order val="3"/>
          <c:tx>
            <c:strRef>
              <c:f>pivots!$E$79:$E$80</c:f>
              <c:strCache>
                <c:ptCount val="1"/>
                <c:pt idx="0">
                  <c:v>Mobile</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pivots!$E$81:$E$93</c:f>
              <c:numCache>
                <c:formatCode>General</c:formatCode>
                <c:ptCount val="12"/>
                <c:pt idx="0">
                  <c:v>15</c:v>
                </c:pt>
                <c:pt idx="3">
                  <c:v>13</c:v>
                </c:pt>
                <c:pt idx="4">
                  <c:v>12</c:v>
                </c:pt>
                <c:pt idx="6">
                  <c:v>1</c:v>
                </c:pt>
                <c:pt idx="9">
                  <c:v>8</c:v>
                </c:pt>
              </c:numCache>
            </c:numRef>
          </c:val>
          <c:smooth val="0"/>
          <c:extLst>
            <c:ext xmlns:c16="http://schemas.microsoft.com/office/drawing/2014/chart" uri="{C3380CC4-5D6E-409C-BE32-E72D297353CC}">
              <c16:uniqueId val="{00000014-FFF3-4FC5-805B-CF1F3EBB32F3}"/>
            </c:ext>
          </c:extLst>
        </c:ser>
        <c:ser>
          <c:idx val="4"/>
          <c:order val="4"/>
          <c:tx>
            <c:strRef>
              <c:f>pivots!$F$79:$F$80</c:f>
              <c:strCache>
                <c:ptCount val="1"/>
                <c:pt idx="0">
                  <c:v>Monitor</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pivots!$F$81:$F$93</c:f>
              <c:numCache>
                <c:formatCode>General</c:formatCode>
                <c:ptCount val="12"/>
                <c:pt idx="0">
                  <c:v>4</c:v>
                </c:pt>
                <c:pt idx="2">
                  <c:v>6</c:v>
                </c:pt>
                <c:pt idx="3">
                  <c:v>23</c:v>
                </c:pt>
                <c:pt idx="6">
                  <c:v>6</c:v>
                </c:pt>
                <c:pt idx="10">
                  <c:v>28</c:v>
                </c:pt>
                <c:pt idx="11">
                  <c:v>17</c:v>
                </c:pt>
              </c:numCache>
            </c:numRef>
          </c:val>
          <c:smooth val="0"/>
          <c:extLst>
            <c:ext xmlns:c16="http://schemas.microsoft.com/office/drawing/2014/chart" uri="{C3380CC4-5D6E-409C-BE32-E72D297353CC}">
              <c16:uniqueId val="{00000015-FFF3-4FC5-805B-CF1F3EBB32F3}"/>
            </c:ext>
          </c:extLst>
        </c:ser>
        <c:ser>
          <c:idx val="5"/>
          <c:order val="5"/>
          <c:tx>
            <c:strRef>
              <c:f>pivots!$G$79:$G$80</c:f>
              <c:strCache>
                <c:ptCount val="1"/>
                <c:pt idx="0">
                  <c:v>Mouse</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pivots!$G$81:$G$93</c:f>
              <c:numCache>
                <c:formatCode>General</c:formatCode>
                <c:ptCount val="12"/>
                <c:pt idx="0">
                  <c:v>10</c:v>
                </c:pt>
                <c:pt idx="4">
                  <c:v>22</c:v>
                </c:pt>
                <c:pt idx="9">
                  <c:v>2</c:v>
                </c:pt>
                <c:pt idx="11">
                  <c:v>1</c:v>
                </c:pt>
              </c:numCache>
            </c:numRef>
          </c:val>
          <c:smooth val="0"/>
          <c:extLst>
            <c:ext xmlns:c16="http://schemas.microsoft.com/office/drawing/2014/chart" uri="{C3380CC4-5D6E-409C-BE32-E72D297353CC}">
              <c16:uniqueId val="{00000017-FFF3-4FC5-805B-CF1F3EBB32F3}"/>
            </c:ext>
          </c:extLst>
        </c:ser>
        <c:ser>
          <c:idx val="6"/>
          <c:order val="6"/>
          <c:tx>
            <c:strRef>
              <c:f>pivots!$H$79:$H$80</c:f>
              <c:strCache>
                <c:ptCount val="1"/>
                <c:pt idx="0">
                  <c:v>Tablet</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pivots!$H$81:$H$93</c:f>
              <c:numCache>
                <c:formatCode>General</c:formatCode>
                <c:ptCount val="12"/>
                <c:pt idx="0">
                  <c:v>1</c:v>
                </c:pt>
                <c:pt idx="1">
                  <c:v>19</c:v>
                </c:pt>
                <c:pt idx="3">
                  <c:v>6</c:v>
                </c:pt>
                <c:pt idx="6">
                  <c:v>8</c:v>
                </c:pt>
                <c:pt idx="7">
                  <c:v>19</c:v>
                </c:pt>
                <c:pt idx="8">
                  <c:v>4</c:v>
                </c:pt>
              </c:numCache>
            </c:numRef>
          </c:val>
          <c:smooth val="0"/>
          <c:extLst>
            <c:ext xmlns:c16="http://schemas.microsoft.com/office/drawing/2014/chart" uri="{C3380CC4-5D6E-409C-BE32-E72D297353CC}">
              <c16:uniqueId val="{00000018-FFF3-4FC5-805B-CF1F3EBB32F3}"/>
            </c:ext>
          </c:extLst>
        </c:ser>
        <c:dLbls>
          <c:showLegendKey val="0"/>
          <c:showVal val="0"/>
          <c:showCatName val="0"/>
          <c:showSerName val="0"/>
          <c:showPercent val="0"/>
          <c:showBubbleSize val="0"/>
        </c:dLbls>
        <c:marker val="1"/>
        <c:smooth val="0"/>
        <c:axId val="1907926576"/>
        <c:axId val="1907948656"/>
      </c:lineChart>
      <c:catAx>
        <c:axId val="1907926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948656"/>
        <c:crosses val="autoZero"/>
        <c:auto val="1"/>
        <c:lblAlgn val="ctr"/>
        <c:lblOffset val="100"/>
        <c:noMultiLvlLbl val="0"/>
      </c:catAx>
      <c:valAx>
        <c:axId val="190794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926576"/>
        <c:crosses val="autoZero"/>
        <c:crossBetween val="between"/>
      </c:valAx>
      <c:spPr>
        <a:noFill/>
        <a:ln>
          <a:noFill/>
        </a:ln>
        <a:effectLst/>
      </c:spPr>
    </c:plotArea>
    <c:legend>
      <c:legendPos val="r"/>
      <c:layout>
        <c:manualLayout>
          <c:xMode val="edge"/>
          <c:yMode val="edge"/>
          <c:x val="0.77228296343625302"/>
          <c:y val="0.25262144863471009"/>
          <c:w val="0.22771712762942431"/>
          <c:h val="0.42755755718666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[Excel_Sales_Dashboard.xlsx]pivots!prod sold in year</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pivots!$B$67:$B$68</c:f>
              <c:strCache>
                <c:ptCount val="1"/>
                <c:pt idx="0">
                  <c:v>2025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pivots!$A$69:$A$76</c:f>
              <c:strCache>
                <c:ptCount val="7"/>
                <c:pt idx="0">
                  <c:v>Headphones</c:v>
                </c:pt>
                <c:pt idx="1">
                  <c:v>Keyboard</c:v>
                </c:pt>
                <c:pt idx="2">
                  <c:v>Laptop</c:v>
                </c:pt>
                <c:pt idx="3">
                  <c:v>Mobile</c:v>
                </c:pt>
                <c:pt idx="4">
                  <c:v>Monitor</c:v>
                </c:pt>
                <c:pt idx="5">
                  <c:v>Mouse</c:v>
                </c:pt>
                <c:pt idx="6">
                  <c:v>Tablet</c:v>
                </c:pt>
              </c:strCache>
            </c:strRef>
          </c:cat>
          <c:val>
            <c:numRef>
              <c:f>pivots!$B$69:$B$76</c:f>
              <c:numCache>
                <c:formatCode>General</c:formatCode>
                <c:ptCount val="7"/>
                <c:pt idx="0">
                  <c:v>62</c:v>
                </c:pt>
                <c:pt idx="1">
                  <c:v>18</c:v>
                </c:pt>
                <c:pt idx="2">
                  <c:v>115</c:v>
                </c:pt>
                <c:pt idx="3">
                  <c:v>49</c:v>
                </c:pt>
                <c:pt idx="4">
                  <c:v>84</c:v>
                </c:pt>
                <c:pt idx="5">
                  <c:v>35</c:v>
                </c:pt>
                <c:pt idx="6">
                  <c:v>57</c:v>
                </c:pt>
              </c:numCache>
            </c:numRef>
          </c:val>
          <c:extLst>
            <c:ext xmlns:c16="http://schemas.microsoft.com/office/drawing/2014/chart" uri="{C3380CC4-5D6E-409C-BE32-E72D297353CC}">
              <c16:uniqueId val="{00000006-EA21-4934-B7FE-DB90B5D74888}"/>
            </c:ext>
          </c:extLst>
        </c:ser>
        <c:dLbls>
          <c:showLegendKey val="0"/>
          <c:showVal val="0"/>
          <c:showCatName val="0"/>
          <c:showSerName val="0"/>
          <c:showPercent val="0"/>
          <c:showBubbleSize val="0"/>
        </c:dLbls>
        <c:gapWidth val="100"/>
        <c:overlap val="-24"/>
        <c:axId val="1908277424"/>
        <c:axId val="1908277904"/>
      </c:barChart>
      <c:catAx>
        <c:axId val="1908277424"/>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8277904"/>
        <c:crosses val="autoZero"/>
        <c:auto val="1"/>
        <c:lblAlgn val="ctr"/>
        <c:lblOffset val="100"/>
        <c:noMultiLvlLbl val="0"/>
      </c:catAx>
      <c:valAx>
        <c:axId val="1908277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8277424"/>
        <c:crosses val="autoZero"/>
        <c:crossBetween val="between"/>
      </c:valAx>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[Excel_Sales_Dashboard.xlsx]pivots!sales by reg</c:name>
    <c:fmtId val="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pieChart>
        <c:varyColors val="1"/>
        <c:ser>
          <c:idx val="0"/>
          <c:order val="0"/>
          <c:tx>
            <c:strRef>
              <c:f>pivots!$B$47:$B$48</c:f>
              <c:strCache>
                <c:ptCount val="1"/>
                <c:pt idx="0">
                  <c:v>east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2CF-471E-A4AB-44BE3F93D39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2CF-471E-A4AB-44BE3F93D39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2CF-471E-A4AB-44BE3F93D39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2CF-471E-A4AB-44BE3F93D39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2CF-471E-A4AB-44BE3F93D39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2CF-471E-A4AB-44BE3F93D39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2CF-471E-A4AB-44BE3F93D3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pivots!$A$49:$A$56</c:f>
              <c:strCache>
                <c:ptCount val="7"/>
                <c:pt idx="0">
                  <c:v>Headphones</c:v>
                </c:pt>
                <c:pt idx="1">
                  <c:v>Keyboard</c:v>
                </c:pt>
                <c:pt idx="2">
                  <c:v>Laptop</c:v>
                </c:pt>
                <c:pt idx="3">
                  <c:v>Mobile</c:v>
                </c:pt>
                <c:pt idx="4">
                  <c:v>Monitor</c:v>
                </c:pt>
                <c:pt idx="5">
                  <c:v>Mouse</c:v>
                </c:pt>
                <c:pt idx="6">
                  <c:v>Tablet</c:v>
                </c:pt>
              </c:strCache>
            </c:strRef>
          </c:cat>
          <c:val>
            <c:numRef>
              <c:f>pivots!$B$49:$B$56</c:f>
              <c:numCache>
                <c:formatCode>[$$-1009]#,##0.00</c:formatCode>
                <c:ptCount val="7"/>
                <c:pt idx="0">
                  <c:v>29966</c:v>
                </c:pt>
                <c:pt idx="2">
                  <c:v>72432</c:v>
                </c:pt>
                <c:pt idx="3">
                  <c:v>3486</c:v>
                </c:pt>
                <c:pt idx="4">
                  <c:v>39643</c:v>
                </c:pt>
                <c:pt idx="5">
                  <c:v>11784</c:v>
                </c:pt>
              </c:numCache>
            </c:numRef>
          </c:val>
          <c:extLst>
            <c:ext xmlns:c16="http://schemas.microsoft.com/office/drawing/2014/chart" uri="{C3380CC4-5D6E-409C-BE32-E72D297353CC}">
              <c16:uniqueId val="{0000000E-B2CF-471E-A4AB-44BE3F93D394}"/>
            </c:ext>
          </c:extLst>
        </c:ser>
        <c:ser>
          <c:idx val="1"/>
          <c:order val="1"/>
          <c:tx>
            <c:strRef>
              <c:f>pivots!$C$47:$C$48</c:f>
              <c:strCache>
                <c:ptCount val="1"/>
                <c:pt idx="0">
                  <c:v>north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pivots!$A$49:$A$56</c:f>
              <c:strCache>
                <c:ptCount val="7"/>
                <c:pt idx="0">
                  <c:v>Headphones</c:v>
                </c:pt>
                <c:pt idx="1">
                  <c:v>Keyboard</c:v>
                </c:pt>
                <c:pt idx="2">
                  <c:v>Laptop</c:v>
                </c:pt>
                <c:pt idx="3">
                  <c:v>Mobile</c:v>
                </c:pt>
                <c:pt idx="4">
                  <c:v>Monitor</c:v>
                </c:pt>
                <c:pt idx="5">
                  <c:v>Mouse</c:v>
                </c:pt>
                <c:pt idx="6">
                  <c:v>Tablet</c:v>
                </c:pt>
              </c:strCache>
            </c:strRef>
          </c:cat>
          <c:val>
            <c:numRef>
              <c:f>pivots!$C$49:$C$56</c:f>
              <c:numCache>
                <c:formatCode>[$$-1009]#,##0.00</c:formatCode>
                <c:ptCount val="7"/>
                <c:pt idx="1">
                  <c:v>4720</c:v>
                </c:pt>
                <c:pt idx="2">
                  <c:v>5930</c:v>
                </c:pt>
                <c:pt idx="3">
                  <c:v>38868</c:v>
                </c:pt>
                <c:pt idx="5">
                  <c:v>1950</c:v>
                </c:pt>
                <c:pt idx="6">
                  <c:v>42516</c:v>
                </c:pt>
              </c:numCache>
            </c:numRef>
          </c:val>
          <c:extLst>
            <c:ext xmlns:c16="http://schemas.microsoft.com/office/drawing/2014/chart" uri="{C3380CC4-5D6E-409C-BE32-E72D297353CC}">
              <c16:uniqueId val="{0000004A-A61D-4878-B07A-B696B951E232}"/>
            </c:ext>
          </c:extLst>
        </c:ser>
        <c:ser>
          <c:idx val="2"/>
          <c:order val="2"/>
          <c:tx>
            <c:strRef>
              <c:f>pivots!$D$47:$D$48</c:f>
              <c:strCache>
                <c:ptCount val="1"/>
                <c:pt idx="0">
                  <c:v>south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pivots!$A$49:$A$56</c:f>
              <c:strCache>
                <c:ptCount val="7"/>
                <c:pt idx="0">
                  <c:v>Headphones</c:v>
                </c:pt>
                <c:pt idx="1">
                  <c:v>Keyboard</c:v>
                </c:pt>
                <c:pt idx="2">
                  <c:v>Laptop</c:v>
                </c:pt>
                <c:pt idx="3">
                  <c:v>Mobile</c:v>
                </c:pt>
                <c:pt idx="4">
                  <c:v>Monitor</c:v>
                </c:pt>
                <c:pt idx="5">
                  <c:v>Mouse</c:v>
                </c:pt>
                <c:pt idx="6">
                  <c:v>Tablet</c:v>
                </c:pt>
              </c:strCache>
            </c:strRef>
          </c:cat>
          <c:val>
            <c:numRef>
              <c:f>pivots!$D$49:$D$56</c:f>
              <c:numCache>
                <c:formatCode>[$$-1009]#,##0.00</c:formatCode>
                <c:ptCount val="7"/>
                <c:pt idx="0">
                  <c:v>10151</c:v>
                </c:pt>
                <c:pt idx="1">
                  <c:v>9396</c:v>
                </c:pt>
                <c:pt idx="2">
                  <c:v>10350</c:v>
                </c:pt>
                <c:pt idx="3">
                  <c:v>11456</c:v>
                </c:pt>
                <c:pt idx="4">
                  <c:v>13558</c:v>
                </c:pt>
              </c:numCache>
            </c:numRef>
          </c:val>
          <c:extLst>
            <c:ext xmlns:c16="http://schemas.microsoft.com/office/drawing/2014/chart" uri="{C3380CC4-5D6E-409C-BE32-E72D297353CC}">
              <c16:uniqueId val="{0000004B-A61D-4878-B07A-B696B951E232}"/>
            </c:ext>
          </c:extLst>
        </c:ser>
        <c:ser>
          <c:idx val="3"/>
          <c:order val="3"/>
          <c:tx>
            <c:strRef>
              <c:f>pivots!$E$47:$E$48</c:f>
              <c:strCache>
                <c:ptCount val="1"/>
                <c:pt idx="0">
                  <c:v>west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pivots!$A$49:$A$56</c:f>
              <c:strCache>
                <c:ptCount val="7"/>
                <c:pt idx="0">
                  <c:v>Headphones</c:v>
                </c:pt>
                <c:pt idx="1">
                  <c:v>Keyboard</c:v>
                </c:pt>
                <c:pt idx="2">
                  <c:v>Laptop</c:v>
                </c:pt>
                <c:pt idx="3">
                  <c:v>Mobile</c:v>
                </c:pt>
                <c:pt idx="4">
                  <c:v>Monitor</c:v>
                </c:pt>
                <c:pt idx="5">
                  <c:v>Mouse</c:v>
                </c:pt>
                <c:pt idx="6">
                  <c:v>Tablet</c:v>
                </c:pt>
              </c:strCache>
            </c:strRef>
          </c:cat>
          <c:val>
            <c:numRef>
              <c:f>pivots!$E$49:$E$56</c:f>
              <c:numCache>
                <c:formatCode>[$$-1009]#,##0.00</c:formatCode>
                <c:ptCount val="7"/>
                <c:pt idx="0">
                  <c:v>40748</c:v>
                </c:pt>
                <c:pt idx="1">
                  <c:v>3866</c:v>
                </c:pt>
                <c:pt idx="2">
                  <c:v>26694</c:v>
                </c:pt>
                <c:pt idx="4">
                  <c:v>34087</c:v>
                </c:pt>
                <c:pt idx="5">
                  <c:v>17226</c:v>
                </c:pt>
                <c:pt idx="6">
                  <c:v>30187</c:v>
                </c:pt>
              </c:numCache>
            </c:numRef>
          </c:val>
          <c:extLst>
            <c:ext xmlns:c16="http://schemas.microsoft.com/office/drawing/2014/chart" uri="{C3380CC4-5D6E-409C-BE32-E72D297353CC}">
              <c16:uniqueId val="{0000004C-A61D-4878-B07A-B696B951E2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[Excel_Sales_Dashboard.xlsx]pivots!prft bt reg</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9.5466968451281303E-2"/>
          <c:y val="0.16621871510121708"/>
          <c:w val="0.67278332246685724"/>
          <c:h val="0.69263594509702675"/>
        </c:manualLayout>
      </c:layout>
      <c:doughnutChart>
        <c:varyColors val="1"/>
        <c:ser>
          <c:idx val="0"/>
          <c:order val="0"/>
          <c:tx>
            <c:strRef>
              <c:f>pivots!$B$59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D64-450A-82E0-86946E7159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D64-450A-82E0-86946E71597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D64-450A-82E0-86946E71597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D64-450A-82E0-86946E7159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pivots!$A$60:$A$64</c:f>
              <c:strCache>
                <c:ptCount val="4"/>
                <c:pt idx="0">
                  <c:v>east</c:v>
                </c:pt>
                <c:pt idx="1">
                  <c:v>north</c:v>
                </c:pt>
                <c:pt idx="2">
                  <c:v>south</c:v>
                </c:pt>
                <c:pt idx="3">
                  <c:v>west</c:v>
                </c:pt>
              </c:strCache>
            </c:strRef>
          </c:cat>
          <c:val>
            <c:numRef>
              <c:f>pivots!$B$60:$B$64</c:f>
              <c:numCache>
                <c:formatCode>[$$-1009]#,##0.00</c:formatCode>
                <c:ptCount val="4"/>
                <c:pt idx="0">
                  <c:v>20316.297938028063</c:v>
                </c:pt>
                <c:pt idx="1">
                  <c:v>17355.659159446688</c:v>
                </c:pt>
                <c:pt idx="2">
                  <c:v>10208.968766558788</c:v>
                </c:pt>
                <c:pt idx="3">
                  <c:v>28772.71581042264</c:v>
                </c:pt>
              </c:numCache>
            </c:numRef>
          </c:val>
          <c:extLst>
            <c:ext xmlns:c16="http://schemas.microsoft.com/office/drawing/2014/chart" uri="{C3380CC4-5D6E-409C-BE32-E72D297353CC}">
              <c16:uniqueId val="{00000008-5D64-450A-82E0-86946E7159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[Excel_Sales_Dashboard.xlsx]pivots!PivotTable1</c:name>
    <c:fmtId val="8"/>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pivots!$B$96:$B$97</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pivots!$B$98:$B$103</c:f>
              <c:numCache>
                <c:formatCode>General</c:formatCode>
                <c:ptCount val="5"/>
                <c:pt idx="0">
                  <c:v>29966</c:v>
                </c:pt>
                <c:pt idx="1">
                  <c:v>72432</c:v>
                </c:pt>
                <c:pt idx="2">
                  <c:v>3486</c:v>
                </c:pt>
                <c:pt idx="3">
                  <c:v>39643</c:v>
                </c:pt>
              </c:numCache>
            </c:numRef>
          </c:val>
          <c:extLst>
            <c:ext xmlns:c16="http://schemas.microsoft.com/office/drawing/2014/chart" uri="{C3380CC4-5D6E-409C-BE32-E72D297353CC}">
              <c16:uniqueId val="{00000000-7556-4FF4-9D0F-4C0456941F3D}"/>
            </c:ext>
          </c:extLst>
        </c:ser>
        <c:ser>
          <c:idx val="1"/>
          <c:order val="1"/>
          <c:tx>
            <c:strRef>
              <c:f>pivots!$C$96:$C$97</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pivots!$C$98:$C$103</c:f>
              <c:numCache>
                <c:formatCode>General</c:formatCode>
                <c:ptCount val="5"/>
                <c:pt idx="1">
                  <c:v>5930</c:v>
                </c:pt>
                <c:pt idx="2">
                  <c:v>38868</c:v>
                </c:pt>
                <c:pt idx="4">
                  <c:v>42516</c:v>
                </c:pt>
              </c:numCache>
            </c:numRef>
          </c:val>
          <c:extLst>
            <c:ext xmlns:c16="http://schemas.microsoft.com/office/drawing/2014/chart" uri="{C3380CC4-5D6E-409C-BE32-E72D297353CC}">
              <c16:uniqueId val="{00000012-29E5-4CC8-BF15-CC91F264AD0D}"/>
            </c:ext>
          </c:extLst>
        </c:ser>
        <c:ser>
          <c:idx val="2"/>
          <c:order val="2"/>
          <c:tx>
            <c:strRef>
              <c:f>pivots!$D$96:$D$97</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pivots!$D$98:$D$103</c:f>
              <c:numCache>
                <c:formatCode>General</c:formatCode>
                <c:ptCount val="5"/>
                <c:pt idx="0">
                  <c:v>10151</c:v>
                </c:pt>
                <c:pt idx="1">
                  <c:v>10350</c:v>
                </c:pt>
                <c:pt idx="2">
                  <c:v>11456</c:v>
                </c:pt>
                <c:pt idx="3">
                  <c:v>13558</c:v>
                </c:pt>
              </c:numCache>
            </c:numRef>
          </c:val>
          <c:extLst>
            <c:ext xmlns:c16="http://schemas.microsoft.com/office/drawing/2014/chart" uri="{C3380CC4-5D6E-409C-BE32-E72D297353CC}">
              <c16:uniqueId val="{00000013-29E5-4CC8-BF15-CC91F264AD0D}"/>
            </c:ext>
          </c:extLst>
        </c:ser>
        <c:ser>
          <c:idx val="3"/>
          <c:order val="3"/>
          <c:tx>
            <c:strRef>
              <c:f>pivots!$E$96:$E$97</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pivots!$A$98:$A$103</c:f>
              <c:strCache>
                <c:ptCount val="5"/>
                <c:pt idx="0">
                  <c:v>Headphones</c:v>
                </c:pt>
                <c:pt idx="1">
                  <c:v>Laptop</c:v>
                </c:pt>
                <c:pt idx="2">
                  <c:v>Mobile</c:v>
                </c:pt>
                <c:pt idx="3">
                  <c:v>Monitor</c:v>
                </c:pt>
                <c:pt idx="4">
                  <c:v>Tablet</c:v>
                </c:pt>
              </c:strCache>
            </c:strRef>
          </c:cat>
          <c:val>
            <c:numRef>
              <c:f>pivots!$E$98:$E$103</c:f>
              <c:numCache>
                <c:formatCode>General</c:formatCode>
                <c:ptCount val="5"/>
                <c:pt idx="0">
                  <c:v>40748</c:v>
                </c:pt>
                <c:pt idx="1">
                  <c:v>26694</c:v>
                </c:pt>
                <c:pt idx="3">
                  <c:v>34087</c:v>
                </c:pt>
                <c:pt idx="4">
                  <c:v>30187</c:v>
                </c:pt>
              </c:numCache>
            </c:numRef>
          </c:val>
          <c:extLst>
            <c:ext xmlns:c16="http://schemas.microsoft.com/office/drawing/2014/chart" uri="{C3380CC4-5D6E-409C-BE32-E72D297353CC}">
              <c16:uniqueId val="{00000014-29E5-4CC8-BF15-CC91F264AD0D}"/>
            </c:ext>
          </c:extLst>
        </c:ser>
        <c:dLbls>
          <c:showLegendKey val="0"/>
          <c:showVal val="0"/>
          <c:showCatName val="0"/>
          <c:showSerName val="0"/>
          <c:showPercent val="0"/>
          <c:showBubbleSize val="0"/>
        </c:dLbls>
        <c:gapWidth val="150"/>
        <c:shape val="box"/>
        <c:axId val="611107679"/>
        <c:axId val="617551647"/>
        <c:axId val="0"/>
      </c:bar3DChart>
      <c:catAx>
        <c:axId val="611107679"/>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7551647"/>
        <c:crosses val="autoZero"/>
        <c:auto val="1"/>
        <c:lblAlgn val="ctr"/>
        <c:lblOffset val="100"/>
        <c:noMultiLvlLbl val="0"/>
      </c:catAx>
      <c:valAx>
        <c:axId val="61755164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11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[Excel_Sales_Dashboard.xlsx]pivots!PivotTable2</c:name>
    <c:fmtId val="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pivots!$B$117:$B$118</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pivots!$B$119:$B$124</c:f>
              <c:numCache>
                <c:formatCode>General</c:formatCode>
                <c:ptCount val="5"/>
                <c:pt idx="0">
                  <c:v>29966</c:v>
                </c:pt>
                <c:pt idx="2">
                  <c:v>3486</c:v>
                </c:pt>
                <c:pt idx="3">
                  <c:v>11784</c:v>
                </c:pt>
              </c:numCache>
            </c:numRef>
          </c:val>
          <c:extLst>
            <c:ext xmlns:c16="http://schemas.microsoft.com/office/drawing/2014/chart" uri="{C3380CC4-5D6E-409C-BE32-E72D297353CC}">
              <c16:uniqueId val="{00000000-9F62-4334-A6E2-650038BBBC6D}"/>
            </c:ext>
          </c:extLst>
        </c:ser>
        <c:ser>
          <c:idx val="1"/>
          <c:order val="1"/>
          <c:tx>
            <c:strRef>
              <c:f>pivots!$C$117:$C$118</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pivots!$C$119:$C$124</c:f>
              <c:numCache>
                <c:formatCode>General</c:formatCode>
                <c:ptCount val="5"/>
                <c:pt idx="1">
                  <c:v>4720</c:v>
                </c:pt>
                <c:pt idx="2">
                  <c:v>38868</c:v>
                </c:pt>
                <c:pt idx="3">
                  <c:v>1950</c:v>
                </c:pt>
                <c:pt idx="4">
                  <c:v>42516</c:v>
                </c:pt>
              </c:numCache>
            </c:numRef>
          </c:val>
          <c:extLst>
            <c:ext xmlns:c16="http://schemas.microsoft.com/office/drawing/2014/chart" uri="{C3380CC4-5D6E-409C-BE32-E72D297353CC}">
              <c16:uniqueId val="{00000012-D2FE-4696-AB55-A6270F02D7EC}"/>
            </c:ext>
          </c:extLst>
        </c:ser>
        <c:ser>
          <c:idx val="2"/>
          <c:order val="2"/>
          <c:tx>
            <c:strRef>
              <c:f>pivots!$D$117:$D$118</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pivots!$D$119:$D$124</c:f>
              <c:numCache>
                <c:formatCode>General</c:formatCode>
                <c:ptCount val="5"/>
                <c:pt idx="0">
                  <c:v>10151</c:v>
                </c:pt>
                <c:pt idx="1">
                  <c:v>9396</c:v>
                </c:pt>
                <c:pt idx="2">
                  <c:v>11456</c:v>
                </c:pt>
              </c:numCache>
            </c:numRef>
          </c:val>
          <c:extLst>
            <c:ext xmlns:c16="http://schemas.microsoft.com/office/drawing/2014/chart" uri="{C3380CC4-5D6E-409C-BE32-E72D297353CC}">
              <c16:uniqueId val="{00000013-D2FE-4696-AB55-A6270F02D7EC}"/>
            </c:ext>
          </c:extLst>
        </c:ser>
        <c:ser>
          <c:idx val="3"/>
          <c:order val="3"/>
          <c:tx>
            <c:strRef>
              <c:f>pivots!$E$117:$E$118</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pivots!$A$119:$A$124</c:f>
              <c:strCache>
                <c:ptCount val="5"/>
                <c:pt idx="0">
                  <c:v>Headphones</c:v>
                </c:pt>
                <c:pt idx="1">
                  <c:v>Keyboard</c:v>
                </c:pt>
                <c:pt idx="2">
                  <c:v>Mobile</c:v>
                </c:pt>
                <c:pt idx="3">
                  <c:v>Mouse</c:v>
                </c:pt>
                <c:pt idx="4">
                  <c:v>Tablet</c:v>
                </c:pt>
              </c:strCache>
            </c:strRef>
          </c:cat>
          <c:val>
            <c:numRef>
              <c:f>pivots!$E$119:$E$124</c:f>
              <c:numCache>
                <c:formatCode>General</c:formatCode>
                <c:ptCount val="5"/>
                <c:pt idx="0">
                  <c:v>40748</c:v>
                </c:pt>
                <c:pt idx="1">
                  <c:v>3866</c:v>
                </c:pt>
                <c:pt idx="3">
                  <c:v>17226</c:v>
                </c:pt>
                <c:pt idx="4">
                  <c:v>30187</c:v>
                </c:pt>
              </c:numCache>
            </c:numRef>
          </c:val>
          <c:extLst>
            <c:ext xmlns:c16="http://schemas.microsoft.com/office/drawing/2014/chart" uri="{C3380CC4-5D6E-409C-BE32-E72D297353CC}">
              <c16:uniqueId val="{00000014-D2FE-4696-AB55-A6270F02D7EC}"/>
            </c:ext>
          </c:extLst>
        </c:ser>
        <c:dLbls>
          <c:showLegendKey val="0"/>
          <c:showVal val="0"/>
          <c:showCatName val="0"/>
          <c:showSerName val="0"/>
          <c:showPercent val="0"/>
          <c:showBubbleSize val="0"/>
        </c:dLbls>
        <c:gapWidth val="150"/>
        <c:shape val="box"/>
        <c:axId val="408064927"/>
        <c:axId val="522861839"/>
        <c:axId val="0"/>
      </c:bar3DChart>
      <c:catAx>
        <c:axId val="408064927"/>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2861839"/>
        <c:crosses val="autoZero"/>
        <c:auto val="1"/>
        <c:lblAlgn val="ctr"/>
        <c:lblOffset val="100"/>
        <c:noMultiLvlLbl val="0"/>
      </c:catAx>
      <c:valAx>
        <c:axId val="5228618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806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6.svg"/><Relationship Id="rId3" Type="http://schemas.openxmlformats.org/officeDocument/2006/relationships/chart" Target="../charts/chart12.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11.xml"/><Relationship Id="rId16" Type="http://schemas.openxmlformats.org/officeDocument/2006/relationships/image" Target="../media/image8.svg"/><Relationship Id="rId1" Type="http://schemas.openxmlformats.org/officeDocument/2006/relationships/hyperlink" Target="#sales!A1"/><Relationship Id="rId6" Type="http://schemas.openxmlformats.org/officeDocument/2006/relationships/hyperlink" Target="#'new main'!A1"/><Relationship Id="rId11" Type="http://schemas.openxmlformats.org/officeDocument/2006/relationships/hyperlink" Target="#profit!A1"/><Relationship Id="rId5" Type="http://schemas.openxmlformats.org/officeDocument/2006/relationships/chart" Target="../charts/chart14.xml"/><Relationship Id="rId15" Type="http://schemas.openxmlformats.org/officeDocument/2006/relationships/image" Target="../media/image7.png"/><Relationship Id="rId10" Type="http://schemas.openxmlformats.org/officeDocument/2006/relationships/image" Target="../media/image4.svg"/><Relationship Id="rId4" Type="http://schemas.openxmlformats.org/officeDocument/2006/relationships/chart" Target="../charts/chart13.xml"/><Relationship Id="rId9" Type="http://schemas.openxmlformats.org/officeDocument/2006/relationships/image" Target="../media/image3.png"/><Relationship Id="rId14" Type="http://schemas.openxmlformats.org/officeDocument/2006/relationships/hyperlink" Target="#Sheet1!A1"/></Relationships>
</file>

<file path=xl/drawings/_rels/drawing3.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hyperlink" Target="#'top sales'!A1"/><Relationship Id="rId3" Type="http://schemas.openxmlformats.org/officeDocument/2006/relationships/hyperlink" Target="#'new main'!A1"/><Relationship Id="rId7" Type="http://schemas.openxmlformats.org/officeDocument/2006/relationships/image" Target="../media/image12.svg"/><Relationship Id="rId12" Type="http://schemas.openxmlformats.org/officeDocument/2006/relationships/image" Target="../media/image8.svg"/><Relationship Id="rId2" Type="http://schemas.openxmlformats.org/officeDocument/2006/relationships/chart" Target="../charts/chart16.xml"/><Relationship Id="rId16" Type="http://schemas.openxmlformats.org/officeDocument/2006/relationships/image" Target="../media/image14.svg"/><Relationship Id="rId1" Type="http://schemas.openxmlformats.org/officeDocument/2006/relationships/chart" Target="../charts/chart15.xml"/><Relationship Id="rId6" Type="http://schemas.openxmlformats.org/officeDocument/2006/relationships/image" Target="../media/image11.png"/><Relationship Id="rId11" Type="http://schemas.openxmlformats.org/officeDocument/2006/relationships/image" Target="../media/image7.png"/><Relationship Id="rId5" Type="http://schemas.openxmlformats.org/officeDocument/2006/relationships/image" Target="../media/image10.svg"/><Relationship Id="rId15" Type="http://schemas.openxmlformats.org/officeDocument/2006/relationships/image" Target="../media/image13.png"/><Relationship Id="rId10" Type="http://schemas.openxmlformats.org/officeDocument/2006/relationships/image" Target="../media/image6.svg"/><Relationship Id="rId4" Type="http://schemas.openxmlformats.org/officeDocument/2006/relationships/image" Target="../media/image9.png"/><Relationship Id="rId9" Type="http://schemas.openxmlformats.org/officeDocument/2006/relationships/image" Target="../media/image5.png"/><Relationship Id="rId14" Type="http://schemas.openxmlformats.org/officeDocument/2006/relationships/hyperlink" Target="#'botttom sales'!A1"/></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7.png"/><Relationship Id="rId3" Type="http://schemas.openxmlformats.org/officeDocument/2006/relationships/chart" Target="../charts/chart18.xml"/><Relationship Id="rId7" Type="http://schemas.openxmlformats.org/officeDocument/2006/relationships/image" Target="../media/image3.png"/><Relationship Id="rId12" Type="http://schemas.openxmlformats.org/officeDocument/2006/relationships/hyperlink" Target="#Sheet1!A1"/><Relationship Id="rId2" Type="http://schemas.openxmlformats.org/officeDocument/2006/relationships/chart" Target="../charts/chart17.xml"/><Relationship Id="rId1" Type="http://schemas.openxmlformats.org/officeDocument/2006/relationships/hyperlink" Target="#sales!A1"/><Relationship Id="rId6" Type="http://schemas.openxmlformats.org/officeDocument/2006/relationships/image" Target="../media/image10.svg"/><Relationship Id="rId11" Type="http://schemas.openxmlformats.org/officeDocument/2006/relationships/image" Target="../media/image16.svg"/><Relationship Id="rId5" Type="http://schemas.openxmlformats.org/officeDocument/2006/relationships/image" Target="../media/image9.png"/><Relationship Id="rId10" Type="http://schemas.openxmlformats.org/officeDocument/2006/relationships/image" Target="../media/image15.png"/><Relationship Id="rId4" Type="http://schemas.openxmlformats.org/officeDocument/2006/relationships/hyperlink" Target="#'new main'!A1"/><Relationship Id="rId9" Type="http://schemas.openxmlformats.org/officeDocument/2006/relationships/hyperlink" Target="#profit!A1"/><Relationship Id="rId14" Type="http://schemas.openxmlformats.org/officeDocument/2006/relationships/image" Target="../media/image8.sv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9.png"/><Relationship Id="rId7" Type="http://schemas.openxmlformats.org/officeDocument/2006/relationships/hyperlink" Target="#profit!A1"/><Relationship Id="rId12" Type="http://schemas.openxmlformats.org/officeDocument/2006/relationships/image" Target="../media/image19.svg"/><Relationship Id="rId2" Type="http://schemas.openxmlformats.org/officeDocument/2006/relationships/hyperlink" Target="#'new main'!A1"/><Relationship Id="rId1" Type="http://schemas.openxmlformats.org/officeDocument/2006/relationships/hyperlink" Target="#sales!A1"/><Relationship Id="rId6" Type="http://schemas.openxmlformats.org/officeDocument/2006/relationships/image" Target="../media/image4.svg"/><Relationship Id="rId11" Type="http://schemas.openxmlformats.org/officeDocument/2006/relationships/image" Target="../media/image18.png"/><Relationship Id="rId5" Type="http://schemas.openxmlformats.org/officeDocument/2006/relationships/image" Target="../media/image3.png"/><Relationship Id="rId10" Type="http://schemas.openxmlformats.org/officeDocument/2006/relationships/hyperlink" Target="#Sheet1!A1"/><Relationship Id="rId4" Type="http://schemas.openxmlformats.org/officeDocument/2006/relationships/image" Target="../media/image10.svg"/><Relationship Id="rId9" Type="http://schemas.openxmlformats.org/officeDocument/2006/relationships/image" Target="../media/image17.svg"/></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3.png"/><Relationship Id="rId3" Type="http://schemas.openxmlformats.org/officeDocument/2006/relationships/image" Target="../media/image10.svg"/><Relationship Id="rId7" Type="http://schemas.openxmlformats.org/officeDocument/2006/relationships/image" Target="../media/image5.png"/><Relationship Id="rId12" Type="http://schemas.openxmlformats.org/officeDocument/2006/relationships/hyperlink" Target="#sales!A1"/><Relationship Id="rId2" Type="http://schemas.openxmlformats.org/officeDocument/2006/relationships/image" Target="../media/image9.png"/><Relationship Id="rId1" Type="http://schemas.openxmlformats.org/officeDocument/2006/relationships/hyperlink" Target="#'new main'!A1"/><Relationship Id="rId6" Type="http://schemas.openxmlformats.org/officeDocument/2006/relationships/hyperlink" Target="#profit!A1"/><Relationship Id="rId11" Type="http://schemas.openxmlformats.org/officeDocument/2006/relationships/hyperlink" Target="#'botttom sales'!A1"/><Relationship Id="rId5" Type="http://schemas.openxmlformats.org/officeDocument/2006/relationships/image" Target="../media/image12.svg"/><Relationship Id="rId15" Type="http://schemas.openxmlformats.org/officeDocument/2006/relationships/chart" Target="../charts/chart19.xml"/><Relationship Id="rId10" Type="http://schemas.openxmlformats.org/officeDocument/2006/relationships/image" Target="../media/image8.svg"/><Relationship Id="rId4" Type="http://schemas.openxmlformats.org/officeDocument/2006/relationships/image" Target="../media/image11.png"/><Relationship Id="rId9" Type="http://schemas.openxmlformats.org/officeDocument/2006/relationships/image" Target="../media/image7.png"/><Relationship Id="rId14"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3.png"/><Relationship Id="rId3" Type="http://schemas.openxmlformats.org/officeDocument/2006/relationships/image" Target="../media/image10.svg"/><Relationship Id="rId7" Type="http://schemas.openxmlformats.org/officeDocument/2006/relationships/image" Target="../media/image5.png"/><Relationship Id="rId12" Type="http://schemas.openxmlformats.org/officeDocument/2006/relationships/hyperlink" Target="#sales!A1"/><Relationship Id="rId2" Type="http://schemas.openxmlformats.org/officeDocument/2006/relationships/image" Target="../media/image9.png"/><Relationship Id="rId1" Type="http://schemas.openxmlformats.org/officeDocument/2006/relationships/hyperlink" Target="#'new main'!A1"/><Relationship Id="rId6" Type="http://schemas.openxmlformats.org/officeDocument/2006/relationships/hyperlink" Target="#profit!A1"/><Relationship Id="rId11" Type="http://schemas.openxmlformats.org/officeDocument/2006/relationships/hyperlink" Target="#'top sales'!A1"/><Relationship Id="rId5" Type="http://schemas.openxmlformats.org/officeDocument/2006/relationships/image" Target="../media/image12.svg"/><Relationship Id="rId15" Type="http://schemas.openxmlformats.org/officeDocument/2006/relationships/chart" Target="../charts/chart20.xml"/><Relationship Id="rId10" Type="http://schemas.openxmlformats.org/officeDocument/2006/relationships/image" Target="../media/image8.svg"/><Relationship Id="rId4" Type="http://schemas.openxmlformats.org/officeDocument/2006/relationships/image" Target="../media/image11.png"/><Relationship Id="rId9" Type="http://schemas.openxmlformats.org/officeDocument/2006/relationships/image" Target="../media/image7.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10</xdr:col>
      <xdr:colOff>57150</xdr:colOff>
      <xdr:row>79</xdr:row>
      <xdr:rowOff>157162</xdr:rowOff>
    </xdr:from>
    <xdr:to>
      <xdr:col>15</xdr:col>
      <xdr:colOff>485775</xdr:colOff>
      <xdr:row>94</xdr:row>
      <xdr:rowOff>42862</xdr:rowOff>
    </xdr:to>
    <xdr:graphicFrame macro="">
      <xdr:nvGraphicFramePr>
        <xdr:cNvPr id="2" name="Chart 1">
          <a:extLst>
            <a:ext uri="{FF2B5EF4-FFF2-40B4-BE49-F238E27FC236}">
              <a16:creationId xmlns:a16="http://schemas.microsoft.com/office/drawing/2014/main" id="{51EDD54A-2C49-114C-A805-2450D6039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xdr:colOff>
      <xdr:row>65</xdr:row>
      <xdr:rowOff>176212</xdr:rowOff>
    </xdr:from>
    <xdr:to>
      <xdr:col>14</xdr:col>
      <xdr:colOff>85725</xdr:colOff>
      <xdr:row>76</xdr:row>
      <xdr:rowOff>171450</xdr:rowOff>
    </xdr:to>
    <xdr:graphicFrame macro="">
      <xdr:nvGraphicFramePr>
        <xdr:cNvPr id="3" name="Chart 2">
          <a:extLst>
            <a:ext uri="{FF2B5EF4-FFF2-40B4-BE49-F238E27FC236}">
              <a16:creationId xmlns:a16="http://schemas.microsoft.com/office/drawing/2014/main" id="{BF0BD055-ED9B-48D6-6624-28FCEDDA4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1028700</xdr:colOff>
      <xdr:row>56</xdr:row>
      <xdr:rowOff>157162</xdr:rowOff>
    </xdr:from>
    <xdr:to>
      <xdr:col>13</xdr:col>
      <xdr:colOff>200025</xdr:colOff>
      <xdr:row>64</xdr:row>
      <xdr:rowOff>171450</xdr:rowOff>
    </xdr:to>
    <xdr:graphicFrame macro="">
      <xdr:nvGraphicFramePr>
        <xdr:cNvPr id="4" name="Chart 3">
          <a:extLst>
            <a:ext uri="{FF2B5EF4-FFF2-40B4-BE49-F238E27FC236}">
              <a16:creationId xmlns:a16="http://schemas.microsoft.com/office/drawing/2014/main" id="{02E09A91-159A-1697-6AB2-8D6F53493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904875</xdr:colOff>
      <xdr:row>45</xdr:row>
      <xdr:rowOff>138112</xdr:rowOff>
    </xdr:from>
    <xdr:to>
      <xdr:col>13</xdr:col>
      <xdr:colOff>523875</xdr:colOff>
      <xdr:row>55</xdr:row>
      <xdr:rowOff>123825</xdr:rowOff>
    </xdr:to>
    <xdr:graphicFrame macro="">
      <xdr:nvGraphicFramePr>
        <xdr:cNvPr id="5" name="Chart 4">
          <a:extLst>
            <a:ext uri="{FF2B5EF4-FFF2-40B4-BE49-F238E27FC236}">
              <a16:creationId xmlns:a16="http://schemas.microsoft.com/office/drawing/2014/main" id="{BF479CDA-4FA0-CC70-D3DD-483D48C8D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219074</xdr:colOff>
      <xdr:row>33</xdr:row>
      <xdr:rowOff>19049</xdr:rowOff>
    </xdr:from>
    <xdr:to>
      <xdr:col>13</xdr:col>
      <xdr:colOff>200024</xdr:colOff>
      <xdr:row>43</xdr:row>
      <xdr:rowOff>128586</xdr:rowOff>
    </xdr:to>
    <xdr:graphicFrame macro="">
      <xdr:nvGraphicFramePr>
        <xdr:cNvPr id="6" name="Chart 5">
          <a:extLst>
            <a:ext uri="{FF2B5EF4-FFF2-40B4-BE49-F238E27FC236}">
              <a16:creationId xmlns:a16="http://schemas.microsoft.com/office/drawing/2014/main" id="{BA57BF03-CC52-D0FA-96CD-D567EEDD6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342899</xdr:colOff>
      <xdr:row>23</xdr:row>
      <xdr:rowOff>66674</xdr:rowOff>
    </xdr:from>
    <xdr:to>
      <xdr:col>13</xdr:col>
      <xdr:colOff>76199</xdr:colOff>
      <xdr:row>32</xdr:row>
      <xdr:rowOff>38100</xdr:rowOff>
    </xdr:to>
    <xdr:graphicFrame macro="">
      <xdr:nvGraphicFramePr>
        <xdr:cNvPr id="7" name="Chart 6">
          <a:extLst>
            <a:ext uri="{FF2B5EF4-FFF2-40B4-BE49-F238E27FC236}">
              <a16:creationId xmlns:a16="http://schemas.microsoft.com/office/drawing/2014/main" id="{3CD0BA5E-D58D-FF2E-80C3-8A92B7DEA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219075</xdr:colOff>
      <xdr:row>11</xdr:row>
      <xdr:rowOff>123825</xdr:rowOff>
    </xdr:from>
    <xdr:to>
      <xdr:col>12</xdr:col>
      <xdr:colOff>600075</xdr:colOff>
      <xdr:row>22</xdr:row>
      <xdr:rowOff>90487</xdr:rowOff>
    </xdr:to>
    <xdr:graphicFrame macro="">
      <xdr:nvGraphicFramePr>
        <xdr:cNvPr id="8" name="Chart 7">
          <a:extLst>
            <a:ext uri="{FF2B5EF4-FFF2-40B4-BE49-F238E27FC236}">
              <a16:creationId xmlns:a16="http://schemas.microsoft.com/office/drawing/2014/main" id="{D5DAFBD7-79B1-9E7E-94BF-B78D57562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381000</xdr:colOff>
      <xdr:row>1</xdr:row>
      <xdr:rowOff>95250</xdr:rowOff>
    </xdr:from>
    <xdr:to>
      <xdr:col>12</xdr:col>
      <xdr:colOff>381000</xdr:colOff>
      <xdr:row>9</xdr:row>
      <xdr:rowOff>180975</xdr:rowOff>
    </xdr:to>
    <xdr:graphicFrame macro="">
      <xdr:nvGraphicFramePr>
        <xdr:cNvPr id="9" name="Chart 8">
          <a:extLst>
            <a:ext uri="{FF2B5EF4-FFF2-40B4-BE49-F238E27FC236}">
              <a16:creationId xmlns:a16="http://schemas.microsoft.com/office/drawing/2014/main" id="{64830A68-A3FC-E741-E552-7C883A55B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64897</xdr:colOff>
      <xdr:row>3</xdr:row>
      <xdr:rowOff>181851</xdr:rowOff>
    </xdr:from>
    <xdr:to>
      <xdr:col>7</xdr:col>
      <xdr:colOff>257316</xdr:colOff>
      <xdr:row>17</xdr:row>
      <xdr:rowOff>38976</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1526771F-B2AF-BC12-1C69-198A6C3328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28558" y="743146"/>
              <a:ext cx="1816772"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256567</xdr:colOff>
      <xdr:row>18</xdr:row>
      <xdr:rowOff>19903</xdr:rowOff>
    </xdr:from>
    <xdr:to>
      <xdr:col>8</xdr:col>
      <xdr:colOff>11956</xdr:colOff>
      <xdr:row>28</xdr:row>
      <xdr:rowOff>86578</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BCBFA768-9CAD-E4D5-3E80-CF000F5DD50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20228" y="3387671"/>
              <a:ext cx="1821974" cy="1937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30451</xdr:colOff>
      <xdr:row>28</xdr:row>
      <xdr:rowOff>118613</xdr:rowOff>
    </xdr:from>
    <xdr:to>
      <xdr:col>8</xdr:col>
      <xdr:colOff>179892</xdr:colOff>
      <xdr:row>41</xdr:row>
      <xdr:rowOff>166238</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1A7BEF85-DB3F-7DC6-8DF9-71A1B471A4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46902" y="5357363"/>
              <a:ext cx="1816316" cy="2479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22961</xdr:colOff>
      <xdr:row>94</xdr:row>
      <xdr:rowOff>167708</xdr:rowOff>
    </xdr:from>
    <xdr:to>
      <xdr:col>18</xdr:col>
      <xdr:colOff>181144</xdr:colOff>
      <xdr:row>109</xdr:row>
      <xdr:rowOff>104435</xdr:rowOff>
    </xdr:to>
    <xdr:graphicFrame macro="">
      <xdr:nvGraphicFramePr>
        <xdr:cNvPr id="13" name="Chart 12">
          <a:extLst>
            <a:ext uri="{FF2B5EF4-FFF2-40B4-BE49-F238E27FC236}">
              <a16:creationId xmlns:a16="http://schemas.microsoft.com/office/drawing/2014/main" id="{C2626E0E-241D-44AF-B6FA-BC64F0612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129268</xdr:colOff>
      <xdr:row>115</xdr:row>
      <xdr:rowOff>74158</xdr:rowOff>
    </xdr:from>
    <xdr:to>
      <xdr:col>15</xdr:col>
      <xdr:colOff>389505</xdr:colOff>
      <xdr:row>130</xdr:row>
      <xdr:rowOff>10885</xdr:rowOff>
    </xdr:to>
    <xdr:graphicFrame macro="">
      <xdr:nvGraphicFramePr>
        <xdr:cNvPr id="14" name="Chart 13">
          <a:extLst>
            <a:ext uri="{FF2B5EF4-FFF2-40B4-BE49-F238E27FC236}">
              <a16:creationId xmlns:a16="http://schemas.microsoft.com/office/drawing/2014/main" id="{2D148A7C-3519-4C9F-A45E-88597FA53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133350</xdr:colOff>
      <xdr:row>36</xdr:row>
      <xdr:rowOff>57150</xdr:rowOff>
    </xdr:to>
    <xdr:sp macro="" textlink="">
      <xdr:nvSpPr>
        <xdr:cNvPr id="2" name="Rectangle 1">
          <a:extLst>
            <a:ext uri="{FF2B5EF4-FFF2-40B4-BE49-F238E27FC236}">
              <a16:creationId xmlns:a16="http://schemas.microsoft.com/office/drawing/2014/main" id="{6C1159C9-2246-4745-82AE-C84ADCA55064}"/>
            </a:ext>
          </a:extLst>
        </xdr:cNvPr>
        <xdr:cNvSpPr/>
      </xdr:nvSpPr>
      <xdr:spPr>
        <a:xfrm>
          <a:off x="0" y="0"/>
          <a:ext cx="9919034" cy="69151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114300</xdr:rowOff>
    </xdr:from>
    <xdr:to>
      <xdr:col>15</xdr:col>
      <xdr:colOff>590550</xdr:colOff>
      <xdr:row>4</xdr:row>
      <xdr:rowOff>19050</xdr:rowOff>
    </xdr:to>
    <xdr:sp macro="" textlink="">
      <xdr:nvSpPr>
        <xdr:cNvPr id="3" name="Rectangle: Rounded Corners 2">
          <a:extLst>
            <a:ext uri="{FF2B5EF4-FFF2-40B4-BE49-F238E27FC236}">
              <a16:creationId xmlns:a16="http://schemas.microsoft.com/office/drawing/2014/main" id="{5A30B6C2-2E8B-430C-A69F-BB342636A922}"/>
            </a:ext>
          </a:extLst>
        </xdr:cNvPr>
        <xdr:cNvSpPr/>
      </xdr:nvSpPr>
      <xdr:spPr>
        <a:xfrm>
          <a:off x="85725" y="114300"/>
          <a:ext cx="9648825" cy="666750"/>
        </a:xfrm>
        <a:prstGeom prst="roundRect">
          <a:avLst>
            <a:gd name="adj" fmla="val 2523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266699</xdr:colOff>
      <xdr:row>1</xdr:row>
      <xdr:rowOff>0</xdr:rowOff>
    </xdr:from>
    <xdr:to>
      <xdr:col>12</xdr:col>
      <xdr:colOff>600074</xdr:colOff>
      <xdr:row>3</xdr:row>
      <xdr:rowOff>142875</xdr:rowOff>
    </xdr:to>
    <xdr:sp macro="" textlink="">
      <xdr:nvSpPr>
        <xdr:cNvPr id="4" name="TextBox 3">
          <a:extLst>
            <a:ext uri="{FF2B5EF4-FFF2-40B4-BE49-F238E27FC236}">
              <a16:creationId xmlns:a16="http://schemas.microsoft.com/office/drawing/2014/main" id="{AE512978-D09A-43D0-AF89-B16AEA55F85F}"/>
            </a:ext>
          </a:extLst>
        </xdr:cNvPr>
        <xdr:cNvSpPr txBox="1"/>
      </xdr:nvSpPr>
      <xdr:spPr>
        <a:xfrm>
          <a:off x="2095499" y="190500"/>
          <a:ext cx="58197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chemeClr val="tx1"/>
              </a:solidFill>
              <a:latin typeface="Britannic Bold" panose="020B0903060703020204" pitchFamily="34" charset="0"/>
            </a:rPr>
            <a:t>Sales Dashboard</a:t>
          </a:r>
          <a:r>
            <a:rPr lang="en-IN" sz="2800" b="0" baseline="0">
              <a:solidFill>
                <a:schemeClr val="tx1"/>
              </a:solidFill>
              <a:latin typeface="Britannic Bold" panose="020B0903060703020204" pitchFamily="34" charset="0"/>
            </a:rPr>
            <a:t> 2024-2025</a:t>
          </a:r>
          <a:endParaRPr lang="en-IN" sz="2800" b="0">
            <a:solidFill>
              <a:schemeClr val="tx1"/>
            </a:solidFill>
            <a:latin typeface="Britannic Bold" panose="020B0903060703020204" pitchFamily="34" charset="0"/>
          </a:endParaRPr>
        </a:p>
      </xdr:txBody>
    </xdr:sp>
    <xdr:clientData/>
  </xdr:twoCellAnchor>
  <xdr:twoCellAnchor>
    <xdr:from>
      <xdr:col>0</xdr:col>
      <xdr:colOff>85725</xdr:colOff>
      <xdr:row>4</xdr:row>
      <xdr:rowOff>180975</xdr:rowOff>
    </xdr:from>
    <xdr:to>
      <xdr:col>2</xdr:col>
      <xdr:colOff>457200</xdr:colOff>
      <xdr:row>35</xdr:row>
      <xdr:rowOff>152400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478DD99C-753B-47B7-8DB8-FC1F2EBF1B97}"/>
            </a:ext>
          </a:extLst>
        </xdr:cNvPr>
        <xdr:cNvSpPr/>
      </xdr:nvSpPr>
      <xdr:spPr>
        <a:xfrm>
          <a:off x="85725" y="942975"/>
          <a:ext cx="1590675" cy="58769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47624</xdr:colOff>
      <xdr:row>5</xdr:row>
      <xdr:rowOff>1</xdr:rowOff>
    </xdr:from>
    <xdr:to>
      <xdr:col>9</xdr:col>
      <xdr:colOff>171449</xdr:colOff>
      <xdr:row>19</xdr:row>
      <xdr:rowOff>114301</xdr:rowOff>
    </xdr:to>
    <xdr:sp macro="" textlink="">
      <xdr:nvSpPr>
        <xdr:cNvPr id="10" name="Rectangle: Rounded Corners 9">
          <a:extLst>
            <a:ext uri="{FF2B5EF4-FFF2-40B4-BE49-F238E27FC236}">
              <a16:creationId xmlns:a16="http://schemas.microsoft.com/office/drawing/2014/main" id="{3A84D6D5-B834-48E9-A9F3-F43AAC4E1160}"/>
            </a:ext>
          </a:extLst>
        </xdr:cNvPr>
        <xdr:cNvSpPr/>
      </xdr:nvSpPr>
      <xdr:spPr>
        <a:xfrm>
          <a:off x="1876424" y="952501"/>
          <a:ext cx="3781425" cy="27813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380999</xdr:colOff>
      <xdr:row>20</xdr:row>
      <xdr:rowOff>114301</xdr:rowOff>
    </xdr:from>
    <xdr:to>
      <xdr:col>15</xdr:col>
      <xdr:colOff>504824</xdr:colOff>
      <xdr:row>35</xdr:row>
      <xdr:rowOff>38101</xdr:rowOff>
    </xdr:to>
    <xdr:sp macro="" textlink="">
      <xdr:nvSpPr>
        <xdr:cNvPr id="11" name="Rectangle: Rounded Corners 10">
          <a:extLst>
            <a:ext uri="{FF2B5EF4-FFF2-40B4-BE49-F238E27FC236}">
              <a16:creationId xmlns:a16="http://schemas.microsoft.com/office/drawing/2014/main" id="{32B043B1-46FE-4D2A-9B7F-44FCAF4AF321}"/>
            </a:ext>
          </a:extLst>
        </xdr:cNvPr>
        <xdr:cNvSpPr/>
      </xdr:nvSpPr>
      <xdr:spPr>
        <a:xfrm>
          <a:off x="5885446" y="3924301"/>
          <a:ext cx="3793457" cy="27813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28574</xdr:colOff>
      <xdr:row>20</xdr:row>
      <xdr:rowOff>133351</xdr:rowOff>
    </xdr:from>
    <xdr:to>
      <xdr:col>9</xdr:col>
      <xdr:colOff>152399</xdr:colOff>
      <xdr:row>35</xdr:row>
      <xdr:rowOff>57151</xdr:rowOff>
    </xdr:to>
    <xdr:sp macro="" textlink="">
      <xdr:nvSpPr>
        <xdr:cNvPr id="12" name="Rectangle: Rounded Corners 11">
          <a:extLst>
            <a:ext uri="{FF2B5EF4-FFF2-40B4-BE49-F238E27FC236}">
              <a16:creationId xmlns:a16="http://schemas.microsoft.com/office/drawing/2014/main" id="{7C6DB424-D6E7-48BF-98E0-F8EAD28B6EE2}"/>
            </a:ext>
          </a:extLst>
        </xdr:cNvPr>
        <xdr:cNvSpPr/>
      </xdr:nvSpPr>
      <xdr:spPr>
        <a:xfrm>
          <a:off x="1863390" y="3943351"/>
          <a:ext cx="3793456" cy="27813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390524</xdr:colOff>
      <xdr:row>5</xdr:row>
      <xdr:rowOff>1</xdr:rowOff>
    </xdr:from>
    <xdr:to>
      <xdr:col>15</xdr:col>
      <xdr:colOff>514349</xdr:colOff>
      <xdr:row>19</xdr:row>
      <xdr:rowOff>114301</xdr:rowOff>
    </xdr:to>
    <xdr:sp macro="" textlink="">
      <xdr:nvSpPr>
        <xdr:cNvPr id="13" name="Rectangle: Rounded Corners 12">
          <a:extLst>
            <a:ext uri="{FF2B5EF4-FFF2-40B4-BE49-F238E27FC236}">
              <a16:creationId xmlns:a16="http://schemas.microsoft.com/office/drawing/2014/main" id="{A41D71D6-9689-4E5F-A566-845B9867E711}"/>
            </a:ext>
          </a:extLst>
        </xdr:cNvPr>
        <xdr:cNvSpPr/>
      </xdr:nvSpPr>
      <xdr:spPr>
        <a:xfrm>
          <a:off x="5876924" y="952501"/>
          <a:ext cx="3781425" cy="27813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476250</xdr:colOff>
      <xdr:row>5</xdr:row>
      <xdr:rowOff>57150</xdr:rowOff>
    </xdr:from>
    <xdr:to>
      <xdr:col>7</xdr:col>
      <xdr:colOff>257175</xdr:colOff>
      <xdr:row>7</xdr:row>
      <xdr:rowOff>161925</xdr:rowOff>
    </xdr:to>
    <xdr:sp macro="" textlink="">
      <xdr:nvSpPr>
        <xdr:cNvPr id="14" name="TextBox 13">
          <a:extLst>
            <a:ext uri="{FF2B5EF4-FFF2-40B4-BE49-F238E27FC236}">
              <a16:creationId xmlns:a16="http://schemas.microsoft.com/office/drawing/2014/main" id="{C3335FD8-B795-470C-9244-344F4A374F70}"/>
            </a:ext>
          </a:extLst>
        </xdr:cNvPr>
        <xdr:cNvSpPr txBox="1"/>
      </xdr:nvSpPr>
      <xdr:spPr>
        <a:xfrm>
          <a:off x="2914650" y="1009650"/>
          <a:ext cx="1609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ritannic Bold" panose="020B0903060703020204" pitchFamily="34" charset="0"/>
            </a:rPr>
            <a:t>Total</a:t>
          </a:r>
          <a:r>
            <a:rPr lang="en-IN" sz="2000" baseline="0">
              <a:latin typeface="Britannic Bold" panose="020B0903060703020204" pitchFamily="34" charset="0"/>
            </a:rPr>
            <a:t> Sales</a:t>
          </a:r>
          <a:endParaRPr lang="en-IN" sz="2000">
            <a:latin typeface="Britannic Bold" panose="020B0903060703020204" pitchFamily="34" charset="0"/>
          </a:endParaRPr>
        </a:p>
      </xdr:txBody>
    </xdr:sp>
    <xdr:clientData/>
  </xdr:twoCellAnchor>
  <xdr:twoCellAnchor>
    <xdr:from>
      <xdr:col>11</xdr:col>
      <xdr:colOff>161925</xdr:colOff>
      <xdr:row>5</xdr:row>
      <xdr:rowOff>17045</xdr:rowOff>
    </xdr:from>
    <xdr:to>
      <xdr:col>14</xdr:col>
      <xdr:colOff>428625</xdr:colOff>
      <xdr:row>7</xdr:row>
      <xdr:rowOff>121820</xdr:rowOff>
    </xdr:to>
    <xdr:sp macro="" textlink="">
      <xdr:nvSpPr>
        <xdr:cNvPr id="15" name="TextBox 14">
          <a:extLst>
            <a:ext uri="{FF2B5EF4-FFF2-40B4-BE49-F238E27FC236}">
              <a16:creationId xmlns:a16="http://schemas.microsoft.com/office/drawing/2014/main" id="{F2AAED0F-47B3-45FE-8395-3F754F9678B1}"/>
            </a:ext>
          </a:extLst>
        </xdr:cNvPr>
        <xdr:cNvSpPr txBox="1"/>
      </xdr:nvSpPr>
      <xdr:spPr>
        <a:xfrm>
          <a:off x="6889583" y="969545"/>
          <a:ext cx="210151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ritannic Bold" panose="020B0903060703020204" pitchFamily="34" charset="0"/>
            </a:rPr>
            <a:t>Total</a:t>
          </a:r>
          <a:r>
            <a:rPr lang="en-IN" sz="2000" baseline="0">
              <a:latin typeface="Britannic Bold" panose="020B0903060703020204" pitchFamily="34" charset="0"/>
            </a:rPr>
            <a:t> Units sold</a:t>
          </a:r>
          <a:endParaRPr lang="en-IN" sz="2000">
            <a:latin typeface="Britannic Bold" panose="020B0903060703020204" pitchFamily="34" charset="0"/>
          </a:endParaRPr>
        </a:p>
      </xdr:txBody>
    </xdr:sp>
    <xdr:clientData/>
  </xdr:twoCellAnchor>
  <xdr:twoCellAnchor>
    <xdr:from>
      <xdr:col>11</xdr:col>
      <xdr:colOff>161925</xdr:colOff>
      <xdr:row>20</xdr:row>
      <xdr:rowOff>109287</xdr:rowOff>
    </xdr:from>
    <xdr:to>
      <xdr:col>14</xdr:col>
      <xdr:colOff>200025</xdr:colOff>
      <xdr:row>23</xdr:row>
      <xdr:rowOff>23562</xdr:rowOff>
    </xdr:to>
    <xdr:sp macro="" textlink="">
      <xdr:nvSpPr>
        <xdr:cNvPr id="16" name="TextBox 15">
          <a:extLst>
            <a:ext uri="{FF2B5EF4-FFF2-40B4-BE49-F238E27FC236}">
              <a16:creationId xmlns:a16="http://schemas.microsoft.com/office/drawing/2014/main" id="{73602374-6E55-4E31-BA04-B7D2D89ECF17}"/>
            </a:ext>
          </a:extLst>
        </xdr:cNvPr>
        <xdr:cNvSpPr txBox="1"/>
      </xdr:nvSpPr>
      <xdr:spPr>
        <a:xfrm>
          <a:off x="6889583" y="3919287"/>
          <a:ext cx="187291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ritannic Bold" panose="020B0903060703020204" pitchFamily="34" charset="0"/>
            </a:rPr>
            <a:t>Average</a:t>
          </a:r>
          <a:r>
            <a:rPr lang="en-IN" sz="2000" baseline="0">
              <a:latin typeface="Britannic Bold" panose="020B0903060703020204" pitchFamily="34" charset="0"/>
            </a:rPr>
            <a:t> Profit</a:t>
          </a:r>
          <a:endParaRPr lang="en-IN" sz="2000">
            <a:latin typeface="Britannic Bold" panose="020B0903060703020204" pitchFamily="34" charset="0"/>
          </a:endParaRPr>
        </a:p>
      </xdr:txBody>
    </xdr:sp>
    <xdr:clientData/>
  </xdr:twoCellAnchor>
  <xdr:twoCellAnchor>
    <xdr:from>
      <xdr:col>4</xdr:col>
      <xdr:colOff>447173</xdr:colOff>
      <xdr:row>20</xdr:row>
      <xdr:rowOff>144880</xdr:rowOff>
    </xdr:from>
    <xdr:to>
      <xdr:col>7</xdr:col>
      <xdr:colOff>228098</xdr:colOff>
      <xdr:row>23</xdr:row>
      <xdr:rowOff>59155</xdr:rowOff>
    </xdr:to>
    <xdr:sp macro="" textlink="">
      <xdr:nvSpPr>
        <xdr:cNvPr id="17" name="TextBox 16">
          <a:extLst>
            <a:ext uri="{FF2B5EF4-FFF2-40B4-BE49-F238E27FC236}">
              <a16:creationId xmlns:a16="http://schemas.microsoft.com/office/drawing/2014/main" id="{B33BE329-BF1D-45F6-ABE3-DA4E7E7A920A}"/>
            </a:ext>
          </a:extLst>
        </xdr:cNvPr>
        <xdr:cNvSpPr txBox="1"/>
      </xdr:nvSpPr>
      <xdr:spPr>
        <a:xfrm>
          <a:off x="2893594" y="3954880"/>
          <a:ext cx="161574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ritannic Bold" panose="020B0903060703020204" pitchFamily="34" charset="0"/>
            </a:rPr>
            <a:t>Total</a:t>
          </a:r>
          <a:r>
            <a:rPr lang="en-IN" sz="2000" baseline="0">
              <a:latin typeface="Britannic Bold" panose="020B0903060703020204" pitchFamily="34" charset="0"/>
            </a:rPr>
            <a:t> Profit</a:t>
          </a:r>
          <a:endParaRPr lang="en-IN" sz="2000">
            <a:latin typeface="Britannic Bold" panose="020B0903060703020204" pitchFamily="34" charset="0"/>
          </a:endParaRPr>
        </a:p>
      </xdr:txBody>
    </xdr:sp>
    <xdr:clientData/>
  </xdr:twoCellAnchor>
  <xdr:twoCellAnchor>
    <xdr:from>
      <xdr:col>3</xdr:col>
      <xdr:colOff>200526</xdr:colOff>
      <xdr:row>5</xdr:row>
      <xdr:rowOff>160422</xdr:rowOff>
    </xdr:from>
    <xdr:to>
      <xdr:col>9</xdr:col>
      <xdr:colOff>155910</xdr:colOff>
      <xdr:row>18</xdr:row>
      <xdr:rowOff>140368</xdr:rowOff>
    </xdr:to>
    <xdr:graphicFrame macro="">
      <xdr:nvGraphicFramePr>
        <xdr:cNvPr id="18" name="Chart 17">
          <a:extLst>
            <a:ext uri="{FF2B5EF4-FFF2-40B4-BE49-F238E27FC236}">
              <a16:creationId xmlns:a16="http://schemas.microsoft.com/office/drawing/2014/main" id="{FBD10CC7-6A1B-47DC-A37B-B3025B30F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461210</xdr:colOff>
      <xdr:row>22</xdr:row>
      <xdr:rowOff>10026</xdr:rowOff>
    </xdr:from>
    <xdr:to>
      <xdr:col>15</xdr:col>
      <xdr:colOff>561473</xdr:colOff>
      <xdr:row>35</xdr:row>
      <xdr:rowOff>30079</xdr:rowOff>
    </xdr:to>
    <xdr:graphicFrame macro="">
      <xdr:nvGraphicFramePr>
        <xdr:cNvPr id="19" name="Chart 18">
          <a:extLst>
            <a:ext uri="{FF2B5EF4-FFF2-40B4-BE49-F238E27FC236}">
              <a16:creationId xmlns:a16="http://schemas.microsoft.com/office/drawing/2014/main" id="{AFFEF287-C28F-43ED-ACB6-E97AA71F7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100262</xdr:colOff>
      <xdr:row>20</xdr:row>
      <xdr:rowOff>150395</xdr:rowOff>
    </xdr:from>
    <xdr:to>
      <xdr:col>9</xdr:col>
      <xdr:colOff>270711</xdr:colOff>
      <xdr:row>35</xdr:row>
      <xdr:rowOff>50132</xdr:rowOff>
    </xdr:to>
    <xdr:graphicFrame macro="">
      <xdr:nvGraphicFramePr>
        <xdr:cNvPr id="20" name="Chart 19">
          <a:extLst>
            <a:ext uri="{FF2B5EF4-FFF2-40B4-BE49-F238E27FC236}">
              <a16:creationId xmlns:a16="http://schemas.microsoft.com/office/drawing/2014/main" id="{E0ED5EA2-5F33-4C40-98E5-C0D4E4B26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451185</xdr:colOff>
      <xdr:row>5</xdr:row>
      <xdr:rowOff>140368</xdr:rowOff>
    </xdr:from>
    <xdr:to>
      <xdr:col>15</xdr:col>
      <xdr:colOff>461210</xdr:colOff>
      <xdr:row>19</xdr:row>
      <xdr:rowOff>30079</xdr:rowOff>
    </xdr:to>
    <xdr:graphicFrame macro="">
      <xdr:nvGraphicFramePr>
        <xdr:cNvPr id="21" name="Chart 20">
          <a:extLst>
            <a:ext uri="{FF2B5EF4-FFF2-40B4-BE49-F238E27FC236}">
              <a16:creationId xmlns:a16="http://schemas.microsoft.com/office/drawing/2014/main" id="{7DA51089-CFB4-4D50-BFFA-0ACCF2A31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330868</xdr:colOff>
      <xdr:row>11</xdr:row>
      <xdr:rowOff>160422</xdr:rowOff>
    </xdr:from>
    <xdr:to>
      <xdr:col>6</xdr:col>
      <xdr:colOff>210552</xdr:colOff>
      <xdr:row>13</xdr:row>
      <xdr:rowOff>170448</xdr:rowOff>
    </xdr:to>
    <xdr:sp macro="" textlink="">
      <xdr:nvSpPr>
        <xdr:cNvPr id="44" name="Rectangle: Rounded Corners 43">
          <a:extLst>
            <a:ext uri="{FF2B5EF4-FFF2-40B4-BE49-F238E27FC236}">
              <a16:creationId xmlns:a16="http://schemas.microsoft.com/office/drawing/2014/main" id="{D3D0C96B-149C-4EF6-923C-FC27BFF8C661}"/>
            </a:ext>
          </a:extLst>
        </xdr:cNvPr>
        <xdr:cNvSpPr/>
      </xdr:nvSpPr>
      <xdr:spPr>
        <a:xfrm>
          <a:off x="2777289" y="2255922"/>
          <a:ext cx="1102895" cy="391026"/>
        </a:xfrm>
        <a:prstGeom prst="roundRect">
          <a:avLst>
            <a:gd name="adj" fmla="val 44691"/>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2005</xdr:colOff>
      <xdr:row>11</xdr:row>
      <xdr:rowOff>162427</xdr:rowOff>
    </xdr:from>
    <xdr:to>
      <xdr:col>12</xdr:col>
      <xdr:colOff>493295</xdr:colOff>
      <xdr:row>13</xdr:row>
      <xdr:rowOff>172453</xdr:rowOff>
    </xdr:to>
    <xdr:sp macro="" textlink="">
      <xdr:nvSpPr>
        <xdr:cNvPr id="45" name="Rectangle: Rounded Corners 44">
          <a:extLst>
            <a:ext uri="{FF2B5EF4-FFF2-40B4-BE49-F238E27FC236}">
              <a16:creationId xmlns:a16="http://schemas.microsoft.com/office/drawing/2014/main" id="{AA103183-3DA2-4246-AA37-4DFF769DE27C}"/>
            </a:ext>
          </a:extLst>
        </xdr:cNvPr>
        <xdr:cNvSpPr/>
      </xdr:nvSpPr>
      <xdr:spPr>
        <a:xfrm>
          <a:off x="6729663" y="2257927"/>
          <a:ext cx="1102895" cy="391026"/>
        </a:xfrm>
        <a:prstGeom prst="roundRect">
          <a:avLst>
            <a:gd name="adj" fmla="val 44691"/>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74194</xdr:colOff>
      <xdr:row>27</xdr:row>
      <xdr:rowOff>174459</xdr:rowOff>
    </xdr:from>
    <xdr:to>
      <xdr:col>12</xdr:col>
      <xdr:colOff>565484</xdr:colOff>
      <xdr:row>29</xdr:row>
      <xdr:rowOff>184485</xdr:rowOff>
    </xdr:to>
    <xdr:sp macro="" textlink="">
      <xdr:nvSpPr>
        <xdr:cNvPr id="46" name="Rectangle: Rounded Corners 45">
          <a:extLst>
            <a:ext uri="{FF2B5EF4-FFF2-40B4-BE49-F238E27FC236}">
              <a16:creationId xmlns:a16="http://schemas.microsoft.com/office/drawing/2014/main" id="{89D842C9-E99A-4B4B-8C5E-B56605B14ED3}"/>
            </a:ext>
          </a:extLst>
        </xdr:cNvPr>
        <xdr:cNvSpPr/>
      </xdr:nvSpPr>
      <xdr:spPr>
        <a:xfrm>
          <a:off x="6801852" y="5317959"/>
          <a:ext cx="1102895" cy="391026"/>
        </a:xfrm>
        <a:prstGeom prst="roundRect">
          <a:avLst>
            <a:gd name="adj" fmla="val 44691"/>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186489</xdr:colOff>
      <xdr:row>27</xdr:row>
      <xdr:rowOff>106280</xdr:rowOff>
    </xdr:from>
    <xdr:to>
      <xdr:col>6</xdr:col>
      <xdr:colOff>330868</xdr:colOff>
      <xdr:row>29</xdr:row>
      <xdr:rowOff>116306</xdr:rowOff>
    </xdr:to>
    <xdr:sp macro="" textlink="">
      <xdr:nvSpPr>
        <xdr:cNvPr id="47" name="Rectangle: Rounded Corners 46">
          <a:extLst>
            <a:ext uri="{FF2B5EF4-FFF2-40B4-BE49-F238E27FC236}">
              <a16:creationId xmlns:a16="http://schemas.microsoft.com/office/drawing/2014/main" id="{8F5E1227-6F5E-46E8-A5B5-037640A89B67}"/>
            </a:ext>
          </a:extLst>
        </xdr:cNvPr>
        <xdr:cNvSpPr/>
      </xdr:nvSpPr>
      <xdr:spPr>
        <a:xfrm>
          <a:off x="2632910" y="5249780"/>
          <a:ext cx="1367590" cy="391026"/>
        </a:xfrm>
        <a:prstGeom prst="roundRect">
          <a:avLst>
            <a:gd name="adj" fmla="val 44691"/>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377491</xdr:colOff>
      <xdr:row>12</xdr:row>
      <xdr:rowOff>43114</xdr:rowOff>
    </xdr:from>
    <xdr:to>
      <xdr:col>7</xdr:col>
      <xdr:colOff>40105</xdr:colOff>
      <xdr:row>13</xdr:row>
      <xdr:rowOff>170448</xdr:rowOff>
    </xdr:to>
    <xdr:sp macro="" textlink="pivots!B12">
      <xdr:nvSpPr>
        <xdr:cNvPr id="22" name="TextBox 21">
          <a:extLst>
            <a:ext uri="{FF2B5EF4-FFF2-40B4-BE49-F238E27FC236}">
              <a16:creationId xmlns:a16="http://schemas.microsoft.com/office/drawing/2014/main" id="{63BC0757-5E4B-4A3F-935D-F73E8AE55F54}"/>
            </a:ext>
          </a:extLst>
        </xdr:cNvPr>
        <xdr:cNvSpPr txBox="1"/>
      </xdr:nvSpPr>
      <xdr:spPr>
        <a:xfrm>
          <a:off x="2823912" y="2329114"/>
          <a:ext cx="1497430" cy="317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3B18C1-2A3A-4B87-A5F8-714068A50137}" type="TxLink">
            <a:rPr lang="en-US" sz="1400" b="0" i="0" u="none" strike="noStrike">
              <a:solidFill>
                <a:srgbClr val="000000"/>
              </a:solidFill>
              <a:latin typeface="Britannic Bold" panose="020B0903060703020204" pitchFamily="34" charset="0"/>
              <a:cs typeface="Calibri"/>
            </a:rPr>
            <a:pPr/>
            <a:t>$4,59,014</a:t>
          </a:fld>
          <a:endParaRPr lang="en-IN" sz="1400" b="0">
            <a:latin typeface="Britannic Bold" panose="020B0903060703020204" pitchFamily="34" charset="0"/>
          </a:endParaRPr>
        </a:p>
      </xdr:txBody>
    </xdr:sp>
    <xdr:clientData/>
  </xdr:twoCellAnchor>
  <xdr:twoCellAnchor>
    <xdr:from>
      <xdr:col>4</xdr:col>
      <xdr:colOff>229102</xdr:colOff>
      <xdr:row>27</xdr:row>
      <xdr:rowOff>125329</xdr:rowOff>
    </xdr:from>
    <xdr:to>
      <xdr:col>6</xdr:col>
      <xdr:colOff>350921</xdr:colOff>
      <xdr:row>29</xdr:row>
      <xdr:rowOff>62163</xdr:rowOff>
    </xdr:to>
    <xdr:sp macro="" textlink="pivots!B34">
      <xdr:nvSpPr>
        <xdr:cNvPr id="23" name="TextBox 22">
          <a:extLst>
            <a:ext uri="{FF2B5EF4-FFF2-40B4-BE49-F238E27FC236}">
              <a16:creationId xmlns:a16="http://schemas.microsoft.com/office/drawing/2014/main" id="{2A779C71-D7FD-484A-B586-2C6BEE378863}"/>
            </a:ext>
          </a:extLst>
        </xdr:cNvPr>
        <xdr:cNvSpPr txBox="1"/>
      </xdr:nvSpPr>
      <xdr:spPr>
        <a:xfrm>
          <a:off x="2675523" y="5268829"/>
          <a:ext cx="1345030" cy="317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42F47D-8E17-44DD-9D92-FB8D2FC16123}" type="TxLink">
            <a:rPr lang="en-US" sz="1600" b="0" i="0" u="none" strike="noStrike">
              <a:solidFill>
                <a:srgbClr val="000000"/>
              </a:solidFill>
              <a:latin typeface="Britannic Bold" panose="020B0903060703020204" pitchFamily="34" charset="0"/>
              <a:cs typeface="Calibri"/>
            </a:rPr>
            <a:pPr/>
            <a:t>$76,653.64</a:t>
          </a:fld>
          <a:endParaRPr lang="en-IN" sz="2800" b="0">
            <a:latin typeface="Britannic Bold" panose="020B0903060703020204" pitchFamily="34" charset="0"/>
          </a:endParaRPr>
        </a:p>
      </xdr:txBody>
    </xdr:sp>
    <xdr:clientData/>
  </xdr:twoCellAnchor>
  <xdr:twoCellAnchor>
    <xdr:from>
      <xdr:col>11</xdr:col>
      <xdr:colOff>110791</xdr:colOff>
      <xdr:row>28</xdr:row>
      <xdr:rowOff>7018</xdr:rowOff>
    </xdr:from>
    <xdr:to>
      <xdr:col>13</xdr:col>
      <xdr:colOff>154406</xdr:colOff>
      <xdr:row>29</xdr:row>
      <xdr:rowOff>134352</xdr:rowOff>
    </xdr:to>
    <xdr:sp macro="" textlink="pivots!B45">
      <xdr:nvSpPr>
        <xdr:cNvPr id="24" name="TextBox 23">
          <a:extLst>
            <a:ext uri="{FF2B5EF4-FFF2-40B4-BE49-F238E27FC236}">
              <a16:creationId xmlns:a16="http://schemas.microsoft.com/office/drawing/2014/main" id="{7FA09C13-9239-454B-A93C-2ED50087AB9D}"/>
            </a:ext>
          </a:extLst>
        </xdr:cNvPr>
        <xdr:cNvSpPr txBox="1"/>
      </xdr:nvSpPr>
      <xdr:spPr>
        <a:xfrm>
          <a:off x="6838449" y="5341018"/>
          <a:ext cx="1266825" cy="317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46215E-70ED-47A6-89BA-E1F6737BEBF2}" type="TxLink">
            <a:rPr lang="en-US" sz="1800" b="0" i="0" u="none" strike="noStrike">
              <a:solidFill>
                <a:srgbClr val="000000"/>
              </a:solidFill>
              <a:latin typeface="Britannic Bold" panose="020B0903060703020204" pitchFamily="34" charset="0"/>
              <a:cs typeface="Calibri"/>
            </a:rPr>
            <a:pPr/>
            <a:t>16.67</a:t>
          </a:fld>
          <a:r>
            <a:rPr lang="en-US" sz="1800" b="0" i="0" u="none" strike="noStrike">
              <a:solidFill>
                <a:srgbClr val="000000"/>
              </a:solidFill>
              <a:latin typeface="Britannic Bold" panose="020B0903060703020204" pitchFamily="34" charset="0"/>
              <a:cs typeface="Calibri"/>
            </a:rPr>
            <a:t>%</a:t>
          </a:r>
          <a:endParaRPr lang="en-IN" sz="3200" b="0">
            <a:latin typeface="Britannic Bold" panose="020B0903060703020204" pitchFamily="34" charset="0"/>
          </a:endParaRPr>
        </a:p>
      </xdr:txBody>
    </xdr:sp>
    <xdr:clientData/>
  </xdr:twoCellAnchor>
  <xdr:twoCellAnchor>
    <xdr:from>
      <xdr:col>11</xdr:col>
      <xdr:colOff>203035</xdr:colOff>
      <xdr:row>12</xdr:row>
      <xdr:rowOff>10025</xdr:rowOff>
    </xdr:from>
    <xdr:to>
      <xdr:col>12</xdr:col>
      <xdr:colOff>451186</xdr:colOff>
      <xdr:row>14</xdr:row>
      <xdr:rowOff>16041</xdr:rowOff>
    </xdr:to>
    <xdr:sp macro="" textlink="pivots!B23">
      <xdr:nvSpPr>
        <xdr:cNvPr id="25" name="TextBox 24">
          <a:extLst>
            <a:ext uri="{FF2B5EF4-FFF2-40B4-BE49-F238E27FC236}">
              <a16:creationId xmlns:a16="http://schemas.microsoft.com/office/drawing/2014/main" id="{2B3D66D0-FFD6-4EAA-B9EF-251EFDADB85D}"/>
            </a:ext>
          </a:extLst>
        </xdr:cNvPr>
        <xdr:cNvSpPr txBox="1"/>
      </xdr:nvSpPr>
      <xdr:spPr>
        <a:xfrm>
          <a:off x="6930693" y="2296025"/>
          <a:ext cx="859756" cy="38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D16982-0CA7-4478-8BD3-8A92CFBA2934}" type="TxLink">
            <a:rPr lang="en-US" sz="1800" b="0" i="0" u="none" strike="noStrike">
              <a:solidFill>
                <a:srgbClr val="000000"/>
              </a:solidFill>
              <a:latin typeface="Britannic Bold" panose="020B0903060703020204" pitchFamily="34" charset="0"/>
              <a:cs typeface="Calibri"/>
            </a:rPr>
            <a:pPr/>
            <a:t>420</a:t>
          </a:fld>
          <a:endParaRPr lang="en-IN" sz="3200" b="0">
            <a:latin typeface="Britannic Bold" panose="020B0903060703020204" pitchFamily="34" charset="0"/>
          </a:endParaRPr>
        </a:p>
      </xdr:txBody>
    </xdr:sp>
    <xdr:clientData/>
  </xdr:twoCellAnchor>
  <xdr:twoCellAnchor>
    <xdr:from>
      <xdr:col>0</xdr:col>
      <xdr:colOff>224590</xdr:colOff>
      <xdr:row>5</xdr:row>
      <xdr:rowOff>117307</xdr:rowOff>
    </xdr:from>
    <xdr:to>
      <xdr:col>2</xdr:col>
      <xdr:colOff>353427</xdr:colOff>
      <xdr:row>12</xdr:row>
      <xdr:rowOff>74696</xdr:rowOff>
    </xdr:to>
    <xdr:sp macro="" textlink="">
      <xdr:nvSpPr>
        <xdr:cNvPr id="32" name="Rectangle: Rounded Corners 31">
          <a:extLst>
            <a:ext uri="{FF2B5EF4-FFF2-40B4-BE49-F238E27FC236}">
              <a16:creationId xmlns:a16="http://schemas.microsoft.com/office/drawing/2014/main" id="{925113DA-9C1E-417B-82A1-99DD63234830}"/>
            </a:ext>
          </a:extLst>
        </xdr:cNvPr>
        <xdr:cNvSpPr/>
      </xdr:nvSpPr>
      <xdr:spPr>
        <a:xfrm>
          <a:off x="224590" y="1069807"/>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408072</xdr:colOff>
      <xdr:row>5</xdr:row>
      <xdr:rowOff>90237</xdr:rowOff>
    </xdr:from>
    <xdr:to>
      <xdr:col>2</xdr:col>
      <xdr:colOff>103272</xdr:colOff>
      <xdr:row>10</xdr:row>
      <xdr:rowOff>52137</xdr:rowOff>
    </xdr:to>
    <xdr:pic>
      <xdr:nvPicPr>
        <xdr:cNvPr id="33" name="Graphic 32" descr="Briefcase with solid fill">
          <a:hlinkClick xmlns:r="http://schemas.openxmlformats.org/officeDocument/2006/relationships" r:id="rId6"/>
          <a:extLst>
            <a:ext uri="{FF2B5EF4-FFF2-40B4-BE49-F238E27FC236}">
              <a16:creationId xmlns:a16="http://schemas.microsoft.com/office/drawing/2014/main" id="{57EDBBA0-D54B-4E60-A521-9795E22FBD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8072" y="1042737"/>
          <a:ext cx="918411" cy="914400"/>
        </a:xfrm>
        <a:prstGeom prst="rect">
          <a:avLst/>
        </a:prstGeom>
      </xdr:spPr>
    </xdr:pic>
    <xdr:clientData/>
  </xdr:twoCellAnchor>
  <xdr:twoCellAnchor>
    <xdr:from>
      <xdr:col>0</xdr:col>
      <xdr:colOff>226595</xdr:colOff>
      <xdr:row>12</xdr:row>
      <xdr:rowOff>179470</xdr:rowOff>
    </xdr:from>
    <xdr:to>
      <xdr:col>2</xdr:col>
      <xdr:colOff>355432</xdr:colOff>
      <xdr:row>19</xdr:row>
      <xdr:rowOff>136859</xdr:rowOff>
    </xdr:to>
    <xdr:sp macro="" textlink="">
      <xdr:nvSpPr>
        <xdr:cNvPr id="34" name="Rectangle: Rounded Corners 33">
          <a:extLst>
            <a:ext uri="{FF2B5EF4-FFF2-40B4-BE49-F238E27FC236}">
              <a16:creationId xmlns:a16="http://schemas.microsoft.com/office/drawing/2014/main" id="{7770BE23-AC81-49FD-AF85-48462840C882}"/>
            </a:ext>
          </a:extLst>
        </xdr:cNvPr>
        <xdr:cNvSpPr/>
      </xdr:nvSpPr>
      <xdr:spPr>
        <a:xfrm>
          <a:off x="226595" y="2465470"/>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228601</xdr:colOff>
      <xdr:row>20</xdr:row>
      <xdr:rowOff>71186</xdr:rowOff>
    </xdr:from>
    <xdr:to>
      <xdr:col>2</xdr:col>
      <xdr:colOff>357438</xdr:colOff>
      <xdr:row>27</xdr:row>
      <xdr:rowOff>28575</xdr:rowOff>
    </xdr:to>
    <xdr:sp macro="" textlink="">
      <xdr:nvSpPr>
        <xdr:cNvPr id="35" name="Rectangle: Rounded Corners 34">
          <a:extLst>
            <a:ext uri="{FF2B5EF4-FFF2-40B4-BE49-F238E27FC236}">
              <a16:creationId xmlns:a16="http://schemas.microsoft.com/office/drawing/2014/main" id="{9F307CDC-ABAE-427A-BF01-E2DF4C250B81}"/>
            </a:ext>
          </a:extLst>
        </xdr:cNvPr>
        <xdr:cNvSpPr/>
      </xdr:nvSpPr>
      <xdr:spPr>
        <a:xfrm>
          <a:off x="228601" y="3881186"/>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210553</xdr:colOff>
      <xdr:row>27</xdr:row>
      <xdr:rowOff>163428</xdr:rowOff>
    </xdr:from>
    <xdr:to>
      <xdr:col>2</xdr:col>
      <xdr:colOff>339390</xdr:colOff>
      <xdr:row>34</xdr:row>
      <xdr:rowOff>120817</xdr:rowOff>
    </xdr:to>
    <xdr:sp macro="" textlink="">
      <xdr:nvSpPr>
        <xdr:cNvPr id="36" name="Rectangle: Rounded Corners 35">
          <a:extLst>
            <a:ext uri="{FF2B5EF4-FFF2-40B4-BE49-F238E27FC236}">
              <a16:creationId xmlns:a16="http://schemas.microsoft.com/office/drawing/2014/main" id="{5DA68C18-6BC8-44D3-9087-0ECEC7EF50E2}"/>
            </a:ext>
          </a:extLst>
        </xdr:cNvPr>
        <xdr:cNvSpPr/>
      </xdr:nvSpPr>
      <xdr:spPr>
        <a:xfrm>
          <a:off x="210553" y="5306928"/>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406568</xdr:colOff>
      <xdr:row>13</xdr:row>
      <xdr:rowOff>21556</xdr:rowOff>
    </xdr:from>
    <xdr:to>
      <xdr:col>2</xdr:col>
      <xdr:colOff>101768</xdr:colOff>
      <xdr:row>17</xdr:row>
      <xdr:rowOff>173956</xdr:rowOff>
    </xdr:to>
    <xdr:pic>
      <xdr:nvPicPr>
        <xdr:cNvPr id="37" name="Graphic 36" descr="Bar graph with upward trend with solid fill">
          <a:hlinkClick xmlns:r="http://schemas.openxmlformats.org/officeDocument/2006/relationships" r:id="rId1"/>
          <a:extLst>
            <a:ext uri="{FF2B5EF4-FFF2-40B4-BE49-F238E27FC236}">
              <a16:creationId xmlns:a16="http://schemas.microsoft.com/office/drawing/2014/main" id="{E4473459-6EE2-4849-AA96-7EEECBA9B9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6568" y="2498056"/>
          <a:ext cx="918411" cy="914400"/>
        </a:xfrm>
        <a:prstGeom prst="rect">
          <a:avLst/>
        </a:prstGeom>
      </xdr:spPr>
    </xdr:pic>
    <xdr:clientData/>
  </xdr:twoCellAnchor>
  <xdr:twoCellAnchor>
    <xdr:from>
      <xdr:col>0</xdr:col>
      <xdr:colOff>445168</xdr:colOff>
      <xdr:row>20</xdr:row>
      <xdr:rowOff>132849</xdr:rowOff>
    </xdr:from>
    <xdr:to>
      <xdr:col>2</xdr:col>
      <xdr:colOff>140368</xdr:colOff>
      <xdr:row>25</xdr:row>
      <xdr:rowOff>94749</xdr:rowOff>
    </xdr:to>
    <xdr:pic>
      <xdr:nvPicPr>
        <xdr:cNvPr id="38" name="Graphic 37" descr="Upward trend with solid fill">
          <a:hlinkClick xmlns:r="http://schemas.openxmlformats.org/officeDocument/2006/relationships" r:id="rId11"/>
          <a:extLst>
            <a:ext uri="{FF2B5EF4-FFF2-40B4-BE49-F238E27FC236}">
              <a16:creationId xmlns:a16="http://schemas.microsoft.com/office/drawing/2014/main" id="{B75C92C3-9110-4044-8F0E-422995724C5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45168" y="3942849"/>
          <a:ext cx="918411" cy="914400"/>
        </a:xfrm>
        <a:prstGeom prst="rect">
          <a:avLst/>
        </a:prstGeom>
      </xdr:spPr>
    </xdr:pic>
    <xdr:clientData/>
  </xdr:twoCellAnchor>
  <xdr:twoCellAnchor>
    <xdr:from>
      <xdr:col>0</xdr:col>
      <xdr:colOff>405064</xdr:colOff>
      <xdr:row>28</xdr:row>
      <xdr:rowOff>64670</xdr:rowOff>
    </xdr:from>
    <xdr:to>
      <xdr:col>2</xdr:col>
      <xdr:colOff>100264</xdr:colOff>
      <xdr:row>33</xdr:row>
      <xdr:rowOff>26570</xdr:rowOff>
    </xdr:to>
    <xdr:pic>
      <xdr:nvPicPr>
        <xdr:cNvPr id="39" name="Graphic 38" descr="Clipboard with solid fill">
          <a:hlinkClick xmlns:r="http://schemas.openxmlformats.org/officeDocument/2006/relationships" r:id="rId14"/>
          <a:extLst>
            <a:ext uri="{FF2B5EF4-FFF2-40B4-BE49-F238E27FC236}">
              <a16:creationId xmlns:a16="http://schemas.microsoft.com/office/drawing/2014/main" id="{A0F3E957-8B14-4599-8785-160C0B25DA8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05064" y="5398670"/>
          <a:ext cx="918411" cy="914400"/>
        </a:xfrm>
        <a:prstGeom prst="rect">
          <a:avLst/>
        </a:prstGeom>
      </xdr:spPr>
    </xdr:pic>
    <xdr:clientData/>
  </xdr:twoCellAnchor>
  <xdr:twoCellAnchor>
    <xdr:from>
      <xdr:col>0</xdr:col>
      <xdr:colOff>465222</xdr:colOff>
      <xdr:row>9</xdr:row>
      <xdr:rowOff>164932</xdr:rowOff>
    </xdr:from>
    <xdr:to>
      <xdr:col>2</xdr:col>
      <xdr:colOff>174456</xdr:colOff>
      <xdr:row>12</xdr:row>
      <xdr:rowOff>24564</xdr:rowOff>
    </xdr:to>
    <xdr:sp macro="" textlink="">
      <xdr:nvSpPr>
        <xdr:cNvPr id="40" name="TextBox 39">
          <a:extLst>
            <a:ext uri="{FF2B5EF4-FFF2-40B4-BE49-F238E27FC236}">
              <a16:creationId xmlns:a16="http://schemas.microsoft.com/office/drawing/2014/main" id="{067A542D-97EB-48F1-AE7C-35EBF113FA76}"/>
            </a:ext>
          </a:extLst>
        </xdr:cNvPr>
        <xdr:cNvSpPr txBox="1"/>
      </xdr:nvSpPr>
      <xdr:spPr>
        <a:xfrm>
          <a:off x="465222" y="1879432"/>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HOME</a:t>
          </a:r>
        </a:p>
      </xdr:txBody>
    </xdr:sp>
    <xdr:clientData/>
  </xdr:twoCellAnchor>
  <xdr:twoCellAnchor>
    <xdr:from>
      <xdr:col>0</xdr:col>
      <xdr:colOff>517359</xdr:colOff>
      <xdr:row>17</xdr:row>
      <xdr:rowOff>96753</xdr:rowOff>
    </xdr:from>
    <xdr:to>
      <xdr:col>2</xdr:col>
      <xdr:colOff>226593</xdr:colOff>
      <xdr:row>19</xdr:row>
      <xdr:rowOff>146885</xdr:rowOff>
    </xdr:to>
    <xdr:sp macro="" textlink="">
      <xdr:nvSpPr>
        <xdr:cNvPr id="41" name="TextBox 40">
          <a:extLst>
            <a:ext uri="{FF2B5EF4-FFF2-40B4-BE49-F238E27FC236}">
              <a16:creationId xmlns:a16="http://schemas.microsoft.com/office/drawing/2014/main" id="{08EEF314-AACD-4318-AAEC-F628BDEB43A0}"/>
            </a:ext>
          </a:extLst>
        </xdr:cNvPr>
        <xdr:cNvSpPr txBox="1"/>
      </xdr:nvSpPr>
      <xdr:spPr>
        <a:xfrm>
          <a:off x="517359" y="3335253"/>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Sales</a:t>
          </a:r>
        </a:p>
      </xdr:txBody>
    </xdr:sp>
    <xdr:clientData/>
  </xdr:twoCellAnchor>
  <xdr:twoCellAnchor>
    <xdr:from>
      <xdr:col>0</xdr:col>
      <xdr:colOff>489285</xdr:colOff>
      <xdr:row>24</xdr:row>
      <xdr:rowOff>148890</xdr:rowOff>
    </xdr:from>
    <xdr:to>
      <xdr:col>2</xdr:col>
      <xdr:colOff>198519</xdr:colOff>
      <xdr:row>27</xdr:row>
      <xdr:rowOff>8522</xdr:rowOff>
    </xdr:to>
    <xdr:sp macro="" textlink="">
      <xdr:nvSpPr>
        <xdr:cNvPr id="42" name="TextBox 41">
          <a:extLst>
            <a:ext uri="{FF2B5EF4-FFF2-40B4-BE49-F238E27FC236}">
              <a16:creationId xmlns:a16="http://schemas.microsoft.com/office/drawing/2014/main" id="{BC22A5D5-623D-4111-9903-7B33C7C5CE36}"/>
            </a:ext>
          </a:extLst>
        </xdr:cNvPr>
        <xdr:cNvSpPr txBox="1"/>
      </xdr:nvSpPr>
      <xdr:spPr>
        <a:xfrm>
          <a:off x="489285" y="4720890"/>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Profit</a:t>
          </a:r>
        </a:p>
      </xdr:txBody>
    </xdr:sp>
    <xdr:clientData/>
  </xdr:twoCellAnchor>
  <xdr:twoCellAnchor>
    <xdr:from>
      <xdr:col>0</xdr:col>
      <xdr:colOff>290763</xdr:colOff>
      <xdr:row>32</xdr:row>
      <xdr:rowOff>100764</xdr:rowOff>
    </xdr:from>
    <xdr:to>
      <xdr:col>2</xdr:col>
      <xdr:colOff>385010</xdr:colOff>
      <xdr:row>34</xdr:row>
      <xdr:rowOff>150896</xdr:rowOff>
    </xdr:to>
    <xdr:sp macro="" textlink="">
      <xdr:nvSpPr>
        <xdr:cNvPr id="43" name="TextBox 42">
          <a:extLst>
            <a:ext uri="{FF2B5EF4-FFF2-40B4-BE49-F238E27FC236}">
              <a16:creationId xmlns:a16="http://schemas.microsoft.com/office/drawing/2014/main" id="{94A7706B-DE60-47DD-99AB-05DDD32C4630}"/>
            </a:ext>
          </a:extLst>
        </xdr:cNvPr>
        <xdr:cNvSpPr txBox="1"/>
      </xdr:nvSpPr>
      <xdr:spPr>
        <a:xfrm>
          <a:off x="290763" y="6196764"/>
          <a:ext cx="1317458"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About</a:t>
          </a:r>
          <a:r>
            <a:rPr lang="en-US" sz="2000" b="0" baseline="0">
              <a:ln>
                <a:noFill/>
              </a:ln>
              <a:solidFill>
                <a:schemeClr val="tx1"/>
              </a:solidFill>
              <a:latin typeface="Britannic Bold" panose="020B0903060703020204" pitchFamily="34" charset="0"/>
              <a:ea typeface="+mn-ea"/>
              <a:cs typeface="+mn-cs"/>
            </a:rPr>
            <a:t> Me</a:t>
          </a:r>
          <a:endParaRPr lang="en-US" sz="2000" b="0">
            <a:ln>
              <a:noFill/>
            </a:ln>
            <a:solidFill>
              <a:schemeClr val="tx1"/>
            </a:solidFill>
            <a:latin typeface="Britannic Bold" panose="020B0903060703020204" pitchFamily="34" charset="0"/>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133350</xdr:colOff>
      <xdr:row>36</xdr:row>
      <xdr:rowOff>57150</xdr:rowOff>
    </xdr:to>
    <xdr:sp macro="" textlink="">
      <xdr:nvSpPr>
        <xdr:cNvPr id="2" name="Rectangle 1">
          <a:extLst>
            <a:ext uri="{FF2B5EF4-FFF2-40B4-BE49-F238E27FC236}">
              <a16:creationId xmlns:a16="http://schemas.microsoft.com/office/drawing/2014/main" id="{89F45A2E-6759-4A0D-85EA-CE1A14CA6BC8}"/>
            </a:ext>
          </a:extLst>
        </xdr:cNvPr>
        <xdr:cNvSpPr/>
      </xdr:nvSpPr>
      <xdr:spPr>
        <a:xfrm>
          <a:off x="0" y="0"/>
          <a:ext cx="9886950" cy="69151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114300</xdr:rowOff>
    </xdr:from>
    <xdr:to>
      <xdr:col>15</xdr:col>
      <xdr:colOff>590550</xdr:colOff>
      <xdr:row>4</xdr:row>
      <xdr:rowOff>19050</xdr:rowOff>
    </xdr:to>
    <xdr:sp macro="" textlink="">
      <xdr:nvSpPr>
        <xdr:cNvPr id="3" name="Rectangle: Rounded Corners 2">
          <a:extLst>
            <a:ext uri="{FF2B5EF4-FFF2-40B4-BE49-F238E27FC236}">
              <a16:creationId xmlns:a16="http://schemas.microsoft.com/office/drawing/2014/main" id="{E64AEAC6-EF10-4EA9-A3C2-4D11BC20C642}"/>
            </a:ext>
          </a:extLst>
        </xdr:cNvPr>
        <xdr:cNvSpPr/>
      </xdr:nvSpPr>
      <xdr:spPr>
        <a:xfrm>
          <a:off x="85725" y="114300"/>
          <a:ext cx="9648825" cy="666750"/>
        </a:xfrm>
        <a:prstGeom prst="roundRect">
          <a:avLst>
            <a:gd name="adj" fmla="val 2523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266699</xdr:colOff>
      <xdr:row>1</xdr:row>
      <xdr:rowOff>0</xdr:rowOff>
    </xdr:from>
    <xdr:to>
      <xdr:col>12</xdr:col>
      <xdr:colOff>600074</xdr:colOff>
      <xdr:row>3</xdr:row>
      <xdr:rowOff>142875</xdr:rowOff>
    </xdr:to>
    <xdr:sp macro="" textlink="">
      <xdr:nvSpPr>
        <xdr:cNvPr id="4" name="TextBox 3">
          <a:extLst>
            <a:ext uri="{FF2B5EF4-FFF2-40B4-BE49-F238E27FC236}">
              <a16:creationId xmlns:a16="http://schemas.microsoft.com/office/drawing/2014/main" id="{55FCFFD5-C19F-4F7D-8F35-2922FD90B6CB}"/>
            </a:ext>
          </a:extLst>
        </xdr:cNvPr>
        <xdr:cNvSpPr txBox="1"/>
      </xdr:nvSpPr>
      <xdr:spPr>
        <a:xfrm>
          <a:off x="2095499" y="190500"/>
          <a:ext cx="58197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chemeClr val="tx1"/>
              </a:solidFill>
              <a:latin typeface="Britannic Bold" panose="020B0903060703020204" pitchFamily="34" charset="0"/>
            </a:rPr>
            <a:t>Sales Dashboard</a:t>
          </a:r>
          <a:r>
            <a:rPr lang="en-IN" sz="2800" b="0" baseline="0">
              <a:solidFill>
                <a:schemeClr val="tx1"/>
              </a:solidFill>
              <a:latin typeface="Britannic Bold" panose="020B0903060703020204" pitchFamily="34" charset="0"/>
            </a:rPr>
            <a:t> 2024-2025</a:t>
          </a:r>
          <a:endParaRPr lang="en-IN" sz="2800" b="0">
            <a:solidFill>
              <a:schemeClr val="tx1"/>
            </a:solidFill>
            <a:latin typeface="Britannic Bold" panose="020B0903060703020204" pitchFamily="34" charset="0"/>
          </a:endParaRPr>
        </a:p>
      </xdr:txBody>
    </xdr:sp>
    <xdr:clientData/>
  </xdr:twoCellAnchor>
  <xdr:twoCellAnchor>
    <xdr:from>
      <xdr:col>0</xdr:col>
      <xdr:colOff>85725</xdr:colOff>
      <xdr:row>4</xdr:row>
      <xdr:rowOff>180975</xdr:rowOff>
    </xdr:from>
    <xdr:to>
      <xdr:col>2</xdr:col>
      <xdr:colOff>457200</xdr:colOff>
      <xdr:row>35</xdr:row>
      <xdr:rowOff>152400</xdr:rowOff>
    </xdr:to>
    <xdr:sp macro="" textlink="">
      <xdr:nvSpPr>
        <xdr:cNvPr id="5" name="Rectangle: Rounded Corners 4">
          <a:extLst>
            <a:ext uri="{FF2B5EF4-FFF2-40B4-BE49-F238E27FC236}">
              <a16:creationId xmlns:a16="http://schemas.microsoft.com/office/drawing/2014/main" id="{5E2BD968-6AC6-4A82-9F87-D031134127BF}"/>
            </a:ext>
          </a:extLst>
        </xdr:cNvPr>
        <xdr:cNvSpPr/>
      </xdr:nvSpPr>
      <xdr:spPr>
        <a:xfrm>
          <a:off x="85725" y="942975"/>
          <a:ext cx="1590675" cy="58769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xdr:col>
      <xdr:colOff>590550</xdr:colOff>
      <xdr:row>5</xdr:row>
      <xdr:rowOff>0</xdr:rowOff>
    </xdr:from>
    <xdr:to>
      <xdr:col>8</xdr:col>
      <xdr:colOff>400050</xdr:colOff>
      <xdr:row>13</xdr:row>
      <xdr:rowOff>9525</xdr:rowOff>
    </xdr:to>
    <mc:AlternateContent xmlns:mc="http://schemas.openxmlformats.org/markup-compatibility/2006" xmlns:a14="http://schemas.microsoft.com/office/drawing/2010/main">
      <mc:Choice Requires="a14">
        <xdr:graphicFrame macro="">
          <xdr:nvGraphicFramePr>
            <xdr:cNvPr id="23" name="month 1">
              <a:extLst>
                <a:ext uri="{FF2B5EF4-FFF2-40B4-BE49-F238E27FC236}">
                  <a16:creationId xmlns:a16="http://schemas.microsoft.com/office/drawing/2014/main" id="{52977B26-4731-410F-895E-C8503F525D8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09750" y="952500"/>
              <a:ext cx="34671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5</xdr:row>
      <xdr:rowOff>9526</xdr:rowOff>
    </xdr:from>
    <xdr:to>
      <xdr:col>11</xdr:col>
      <xdr:colOff>551547</xdr:colOff>
      <xdr:row>12</xdr:row>
      <xdr:rowOff>171450</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C268A8F4-4431-4E20-87C1-1BB56D57DD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29250" y="962026"/>
              <a:ext cx="1827897"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5</xdr:row>
      <xdr:rowOff>9526</xdr:rowOff>
    </xdr:from>
    <xdr:to>
      <xdr:col>15</xdr:col>
      <xdr:colOff>514350</xdr:colOff>
      <xdr:row>12</xdr:row>
      <xdr:rowOff>133350</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C1C88769-84CC-404A-8B4D-693351A58E8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429500" y="962026"/>
              <a:ext cx="2228850"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476251</xdr:colOff>
      <xdr:row>13</xdr:row>
      <xdr:rowOff>142875</xdr:rowOff>
    </xdr:from>
    <xdr:to>
      <xdr:col>16</xdr:col>
      <xdr:colOff>1</xdr:colOff>
      <xdr:row>35</xdr:row>
      <xdr:rowOff>142875</xdr:rowOff>
    </xdr:to>
    <xdr:sp macro="" textlink="">
      <xdr:nvSpPr>
        <xdr:cNvPr id="29" name="Rectangle: Rounded Corners 28">
          <a:extLst>
            <a:ext uri="{FF2B5EF4-FFF2-40B4-BE49-F238E27FC236}">
              <a16:creationId xmlns:a16="http://schemas.microsoft.com/office/drawing/2014/main" id="{46AF1A4C-4234-4442-BEFE-0270E55B856D}"/>
            </a:ext>
          </a:extLst>
        </xdr:cNvPr>
        <xdr:cNvSpPr/>
      </xdr:nvSpPr>
      <xdr:spPr>
        <a:xfrm>
          <a:off x="5962651" y="2619375"/>
          <a:ext cx="3790950" cy="41910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590550</xdr:colOff>
      <xdr:row>13</xdr:row>
      <xdr:rowOff>142874</xdr:rowOff>
    </xdr:from>
    <xdr:to>
      <xdr:col>9</xdr:col>
      <xdr:colOff>333375</xdr:colOff>
      <xdr:row>35</xdr:row>
      <xdr:rowOff>133350</xdr:rowOff>
    </xdr:to>
    <xdr:sp macro="" textlink="">
      <xdr:nvSpPr>
        <xdr:cNvPr id="28" name="Rectangle: Rounded Corners 27">
          <a:extLst>
            <a:ext uri="{FF2B5EF4-FFF2-40B4-BE49-F238E27FC236}">
              <a16:creationId xmlns:a16="http://schemas.microsoft.com/office/drawing/2014/main" id="{8709F9EC-E4C6-447F-A80C-18A5EADF0B1D}"/>
            </a:ext>
          </a:extLst>
        </xdr:cNvPr>
        <xdr:cNvSpPr/>
      </xdr:nvSpPr>
      <xdr:spPr>
        <a:xfrm>
          <a:off x="1809750" y="2619374"/>
          <a:ext cx="4010025" cy="4181476"/>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47626</xdr:colOff>
      <xdr:row>14</xdr:row>
      <xdr:rowOff>0</xdr:rowOff>
    </xdr:from>
    <xdr:to>
      <xdr:col>9</xdr:col>
      <xdr:colOff>333376</xdr:colOff>
      <xdr:row>34</xdr:row>
      <xdr:rowOff>130342</xdr:rowOff>
    </xdr:to>
    <xdr:graphicFrame macro="">
      <xdr:nvGraphicFramePr>
        <xdr:cNvPr id="26" name="Chart 25">
          <a:extLst>
            <a:ext uri="{FF2B5EF4-FFF2-40B4-BE49-F238E27FC236}">
              <a16:creationId xmlns:a16="http://schemas.microsoft.com/office/drawing/2014/main" id="{E4D2BA12-97EC-4ABA-9E31-243B5CABE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511342</xdr:colOff>
      <xdr:row>14</xdr:row>
      <xdr:rowOff>100263</xdr:rowOff>
    </xdr:from>
    <xdr:to>
      <xdr:col>15</xdr:col>
      <xdr:colOff>541421</xdr:colOff>
      <xdr:row>36</xdr:row>
      <xdr:rowOff>30079</xdr:rowOff>
    </xdr:to>
    <xdr:graphicFrame macro="">
      <xdr:nvGraphicFramePr>
        <xdr:cNvPr id="27" name="Chart 26">
          <a:extLst>
            <a:ext uri="{FF2B5EF4-FFF2-40B4-BE49-F238E27FC236}">
              <a16:creationId xmlns:a16="http://schemas.microsoft.com/office/drawing/2014/main" id="{2BB48315-0BE3-43D8-A7EF-48396C333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206542</xdr:colOff>
      <xdr:row>5</xdr:row>
      <xdr:rowOff>85725</xdr:rowOff>
    </xdr:from>
    <xdr:to>
      <xdr:col>2</xdr:col>
      <xdr:colOff>380999</xdr:colOff>
      <xdr:row>34</xdr:row>
      <xdr:rowOff>146384</xdr:rowOff>
    </xdr:to>
    <xdr:grpSp>
      <xdr:nvGrpSpPr>
        <xdr:cNvPr id="11" name="Group 10">
          <a:extLst>
            <a:ext uri="{FF2B5EF4-FFF2-40B4-BE49-F238E27FC236}">
              <a16:creationId xmlns:a16="http://schemas.microsoft.com/office/drawing/2014/main" id="{936A822C-E153-4461-A85D-2B7804E3355D}"/>
            </a:ext>
          </a:extLst>
        </xdr:cNvPr>
        <xdr:cNvGrpSpPr/>
      </xdr:nvGrpSpPr>
      <xdr:grpSpPr>
        <a:xfrm>
          <a:off x="206542" y="1038225"/>
          <a:ext cx="1397668" cy="5585159"/>
          <a:chOff x="206542" y="1038225"/>
          <a:chExt cx="1397668" cy="5585159"/>
        </a:xfrm>
      </xdr:grpSpPr>
      <xdr:sp macro="" textlink="">
        <xdr:nvSpPr>
          <xdr:cNvPr id="19" name="Rectangle: Rounded Corners 18">
            <a:extLst>
              <a:ext uri="{FF2B5EF4-FFF2-40B4-BE49-F238E27FC236}">
                <a16:creationId xmlns:a16="http://schemas.microsoft.com/office/drawing/2014/main" id="{5732E054-BE66-41D2-8A61-72380A7F1145}"/>
              </a:ext>
            </a:extLst>
          </xdr:cNvPr>
          <xdr:cNvSpPr/>
        </xdr:nvSpPr>
        <xdr:spPr>
          <a:xfrm>
            <a:off x="220579" y="1065295"/>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pic>
        <xdr:nvPicPr>
          <xdr:cNvPr id="6" name="Graphic 5" descr="Briefcase with solid fill">
            <a:hlinkClick xmlns:r="http://schemas.openxmlformats.org/officeDocument/2006/relationships" r:id="rId3"/>
            <a:extLst>
              <a:ext uri="{FF2B5EF4-FFF2-40B4-BE49-F238E27FC236}">
                <a16:creationId xmlns:a16="http://schemas.microsoft.com/office/drawing/2014/main" id="{014A6FDD-15EC-428C-A2F8-5F4CAC3A37E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4061" y="1038225"/>
            <a:ext cx="918411" cy="914400"/>
          </a:xfrm>
          <a:prstGeom prst="rect">
            <a:avLst/>
          </a:prstGeom>
        </xdr:spPr>
      </xdr:pic>
      <xdr:sp macro="" textlink="">
        <xdr:nvSpPr>
          <xdr:cNvPr id="20" name="Rectangle: Rounded Corners 19">
            <a:extLst>
              <a:ext uri="{FF2B5EF4-FFF2-40B4-BE49-F238E27FC236}">
                <a16:creationId xmlns:a16="http://schemas.microsoft.com/office/drawing/2014/main" id="{8D1C00D2-4B79-4877-9795-704D1DB7F5A5}"/>
              </a:ext>
            </a:extLst>
          </xdr:cNvPr>
          <xdr:cNvSpPr/>
        </xdr:nvSpPr>
        <xdr:spPr>
          <a:xfrm>
            <a:off x="222584" y="2460958"/>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7139D373-98AF-4D0E-BA55-F0872DFA9BEC}"/>
              </a:ext>
            </a:extLst>
          </xdr:cNvPr>
          <xdr:cNvSpPr/>
        </xdr:nvSpPr>
        <xdr:spPr>
          <a:xfrm>
            <a:off x="224590" y="3876674"/>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2" name="Rectangle: Rounded Corners 21">
            <a:extLst>
              <a:ext uri="{FF2B5EF4-FFF2-40B4-BE49-F238E27FC236}">
                <a16:creationId xmlns:a16="http://schemas.microsoft.com/office/drawing/2014/main" id="{0F237250-DDB1-421B-ADDB-54F8EEA1E318}"/>
              </a:ext>
            </a:extLst>
          </xdr:cNvPr>
          <xdr:cNvSpPr/>
        </xdr:nvSpPr>
        <xdr:spPr>
          <a:xfrm>
            <a:off x="206542" y="5302416"/>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pic>
        <xdr:nvPicPr>
          <xdr:cNvPr id="7" name="Graphic 6" descr="Bar graph with upward trend with solid fill">
            <a:extLst>
              <a:ext uri="{FF2B5EF4-FFF2-40B4-BE49-F238E27FC236}">
                <a16:creationId xmlns:a16="http://schemas.microsoft.com/office/drawing/2014/main" id="{868BE55B-7613-44C5-936C-F00055C207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2557" y="2493544"/>
            <a:ext cx="918411" cy="914400"/>
          </a:xfrm>
          <a:prstGeom prst="rect">
            <a:avLst/>
          </a:prstGeom>
        </xdr:spPr>
      </xdr:pic>
      <xdr:pic>
        <xdr:nvPicPr>
          <xdr:cNvPr id="8" name="Graphic 7" descr="Upward trend with solid fill">
            <a:hlinkClick xmlns:r="http://schemas.openxmlformats.org/officeDocument/2006/relationships" r:id="rId8"/>
            <a:extLst>
              <a:ext uri="{FF2B5EF4-FFF2-40B4-BE49-F238E27FC236}">
                <a16:creationId xmlns:a16="http://schemas.microsoft.com/office/drawing/2014/main" id="{9FC19CFF-3D56-46D9-AC39-34B351B2A1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1157" y="3938337"/>
            <a:ext cx="918411" cy="914400"/>
          </a:xfrm>
          <a:prstGeom prst="rect">
            <a:avLst/>
          </a:prstGeom>
        </xdr:spPr>
      </xdr:pic>
      <xdr:pic>
        <xdr:nvPicPr>
          <xdr:cNvPr id="9" name="Graphic 8" descr="Clipboard with solid fill">
            <a:extLst>
              <a:ext uri="{FF2B5EF4-FFF2-40B4-BE49-F238E27FC236}">
                <a16:creationId xmlns:a16="http://schemas.microsoft.com/office/drawing/2014/main" id="{29D45896-6EA1-454C-B304-8D83E034AD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1053" y="5394158"/>
            <a:ext cx="918411" cy="914400"/>
          </a:xfrm>
          <a:prstGeom prst="rect">
            <a:avLst/>
          </a:prstGeom>
        </xdr:spPr>
      </xdr:pic>
      <xdr:sp macro="" textlink="">
        <xdr:nvSpPr>
          <xdr:cNvPr id="10" name="TextBox 9">
            <a:extLst>
              <a:ext uri="{FF2B5EF4-FFF2-40B4-BE49-F238E27FC236}">
                <a16:creationId xmlns:a16="http://schemas.microsoft.com/office/drawing/2014/main" id="{48F200A5-8142-45AA-B1D8-42BF9B3B4F15}"/>
              </a:ext>
            </a:extLst>
          </xdr:cNvPr>
          <xdr:cNvSpPr txBox="1"/>
        </xdr:nvSpPr>
        <xdr:spPr>
          <a:xfrm>
            <a:off x="461211" y="1874920"/>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HOME</a:t>
            </a:r>
          </a:p>
        </xdr:txBody>
      </xdr:sp>
      <xdr:sp macro="" textlink="">
        <xdr:nvSpPr>
          <xdr:cNvPr id="41" name="TextBox 40">
            <a:extLst>
              <a:ext uri="{FF2B5EF4-FFF2-40B4-BE49-F238E27FC236}">
                <a16:creationId xmlns:a16="http://schemas.microsoft.com/office/drawing/2014/main" id="{224FA689-4536-49D9-9765-E763EE3F0FE4}"/>
              </a:ext>
            </a:extLst>
          </xdr:cNvPr>
          <xdr:cNvSpPr txBox="1"/>
        </xdr:nvSpPr>
        <xdr:spPr>
          <a:xfrm>
            <a:off x="485274" y="4716378"/>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Profit</a:t>
            </a:r>
          </a:p>
        </xdr:txBody>
      </xdr:sp>
      <xdr:sp macro="" textlink="">
        <xdr:nvSpPr>
          <xdr:cNvPr id="42" name="TextBox 41">
            <a:extLst>
              <a:ext uri="{FF2B5EF4-FFF2-40B4-BE49-F238E27FC236}">
                <a16:creationId xmlns:a16="http://schemas.microsoft.com/office/drawing/2014/main" id="{0DEFD248-7187-4659-A3BA-9CA82DFCD13D}"/>
              </a:ext>
            </a:extLst>
          </xdr:cNvPr>
          <xdr:cNvSpPr txBox="1"/>
        </xdr:nvSpPr>
        <xdr:spPr>
          <a:xfrm>
            <a:off x="286752" y="6192252"/>
            <a:ext cx="1317458"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About</a:t>
            </a:r>
            <a:r>
              <a:rPr lang="en-US" sz="2000" b="0" baseline="0">
                <a:solidFill>
                  <a:schemeClr val="tx1"/>
                </a:solidFill>
                <a:latin typeface="Britannic Bold" panose="020B0903060703020204" pitchFamily="34" charset="0"/>
                <a:ea typeface="+mn-ea"/>
                <a:cs typeface="+mn-cs"/>
              </a:rPr>
              <a:t> Me</a:t>
            </a:r>
            <a:endParaRPr lang="en-US" sz="2000" b="0">
              <a:solidFill>
                <a:schemeClr val="tx1"/>
              </a:solidFill>
              <a:latin typeface="Britannic Bold" panose="020B0903060703020204" pitchFamily="34" charset="0"/>
              <a:ea typeface="+mn-ea"/>
              <a:cs typeface="+mn-cs"/>
            </a:endParaRPr>
          </a:p>
        </xdr:txBody>
      </xdr:sp>
    </xdr:grpSp>
    <xdr:clientData/>
  </xdr:twoCellAnchor>
  <xdr:twoCellAnchor>
    <xdr:from>
      <xdr:col>0</xdr:col>
      <xdr:colOff>216568</xdr:colOff>
      <xdr:row>12</xdr:row>
      <xdr:rowOff>175960</xdr:rowOff>
    </xdr:from>
    <xdr:to>
      <xdr:col>2</xdr:col>
      <xdr:colOff>345405</xdr:colOff>
      <xdr:row>19</xdr:row>
      <xdr:rowOff>133349</xdr:rowOff>
    </xdr:to>
    <xdr:sp macro="" textlink="">
      <xdr:nvSpPr>
        <xdr:cNvPr id="34" name="Rectangle: Rounded Corners 33">
          <a:extLst>
            <a:ext uri="{FF2B5EF4-FFF2-40B4-BE49-F238E27FC236}">
              <a16:creationId xmlns:a16="http://schemas.microsoft.com/office/drawing/2014/main" id="{213BBF70-4EB7-4B0C-A988-0FE425E43FF5}"/>
            </a:ext>
          </a:extLst>
        </xdr:cNvPr>
        <xdr:cNvSpPr/>
      </xdr:nvSpPr>
      <xdr:spPr>
        <a:xfrm>
          <a:off x="216568" y="2461960"/>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292768</xdr:colOff>
      <xdr:row>18</xdr:row>
      <xdr:rowOff>12033</xdr:rowOff>
    </xdr:from>
    <xdr:to>
      <xdr:col>2</xdr:col>
      <xdr:colOff>290763</xdr:colOff>
      <xdr:row>19</xdr:row>
      <xdr:rowOff>72191</xdr:rowOff>
    </xdr:to>
    <xdr:sp macro="" textlink="">
      <xdr:nvSpPr>
        <xdr:cNvPr id="31" name="Rectangle: Rounded Corners 30">
          <a:extLst>
            <a:ext uri="{FF2B5EF4-FFF2-40B4-BE49-F238E27FC236}">
              <a16:creationId xmlns:a16="http://schemas.microsoft.com/office/drawing/2014/main" id="{5B062272-730F-43A3-9717-F7981A370DFF}"/>
            </a:ext>
          </a:extLst>
        </xdr:cNvPr>
        <xdr:cNvSpPr/>
      </xdr:nvSpPr>
      <xdr:spPr>
        <a:xfrm>
          <a:off x="292768" y="3441033"/>
          <a:ext cx="1221206" cy="250658"/>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294774</xdr:colOff>
      <xdr:row>16</xdr:row>
      <xdr:rowOff>94249</xdr:rowOff>
    </xdr:from>
    <xdr:to>
      <xdr:col>2</xdr:col>
      <xdr:colOff>292769</xdr:colOff>
      <xdr:row>17</xdr:row>
      <xdr:rowOff>154407</xdr:rowOff>
    </xdr:to>
    <xdr:sp macro="" textlink="">
      <xdr:nvSpPr>
        <xdr:cNvPr id="32" name="Rectangle: Rounded Corners 31">
          <a:extLst>
            <a:ext uri="{FF2B5EF4-FFF2-40B4-BE49-F238E27FC236}">
              <a16:creationId xmlns:a16="http://schemas.microsoft.com/office/drawing/2014/main" id="{452219D4-1E35-4C3F-B4F4-0F6F4AE650E6}"/>
            </a:ext>
          </a:extLst>
        </xdr:cNvPr>
        <xdr:cNvSpPr/>
      </xdr:nvSpPr>
      <xdr:spPr>
        <a:xfrm>
          <a:off x="294774" y="3142249"/>
          <a:ext cx="1221206" cy="250658"/>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531395</xdr:colOff>
      <xdr:row>16</xdr:row>
      <xdr:rowOff>60158</xdr:rowOff>
    </xdr:from>
    <xdr:to>
      <xdr:col>2</xdr:col>
      <xdr:colOff>280737</xdr:colOff>
      <xdr:row>17</xdr:row>
      <xdr:rowOff>100263</xdr:rowOff>
    </xdr:to>
    <xdr:sp macro="" textlink="">
      <xdr:nvSpPr>
        <xdr:cNvPr id="12" name="TextBox 11">
          <a:hlinkClick xmlns:r="http://schemas.openxmlformats.org/officeDocument/2006/relationships" r:id="rId13"/>
          <a:extLst>
            <a:ext uri="{FF2B5EF4-FFF2-40B4-BE49-F238E27FC236}">
              <a16:creationId xmlns:a16="http://schemas.microsoft.com/office/drawing/2014/main" id="{BF05DF64-4099-4E59-9827-1F3C0985A91C}"/>
            </a:ext>
          </a:extLst>
        </xdr:cNvPr>
        <xdr:cNvSpPr txBox="1"/>
      </xdr:nvSpPr>
      <xdr:spPr>
        <a:xfrm>
          <a:off x="531395" y="3108158"/>
          <a:ext cx="972553" cy="23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Bahnschrift SemiBold Condensed" panose="020B0502040204020203" pitchFamily="34" charset="0"/>
            </a:rPr>
            <a:t>TOP SALES</a:t>
          </a:r>
        </a:p>
      </xdr:txBody>
    </xdr:sp>
    <xdr:clientData/>
  </xdr:twoCellAnchor>
  <xdr:twoCellAnchor>
    <xdr:from>
      <xdr:col>0</xdr:col>
      <xdr:colOff>370975</xdr:colOff>
      <xdr:row>17</xdr:row>
      <xdr:rowOff>182479</xdr:rowOff>
    </xdr:from>
    <xdr:to>
      <xdr:col>2</xdr:col>
      <xdr:colOff>282744</xdr:colOff>
      <xdr:row>19</xdr:row>
      <xdr:rowOff>80211</xdr:rowOff>
    </xdr:to>
    <xdr:sp macro="" textlink="">
      <xdr:nvSpPr>
        <xdr:cNvPr id="33" name="TextBox 32">
          <a:hlinkClick xmlns:r="http://schemas.openxmlformats.org/officeDocument/2006/relationships" r:id="rId14"/>
          <a:extLst>
            <a:ext uri="{FF2B5EF4-FFF2-40B4-BE49-F238E27FC236}">
              <a16:creationId xmlns:a16="http://schemas.microsoft.com/office/drawing/2014/main" id="{A204EE57-EDF4-4F51-A059-01AC29A33C0A}"/>
            </a:ext>
          </a:extLst>
        </xdr:cNvPr>
        <xdr:cNvSpPr txBox="1"/>
      </xdr:nvSpPr>
      <xdr:spPr>
        <a:xfrm>
          <a:off x="370975" y="3420979"/>
          <a:ext cx="1134980" cy="27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Bahnschrift SemiBold Condensed" panose="020B0502040204020203" pitchFamily="34" charset="0"/>
            </a:rPr>
            <a:t>BOTTOM</a:t>
          </a:r>
          <a:r>
            <a:rPr lang="en-US" sz="1400" baseline="0">
              <a:latin typeface="Bahnschrift SemiBold Condensed" panose="020B0502040204020203" pitchFamily="34" charset="0"/>
            </a:rPr>
            <a:t> </a:t>
          </a:r>
          <a:r>
            <a:rPr lang="en-US" sz="1400">
              <a:latin typeface="Bahnschrift SemiBold Condensed" panose="020B0502040204020203" pitchFamily="34" charset="0"/>
            </a:rPr>
            <a:t> SALES</a:t>
          </a:r>
        </a:p>
      </xdr:txBody>
    </xdr:sp>
    <xdr:clientData/>
  </xdr:twoCellAnchor>
  <xdr:twoCellAnchor editAs="oneCell">
    <xdr:from>
      <xdr:col>0</xdr:col>
      <xdr:colOff>421105</xdr:colOff>
      <xdr:row>12</xdr:row>
      <xdr:rowOff>190499</xdr:rowOff>
    </xdr:from>
    <xdr:to>
      <xdr:col>2</xdr:col>
      <xdr:colOff>150395</xdr:colOff>
      <xdr:row>16</xdr:row>
      <xdr:rowOff>120316</xdr:rowOff>
    </xdr:to>
    <xdr:pic>
      <xdr:nvPicPr>
        <xdr:cNvPr id="14" name="Graphic 13" descr="Bar graph with upward trend">
          <a:extLst>
            <a:ext uri="{FF2B5EF4-FFF2-40B4-BE49-F238E27FC236}">
              <a16:creationId xmlns:a16="http://schemas.microsoft.com/office/drawing/2014/main" id="{BFE5A3A3-5144-4076-A49B-04E5A31E277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21105" y="2476499"/>
          <a:ext cx="952501" cy="6918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133350</xdr:colOff>
      <xdr:row>36</xdr:row>
      <xdr:rowOff>57150</xdr:rowOff>
    </xdr:to>
    <xdr:sp macro="" textlink="">
      <xdr:nvSpPr>
        <xdr:cNvPr id="2" name="Rectangle 1">
          <a:extLst>
            <a:ext uri="{FF2B5EF4-FFF2-40B4-BE49-F238E27FC236}">
              <a16:creationId xmlns:a16="http://schemas.microsoft.com/office/drawing/2014/main" id="{CC05E215-B4E8-4498-A062-F51F4E7A0C8C}"/>
            </a:ext>
          </a:extLst>
        </xdr:cNvPr>
        <xdr:cNvSpPr/>
      </xdr:nvSpPr>
      <xdr:spPr>
        <a:xfrm>
          <a:off x="0" y="0"/>
          <a:ext cx="9886950" cy="69151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114300</xdr:rowOff>
    </xdr:from>
    <xdr:to>
      <xdr:col>15</xdr:col>
      <xdr:colOff>590550</xdr:colOff>
      <xdr:row>4</xdr:row>
      <xdr:rowOff>19050</xdr:rowOff>
    </xdr:to>
    <xdr:sp macro="" textlink="">
      <xdr:nvSpPr>
        <xdr:cNvPr id="3" name="Rectangle: Rounded Corners 2">
          <a:extLst>
            <a:ext uri="{FF2B5EF4-FFF2-40B4-BE49-F238E27FC236}">
              <a16:creationId xmlns:a16="http://schemas.microsoft.com/office/drawing/2014/main" id="{F4037126-0B3F-4E96-9AC0-2B47122D5F4C}"/>
            </a:ext>
          </a:extLst>
        </xdr:cNvPr>
        <xdr:cNvSpPr/>
      </xdr:nvSpPr>
      <xdr:spPr>
        <a:xfrm>
          <a:off x="85725" y="114300"/>
          <a:ext cx="9648825" cy="666750"/>
        </a:xfrm>
        <a:prstGeom prst="roundRect">
          <a:avLst>
            <a:gd name="adj" fmla="val 2523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266699</xdr:colOff>
      <xdr:row>1</xdr:row>
      <xdr:rowOff>0</xdr:rowOff>
    </xdr:from>
    <xdr:to>
      <xdr:col>12</xdr:col>
      <xdr:colOff>600074</xdr:colOff>
      <xdr:row>3</xdr:row>
      <xdr:rowOff>142875</xdr:rowOff>
    </xdr:to>
    <xdr:sp macro="" textlink="">
      <xdr:nvSpPr>
        <xdr:cNvPr id="4" name="TextBox 3">
          <a:extLst>
            <a:ext uri="{FF2B5EF4-FFF2-40B4-BE49-F238E27FC236}">
              <a16:creationId xmlns:a16="http://schemas.microsoft.com/office/drawing/2014/main" id="{69227E30-E279-4E04-8933-EC67463084B0}"/>
            </a:ext>
          </a:extLst>
        </xdr:cNvPr>
        <xdr:cNvSpPr txBox="1"/>
      </xdr:nvSpPr>
      <xdr:spPr>
        <a:xfrm>
          <a:off x="2095499" y="190500"/>
          <a:ext cx="58197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chemeClr val="tx1"/>
              </a:solidFill>
              <a:latin typeface="Britannic Bold" panose="020B0903060703020204" pitchFamily="34" charset="0"/>
            </a:rPr>
            <a:t>Sales Dashboard</a:t>
          </a:r>
          <a:r>
            <a:rPr lang="en-IN" sz="2800" b="0" baseline="0">
              <a:solidFill>
                <a:schemeClr val="tx1"/>
              </a:solidFill>
              <a:latin typeface="Britannic Bold" panose="020B0903060703020204" pitchFamily="34" charset="0"/>
            </a:rPr>
            <a:t> 2024-2025</a:t>
          </a:r>
          <a:endParaRPr lang="en-IN" sz="2800" b="0">
            <a:solidFill>
              <a:schemeClr val="tx1"/>
            </a:solidFill>
            <a:latin typeface="Britannic Bold" panose="020B0903060703020204" pitchFamily="34" charset="0"/>
          </a:endParaRPr>
        </a:p>
      </xdr:txBody>
    </xdr:sp>
    <xdr:clientData/>
  </xdr:twoCellAnchor>
  <xdr:twoCellAnchor>
    <xdr:from>
      <xdr:col>0</xdr:col>
      <xdr:colOff>85725</xdr:colOff>
      <xdr:row>4</xdr:row>
      <xdr:rowOff>180975</xdr:rowOff>
    </xdr:from>
    <xdr:to>
      <xdr:col>2</xdr:col>
      <xdr:colOff>457200</xdr:colOff>
      <xdr:row>35</xdr:row>
      <xdr:rowOff>152400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9E3D19EE-18EA-478D-B369-25A12E906B54}"/>
            </a:ext>
          </a:extLst>
        </xdr:cNvPr>
        <xdr:cNvSpPr/>
      </xdr:nvSpPr>
      <xdr:spPr>
        <a:xfrm>
          <a:off x="85725" y="942975"/>
          <a:ext cx="1590675" cy="58769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xdr:col>
      <xdr:colOff>590550</xdr:colOff>
      <xdr:row>5</xdr:row>
      <xdr:rowOff>0</xdr:rowOff>
    </xdr:from>
    <xdr:to>
      <xdr:col>8</xdr:col>
      <xdr:colOff>400050</xdr:colOff>
      <xdr:row>13</xdr:row>
      <xdr:rowOff>9525</xdr:rowOff>
    </xdr:to>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F2C2015C-036C-4588-9DD0-1FABA836AFD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809750" y="952500"/>
              <a:ext cx="34671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5</xdr:row>
      <xdr:rowOff>9526</xdr:rowOff>
    </xdr:from>
    <xdr:to>
      <xdr:col>11</xdr:col>
      <xdr:colOff>551547</xdr:colOff>
      <xdr:row>12</xdr:row>
      <xdr:rowOff>171450</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F1B78CC5-CEBF-4068-835C-C5D219615DC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429250" y="962026"/>
              <a:ext cx="1827897"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5</xdr:row>
      <xdr:rowOff>9526</xdr:rowOff>
    </xdr:from>
    <xdr:to>
      <xdr:col>15</xdr:col>
      <xdr:colOff>514350</xdr:colOff>
      <xdr:row>12</xdr:row>
      <xdr:rowOff>133350</xdr:rowOff>
    </xdr:to>
    <mc:AlternateContent xmlns:mc="http://schemas.openxmlformats.org/markup-compatibility/2006" xmlns:a14="http://schemas.microsoft.com/office/drawing/2010/main">
      <mc:Choice Requires="a14">
        <xdr:graphicFrame macro="">
          <xdr:nvGraphicFramePr>
            <xdr:cNvPr id="12" name="year 2">
              <a:extLst>
                <a:ext uri="{FF2B5EF4-FFF2-40B4-BE49-F238E27FC236}">
                  <a16:creationId xmlns:a16="http://schemas.microsoft.com/office/drawing/2014/main" id="{8CF06F37-8B72-4E8F-91DE-18317495870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429500" y="962026"/>
              <a:ext cx="2228850"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600075</xdr:colOff>
      <xdr:row>13</xdr:row>
      <xdr:rowOff>152400</xdr:rowOff>
    </xdr:from>
    <xdr:to>
      <xdr:col>9</xdr:col>
      <xdr:colOff>180975</xdr:colOff>
      <xdr:row>35</xdr:row>
      <xdr:rowOff>123825</xdr:rowOff>
    </xdr:to>
    <xdr:sp macro="" textlink="">
      <xdr:nvSpPr>
        <xdr:cNvPr id="17" name="Rectangle: Rounded Corners 16">
          <a:extLst>
            <a:ext uri="{FF2B5EF4-FFF2-40B4-BE49-F238E27FC236}">
              <a16:creationId xmlns:a16="http://schemas.microsoft.com/office/drawing/2014/main" id="{6207121B-7D99-4E73-9F69-B2F5195446C8}"/>
            </a:ext>
          </a:extLst>
        </xdr:cNvPr>
        <xdr:cNvSpPr/>
      </xdr:nvSpPr>
      <xdr:spPr>
        <a:xfrm>
          <a:off x="1823286" y="2628900"/>
          <a:ext cx="3862136" cy="4162425"/>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314324</xdr:colOff>
      <xdr:row>13</xdr:row>
      <xdr:rowOff>104775</xdr:rowOff>
    </xdr:from>
    <xdr:to>
      <xdr:col>16</xdr:col>
      <xdr:colOff>19049</xdr:colOff>
      <xdr:row>35</xdr:row>
      <xdr:rowOff>104775</xdr:rowOff>
    </xdr:to>
    <xdr:sp macro="" textlink="">
      <xdr:nvSpPr>
        <xdr:cNvPr id="18" name="Rectangle: Rounded Corners 17">
          <a:extLst>
            <a:ext uri="{FF2B5EF4-FFF2-40B4-BE49-F238E27FC236}">
              <a16:creationId xmlns:a16="http://schemas.microsoft.com/office/drawing/2014/main" id="{A2AEC56E-45AB-4DED-B371-7BC970481B23}"/>
            </a:ext>
          </a:extLst>
        </xdr:cNvPr>
        <xdr:cNvSpPr/>
      </xdr:nvSpPr>
      <xdr:spPr>
        <a:xfrm>
          <a:off x="5818771" y="2581275"/>
          <a:ext cx="3985962" cy="41910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600075</xdr:colOff>
      <xdr:row>14</xdr:row>
      <xdr:rowOff>38100</xdr:rowOff>
    </xdr:from>
    <xdr:to>
      <xdr:col>9</xdr:col>
      <xdr:colOff>219075</xdr:colOff>
      <xdr:row>35</xdr:row>
      <xdr:rowOff>38100</xdr:rowOff>
    </xdr:to>
    <xdr:graphicFrame macro="">
      <xdr:nvGraphicFramePr>
        <xdr:cNvPr id="15" name="Chart 14">
          <a:extLst>
            <a:ext uri="{FF2B5EF4-FFF2-40B4-BE49-F238E27FC236}">
              <a16:creationId xmlns:a16="http://schemas.microsoft.com/office/drawing/2014/main" id="{C91DA5AE-85D4-4AE0-9446-3A7F2F77B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371475</xdr:colOff>
      <xdr:row>14</xdr:row>
      <xdr:rowOff>20053</xdr:rowOff>
    </xdr:from>
    <xdr:to>
      <xdr:col>16</xdr:col>
      <xdr:colOff>114300</xdr:colOff>
      <xdr:row>35</xdr:row>
      <xdr:rowOff>142874</xdr:rowOff>
    </xdr:to>
    <xdr:graphicFrame macro="">
      <xdr:nvGraphicFramePr>
        <xdr:cNvPr id="16" name="Chart 15">
          <a:extLst>
            <a:ext uri="{FF2B5EF4-FFF2-40B4-BE49-F238E27FC236}">
              <a16:creationId xmlns:a16="http://schemas.microsoft.com/office/drawing/2014/main" id="{0C37FCED-ED91-4C35-AC5F-CA99558C8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224590</xdr:colOff>
      <xdr:row>5</xdr:row>
      <xdr:rowOff>117306</xdr:rowOff>
    </xdr:from>
    <xdr:to>
      <xdr:col>2</xdr:col>
      <xdr:colOff>353427</xdr:colOff>
      <xdr:row>12</xdr:row>
      <xdr:rowOff>74695</xdr:rowOff>
    </xdr:to>
    <xdr:sp macro="" textlink="">
      <xdr:nvSpPr>
        <xdr:cNvPr id="20" name="Rectangle: Rounded Corners 19">
          <a:extLst>
            <a:ext uri="{FF2B5EF4-FFF2-40B4-BE49-F238E27FC236}">
              <a16:creationId xmlns:a16="http://schemas.microsoft.com/office/drawing/2014/main" id="{F4B5E9A5-8ED7-4F89-B8F0-83DA97BBF84A}"/>
            </a:ext>
          </a:extLst>
        </xdr:cNvPr>
        <xdr:cNvSpPr/>
      </xdr:nvSpPr>
      <xdr:spPr>
        <a:xfrm>
          <a:off x="224590" y="1069806"/>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408072</xdr:colOff>
      <xdr:row>5</xdr:row>
      <xdr:rowOff>90236</xdr:rowOff>
    </xdr:from>
    <xdr:to>
      <xdr:col>2</xdr:col>
      <xdr:colOff>103272</xdr:colOff>
      <xdr:row>10</xdr:row>
      <xdr:rowOff>52136</xdr:rowOff>
    </xdr:to>
    <xdr:pic>
      <xdr:nvPicPr>
        <xdr:cNvPr id="21" name="Graphic 20" descr="Briefcase with solid fill">
          <a:hlinkClick xmlns:r="http://schemas.openxmlformats.org/officeDocument/2006/relationships" r:id="rId4"/>
          <a:extLst>
            <a:ext uri="{FF2B5EF4-FFF2-40B4-BE49-F238E27FC236}">
              <a16:creationId xmlns:a16="http://schemas.microsoft.com/office/drawing/2014/main" id="{EA464E44-CF7C-4521-9462-B007A8EABE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8072" y="1042736"/>
          <a:ext cx="918411" cy="914400"/>
        </a:xfrm>
        <a:prstGeom prst="rect">
          <a:avLst/>
        </a:prstGeom>
      </xdr:spPr>
    </xdr:pic>
    <xdr:clientData/>
  </xdr:twoCellAnchor>
  <xdr:twoCellAnchor>
    <xdr:from>
      <xdr:col>0</xdr:col>
      <xdr:colOff>226595</xdr:colOff>
      <xdr:row>12</xdr:row>
      <xdr:rowOff>179469</xdr:rowOff>
    </xdr:from>
    <xdr:to>
      <xdr:col>2</xdr:col>
      <xdr:colOff>355432</xdr:colOff>
      <xdr:row>19</xdr:row>
      <xdr:rowOff>136858</xdr:rowOff>
    </xdr:to>
    <xdr:sp macro="" textlink="">
      <xdr:nvSpPr>
        <xdr:cNvPr id="22" name="Rectangle: Rounded Corners 21">
          <a:extLst>
            <a:ext uri="{FF2B5EF4-FFF2-40B4-BE49-F238E27FC236}">
              <a16:creationId xmlns:a16="http://schemas.microsoft.com/office/drawing/2014/main" id="{6945989E-E520-4500-8D68-A471E6E84B24}"/>
            </a:ext>
          </a:extLst>
        </xdr:cNvPr>
        <xdr:cNvSpPr/>
      </xdr:nvSpPr>
      <xdr:spPr>
        <a:xfrm>
          <a:off x="226595" y="2465469"/>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228601</xdr:colOff>
      <xdr:row>20</xdr:row>
      <xdr:rowOff>71185</xdr:rowOff>
    </xdr:from>
    <xdr:to>
      <xdr:col>2</xdr:col>
      <xdr:colOff>357438</xdr:colOff>
      <xdr:row>27</xdr:row>
      <xdr:rowOff>28574</xdr:rowOff>
    </xdr:to>
    <xdr:sp macro="" textlink="">
      <xdr:nvSpPr>
        <xdr:cNvPr id="23" name="Rectangle: Rounded Corners 22">
          <a:extLst>
            <a:ext uri="{FF2B5EF4-FFF2-40B4-BE49-F238E27FC236}">
              <a16:creationId xmlns:a16="http://schemas.microsoft.com/office/drawing/2014/main" id="{3B30D6FF-84EE-4A0A-BEA8-A848A782CD54}"/>
            </a:ext>
          </a:extLst>
        </xdr:cNvPr>
        <xdr:cNvSpPr/>
      </xdr:nvSpPr>
      <xdr:spPr>
        <a:xfrm>
          <a:off x="228601" y="3881185"/>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210553</xdr:colOff>
      <xdr:row>27</xdr:row>
      <xdr:rowOff>163427</xdr:rowOff>
    </xdr:from>
    <xdr:to>
      <xdr:col>2</xdr:col>
      <xdr:colOff>339390</xdr:colOff>
      <xdr:row>34</xdr:row>
      <xdr:rowOff>120816</xdr:rowOff>
    </xdr:to>
    <xdr:sp macro="" textlink="">
      <xdr:nvSpPr>
        <xdr:cNvPr id="24" name="Rectangle: Rounded Corners 23">
          <a:extLst>
            <a:ext uri="{FF2B5EF4-FFF2-40B4-BE49-F238E27FC236}">
              <a16:creationId xmlns:a16="http://schemas.microsoft.com/office/drawing/2014/main" id="{16298A50-25B5-4D98-8841-4AD6A19C3D4A}"/>
            </a:ext>
          </a:extLst>
        </xdr:cNvPr>
        <xdr:cNvSpPr/>
      </xdr:nvSpPr>
      <xdr:spPr>
        <a:xfrm>
          <a:off x="210553" y="5306927"/>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406568</xdr:colOff>
      <xdr:row>13</xdr:row>
      <xdr:rowOff>21555</xdr:rowOff>
    </xdr:from>
    <xdr:to>
      <xdr:col>2</xdr:col>
      <xdr:colOff>101768</xdr:colOff>
      <xdr:row>17</xdr:row>
      <xdr:rowOff>173955</xdr:rowOff>
    </xdr:to>
    <xdr:pic>
      <xdr:nvPicPr>
        <xdr:cNvPr id="25" name="Graphic 24" descr="Bar graph with upward trend with solid fill">
          <a:hlinkClick xmlns:r="http://schemas.openxmlformats.org/officeDocument/2006/relationships" r:id="rId1"/>
          <a:extLst>
            <a:ext uri="{FF2B5EF4-FFF2-40B4-BE49-F238E27FC236}">
              <a16:creationId xmlns:a16="http://schemas.microsoft.com/office/drawing/2014/main" id="{E5E7ABCD-691D-4630-AD7A-914D41AE2B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6568" y="2498055"/>
          <a:ext cx="918411" cy="914400"/>
        </a:xfrm>
        <a:prstGeom prst="rect">
          <a:avLst/>
        </a:prstGeom>
      </xdr:spPr>
    </xdr:pic>
    <xdr:clientData/>
  </xdr:twoCellAnchor>
  <xdr:twoCellAnchor>
    <xdr:from>
      <xdr:col>0</xdr:col>
      <xdr:colOff>445168</xdr:colOff>
      <xdr:row>20</xdr:row>
      <xdr:rowOff>132848</xdr:rowOff>
    </xdr:from>
    <xdr:to>
      <xdr:col>2</xdr:col>
      <xdr:colOff>140368</xdr:colOff>
      <xdr:row>25</xdr:row>
      <xdr:rowOff>94748</xdr:rowOff>
    </xdr:to>
    <xdr:pic>
      <xdr:nvPicPr>
        <xdr:cNvPr id="26" name="Graphic 25" descr="Upward trend with solid fill">
          <a:hlinkClick xmlns:r="http://schemas.openxmlformats.org/officeDocument/2006/relationships" r:id="rId9"/>
          <a:extLst>
            <a:ext uri="{FF2B5EF4-FFF2-40B4-BE49-F238E27FC236}">
              <a16:creationId xmlns:a16="http://schemas.microsoft.com/office/drawing/2014/main" id="{8B300EF5-DF8C-4A7C-B9A6-FDB36C6022D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5168" y="3942848"/>
          <a:ext cx="918411" cy="914400"/>
        </a:xfrm>
        <a:prstGeom prst="rect">
          <a:avLst/>
        </a:prstGeom>
      </xdr:spPr>
    </xdr:pic>
    <xdr:clientData/>
  </xdr:twoCellAnchor>
  <xdr:twoCellAnchor>
    <xdr:from>
      <xdr:col>0</xdr:col>
      <xdr:colOff>405064</xdr:colOff>
      <xdr:row>28</xdr:row>
      <xdr:rowOff>64669</xdr:rowOff>
    </xdr:from>
    <xdr:to>
      <xdr:col>2</xdr:col>
      <xdr:colOff>100264</xdr:colOff>
      <xdr:row>33</xdr:row>
      <xdr:rowOff>26569</xdr:rowOff>
    </xdr:to>
    <xdr:pic>
      <xdr:nvPicPr>
        <xdr:cNvPr id="27" name="Graphic 26" descr="Clipboard with solid fill">
          <a:hlinkClick xmlns:r="http://schemas.openxmlformats.org/officeDocument/2006/relationships" r:id="rId12"/>
          <a:extLst>
            <a:ext uri="{FF2B5EF4-FFF2-40B4-BE49-F238E27FC236}">
              <a16:creationId xmlns:a16="http://schemas.microsoft.com/office/drawing/2014/main" id="{6CB6B2F1-640B-4B3C-96AF-E3BABA78888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05064" y="5398669"/>
          <a:ext cx="918411" cy="914400"/>
        </a:xfrm>
        <a:prstGeom prst="rect">
          <a:avLst/>
        </a:prstGeom>
      </xdr:spPr>
    </xdr:pic>
    <xdr:clientData/>
  </xdr:twoCellAnchor>
  <xdr:twoCellAnchor>
    <xdr:from>
      <xdr:col>0</xdr:col>
      <xdr:colOff>465222</xdr:colOff>
      <xdr:row>9</xdr:row>
      <xdr:rowOff>164931</xdr:rowOff>
    </xdr:from>
    <xdr:to>
      <xdr:col>2</xdr:col>
      <xdr:colOff>174456</xdr:colOff>
      <xdr:row>12</xdr:row>
      <xdr:rowOff>24563</xdr:rowOff>
    </xdr:to>
    <xdr:sp macro="" textlink="">
      <xdr:nvSpPr>
        <xdr:cNvPr id="28" name="TextBox 27">
          <a:extLst>
            <a:ext uri="{FF2B5EF4-FFF2-40B4-BE49-F238E27FC236}">
              <a16:creationId xmlns:a16="http://schemas.microsoft.com/office/drawing/2014/main" id="{06F4683F-6CC9-4794-942F-91619DD60675}"/>
            </a:ext>
          </a:extLst>
        </xdr:cNvPr>
        <xdr:cNvSpPr txBox="1"/>
      </xdr:nvSpPr>
      <xdr:spPr>
        <a:xfrm>
          <a:off x="465222" y="1879431"/>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HOME</a:t>
          </a:r>
        </a:p>
      </xdr:txBody>
    </xdr:sp>
    <xdr:clientData/>
  </xdr:twoCellAnchor>
  <xdr:twoCellAnchor>
    <xdr:from>
      <xdr:col>0</xdr:col>
      <xdr:colOff>517359</xdr:colOff>
      <xdr:row>17</xdr:row>
      <xdr:rowOff>96752</xdr:rowOff>
    </xdr:from>
    <xdr:to>
      <xdr:col>2</xdr:col>
      <xdr:colOff>226593</xdr:colOff>
      <xdr:row>19</xdr:row>
      <xdr:rowOff>146884</xdr:rowOff>
    </xdr:to>
    <xdr:sp macro="" textlink="">
      <xdr:nvSpPr>
        <xdr:cNvPr id="29" name="TextBox 28">
          <a:extLst>
            <a:ext uri="{FF2B5EF4-FFF2-40B4-BE49-F238E27FC236}">
              <a16:creationId xmlns:a16="http://schemas.microsoft.com/office/drawing/2014/main" id="{69E5A493-1581-48E6-86D5-5884D80D59A3}"/>
            </a:ext>
          </a:extLst>
        </xdr:cNvPr>
        <xdr:cNvSpPr txBox="1"/>
      </xdr:nvSpPr>
      <xdr:spPr>
        <a:xfrm>
          <a:off x="517359" y="3335252"/>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Sales</a:t>
          </a:r>
        </a:p>
      </xdr:txBody>
    </xdr:sp>
    <xdr:clientData/>
  </xdr:twoCellAnchor>
  <xdr:twoCellAnchor>
    <xdr:from>
      <xdr:col>0</xdr:col>
      <xdr:colOff>489285</xdr:colOff>
      <xdr:row>24</xdr:row>
      <xdr:rowOff>148889</xdr:rowOff>
    </xdr:from>
    <xdr:to>
      <xdr:col>2</xdr:col>
      <xdr:colOff>198519</xdr:colOff>
      <xdr:row>27</xdr:row>
      <xdr:rowOff>8521</xdr:rowOff>
    </xdr:to>
    <xdr:sp macro="" textlink="">
      <xdr:nvSpPr>
        <xdr:cNvPr id="30" name="TextBox 29">
          <a:extLst>
            <a:ext uri="{FF2B5EF4-FFF2-40B4-BE49-F238E27FC236}">
              <a16:creationId xmlns:a16="http://schemas.microsoft.com/office/drawing/2014/main" id="{8480F136-3FB5-45DB-95A2-5362A1FBAC8B}"/>
            </a:ext>
          </a:extLst>
        </xdr:cNvPr>
        <xdr:cNvSpPr txBox="1"/>
      </xdr:nvSpPr>
      <xdr:spPr>
        <a:xfrm>
          <a:off x="489285" y="4720889"/>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Profit</a:t>
          </a:r>
        </a:p>
      </xdr:txBody>
    </xdr:sp>
    <xdr:clientData/>
  </xdr:twoCellAnchor>
  <xdr:twoCellAnchor>
    <xdr:from>
      <xdr:col>0</xdr:col>
      <xdr:colOff>290763</xdr:colOff>
      <xdr:row>32</xdr:row>
      <xdr:rowOff>100763</xdr:rowOff>
    </xdr:from>
    <xdr:to>
      <xdr:col>2</xdr:col>
      <xdr:colOff>385010</xdr:colOff>
      <xdr:row>34</xdr:row>
      <xdr:rowOff>150895</xdr:rowOff>
    </xdr:to>
    <xdr:sp macro="" textlink="">
      <xdr:nvSpPr>
        <xdr:cNvPr id="31" name="TextBox 30">
          <a:extLst>
            <a:ext uri="{FF2B5EF4-FFF2-40B4-BE49-F238E27FC236}">
              <a16:creationId xmlns:a16="http://schemas.microsoft.com/office/drawing/2014/main" id="{A2CC4E8A-31B2-430E-9797-C0132E4794CD}"/>
            </a:ext>
          </a:extLst>
        </xdr:cNvPr>
        <xdr:cNvSpPr txBox="1"/>
      </xdr:nvSpPr>
      <xdr:spPr>
        <a:xfrm>
          <a:off x="290763" y="6196763"/>
          <a:ext cx="1317458"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About</a:t>
          </a:r>
          <a:r>
            <a:rPr lang="en-US" sz="2000" b="0" baseline="0">
              <a:solidFill>
                <a:schemeClr val="tx1"/>
              </a:solidFill>
              <a:latin typeface="Britannic Bold" panose="020B0903060703020204" pitchFamily="34" charset="0"/>
              <a:ea typeface="+mn-ea"/>
              <a:cs typeface="+mn-cs"/>
            </a:rPr>
            <a:t> Me</a:t>
          </a:r>
          <a:endParaRPr lang="en-US" sz="2000" b="0">
            <a:solidFill>
              <a:schemeClr val="tx1"/>
            </a:solidFill>
            <a:latin typeface="Britannic Bold" panose="020B0903060703020204" pitchFamily="34" charset="0"/>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165434</xdr:colOff>
      <xdr:row>36</xdr:row>
      <xdr:rowOff>57150</xdr:rowOff>
    </xdr:to>
    <xdr:sp macro="" textlink="">
      <xdr:nvSpPr>
        <xdr:cNvPr id="2" name="Rectangle 1">
          <a:extLst>
            <a:ext uri="{FF2B5EF4-FFF2-40B4-BE49-F238E27FC236}">
              <a16:creationId xmlns:a16="http://schemas.microsoft.com/office/drawing/2014/main" id="{C683C65D-61C6-4431-880D-293533A7D96B}"/>
            </a:ext>
          </a:extLst>
        </xdr:cNvPr>
        <xdr:cNvSpPr/>
      </xdr:nvSpPr>
      <xdr:spPr>
        <a:xfrm>
          <a:off x="0" y="0"/>
          <a:ext cx="9919034" cy="69151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114300</xdr:rowOff>
    </xdr:from>
    <xdr:to>
      <xdr:col>16</xdr:col>
      <xdr:colOff>11029</xdr:colOff>
      <xdr:row>4</xdr:row>
      <xdr:rowOff>19050</xdr:rowOff>
    </xdr:to>
    <xdr:sp macro="" textlink="">
      <xdr:nvSpPr>
        <xdr:cNvPr id="3" name="Rectangle: Rounded Corners 2">
          <a:extLst>
            <a:ext uri="{FF2B5EF4-FFF2-40B4-BE49-F238E27FC236}">
              <a16:creationId xmlns:a16="http://schemas.microsoft.com/office/drawing/2014/main" id="{EBCFD34C-E479-450B-BDE4-FF99179BDFC3}"/>
            </a:ext>
          </a:extLst>
        </xdr:cNvPr>
        <xdr:cNvSpPr/>
      </xdr:nvSpPr>
      <xdr:spPr>
        <a:xfrm>
          <a:off x="85725" y="114300"/>
          <a:ext cx="9678904" cy="666750"/>
        </a:xfrm>
        <a:prstGeom prst="roundRect">
          <a:avLst>
            <a:gd name="adj" fmla="val 2523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272715</xdr:colOff>
      <xdr:row>1</xdr:row>
      <xdr:rowOff>0</xdr:rowOff>
    </xdr:from>
    <xdr:to>
      <xdr:col>13</xdr:col>
      <xdr:colOff>14537</xdr:colOff>
      <xdr:row>3</xdr:row>
      <xdr:rowOff>142875</xdr:rowOff>
    </xdr:to>
    <xdr:sp macro="" textlink="">
      <xdr:nvSpPr>
        <xdr:cNvPr id="4" name="TextBox 3">
          <a:extLst>
            <a:ext uri="{FF2B5EF4-FFF2-40B4-BE49-F238E27FC236}">
              <a16:creationId xmlns:a16="http://schemas.microsoft.com/office/drawing/2014/main" id="{4A1E5B6C-8BE6-4978-9351-A8FDC41BBE5F}"/>
            </a:ext>
          </a:extLst>
        </xdr:cNvPr>
        <xdr:cNvSpPr txBox="1"/>
      </xdr:nvSpPr>
      <xdr:spPr>
        <a:xfrm>
          <a:off x="2101515" y="190500"/>
          <a:ext cx="583782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chemeClr val="tx1"/>
              </a:solidFill>
              <a:latin typeface="Britannic Bold" panose="020B0903060703020204" pitchFamily="34" charset="0"/>
            </a:rPr>
            <a:t>Sales Dashboard</a:t>
          </a:r>
          <a:r>
            <a:rPr lang="en-IN" sz="2800" b="0" baseline="0">
              <a:solidFill>
                <a:schemeClr val="tx1"/>
              </a:solidFill>
              <a:latin typeface="Britannic Bold" panose="020B0903060703020204" pitchFamily="34" charset="0"/>
            </a:rPr>
            <a:t> 2024-2025</a:t>
          </a:r>
          <a:endParaRPr lang="en-IN" sz="2800" b="0">
            <a:solidFill>
              <a:schemeClr val="tx1"/>
            </a:solidFill>
            <a:latin typeface="Britannic Bold" panose="020B0903060703020204" pitchFamily="34" charset="0"/>
          </a:endParaRPr>
        </a:p>
      </xdr:txBody>
    </xdr:sp>
    <xdr:clientData/>
  </xdr:twoCellAnchor>
  <xdr:twoCellAnchor>
    <xdr:from>
      <xdr:col>0</xdr:col>
      <xdr:colOff>85725</xdr:colOff>
      <xdr:row>4</xdr:row>
      <xdr:rowOff>180975</xdr:rowOff>
    </xdr:from>
    <xdr:to>
      <xdr:col>2</xdr:col>
      <xdr:colOff>461211</xdr:colOff>
      <xdr:row>35</xdr:row>
      <xdr:rowOff>152400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D92C0AC-16B0-4386-818F-4463EF71E394}"/>
            </a:ext>
          </a:extLst>
        </xdr:cNvPr>
        <xdr:cNvSpPr/>
      </xdr:nvSpPr>
      <xdr:spPr>
        <a:xfrm>
          <a:off x="85725" y="942975"/>
          <a:ext cx="1594686" cy="58769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224590</xdr:colOff>
      <xdr:row>5</xdr:row>
      <xdr:rowOff>117306</xdr:rowOff>
    </xdr:from>
    <xdr:to>
      <xdr:col>2</xdr:col>
      <xdr:colOff>357438</xdr:colOff>
      <xdr:row>12</xdr:row>
      <xdr:rowOff>74695</xdr:rowOff>
    </xdr:to>
    <xdr:sp macro="" textlink="">
      <xdr:nvSpPr>
        <xdr:cNvPr id="13" name="Rectangle: Rounded Corners 12">
          <a:extLst>
            <a:ext uri="{FF2B5EF4-FFF2-40B4-BE49-F238E27FC236}">
              <a16:creationId xmlns:a16="http://schemas.microsoft.com/office/drawing/2014/main" id="{329D3DD5-4980-46E6-B89B-DD77B185ACCA}"/>
            </a:ext>
          </a:extLst>
        </xdr:cNvPr>
        <xdr:cNvSpPr/>
      </xdr:nvSpPr>
      <xdr:spPr>
        <a:xfrm>
          <a:off x="224590" y="1069806"/>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408072</xdr:colOff>
      <xdr:row>5</xdr:row>
      <xdr:rowOff>90236</xdr:rowOff>
    </xdr:from>
    <xdr:to>
      <xdr:col>2</xdr:col>
      <xdr:colOff>107283</xdr:colOff>
      <xdr:row>10</xdr:row>
      <xdr:rowOff>52136</xdr:rowOff>
    </xdr:to>
    <xdr:pic>
      <xdr:nvPicPr>
        <xdr:cNvPr id="14" name="Graphic 13" descr="Briefcase with solid fill">
          <a:hlinkClick xmlns:r="http://schemas.openxmlformats.org/officeDocument/2006/relationships" r:id="rId2"/>
          <a:extLst>
            <a:ext uri="{FF2B5EF4-FFF2-40B4-BE49-F238E27FC236}">
              <a16:creationId xmlns:a16="http://schemas.microsoft.com/office/drawing/2014/main" id="{2EEBF1F1-53EB-427A-86DA-C54261D25F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8072" y="1042736"/>
          <a:ext cx="918411" cy="914400"/>
        </a:xfrm>
        <a:prstGeom prst="rect">
          <a:avLst/>
        </a:prstGeom>
      </xdr:spPr>
    </xdr:pic>
    <xdr:clientData/>
  </xdr:twoCellAnchor>
  <xdr:twoCellAnchor>
    <xdr:from>
      <xdr:col>0</xdr:col>
      <xdr:colOff>226595</xdr:colOff>
      <xdr:row>12</xdr:row>
      <xdr:rowOff>179469</xdr:rowOff>
    </xdr:from>
    <xdr:to>
      <xdr:col>2</xdr:col>
      <xdr:colOff>359443</xdr:colOff>
      <xdr:row>19</xdr:row>
      <xdr:rowOff>136858</xdr:rowOff>
    </xdr:to>
    <xdr:sp macro="" textlink="">
      <xdr:nvSpPr>
        <xdr:cNvPr id="15" name="Rectangle: Rounded Corners 14">
          <a:extLst>
            <a:ext uri="{FF2B5EF4-FFF2-40B4-BE49-F238E27FC236}">
              <a16:creationId xmlns:a16="http://schemas.microsoft.com/office/drawing/2014/main" id="{976C7773-A07C-4398-BEAC-18DD3FD08918}"/>
            </a:ext>
          </a:extLst>
        </xdr:cNvPr>
        <xdr:cNvSpPr/>
      </xdr:nvSpPr>
      <xdr:spPr>
        <a:xfrm>
          <a:off x="226595" y="2465469"/>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228601</xdr:colOff>
      <xdr:row>20</xdr:row>
      <xdr:rowOff>71185</xdr:rowOff>
    </xdr:from>
    <xdr:to>
      <xdr:col>2</xdr:col>
      <xdr:colOff>361449</xdr:colOff>
      <xdr:row>27</xdr:row>
      <xdr:rowOff>28574</xdr:rowOff>
    </xdr:to>
    <xdr:sp macro="" textlink="">
      <xdr:nvSpPr>
        <xdr:cNvPr id="16" name="Rectangle: Rounded Corners 15">
          <a:extLst>
            <a:ext uri="{FF2B5EF4-FFF2-40B4-BE49-F238E27FC236}">
              <a16:creationId xmlns:a16="http://schemas.microsoft.com/office/drawing/2014/main" id="{2712CFC2-5E46-49B3-982D-FF9DC6497FF2}"/>
            </a:ext>
          </a:extLst>
        </xdr:cNvPr>
        <xdr:cNvSpPr/>
      </xdr:nvSpPr>
      <xdr:spPr>
        <a:xfrm>
          <a:off x="228601" y="3881185"/>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210553</xdr:colOff>
      <xdr:row>27</xdr:row>
      <xdr:rowOff>163427</xdr:rowOff>
    </xdr:from>
    <xdr:to>
      <xdr:col>2</xdr:col>
      <xdr:colOff>343401</xdr:colOff>
      <xdr:row>34</xdr:row>
      <xdr:rowOff>120816</xdr:rowOff>
    </xdr:to>
    <xdr:sp macro="" textlink="">
      <xdr:nvSpPr>
        <xdr:cNvPr id="17" name="Rectangle: Rounded Corners 16">
          <a:extLst>
            <a:ext uri="{FF2B5EF4-FFF2-40B4-BE49-F238E27FC236}">
              <a16:creationId xmlns:a16="http://schemas.microsoft.com/office/drawing/2014/main" id="{E73B57EE-5CC7-4981-84E6-706A7B895437}"/>
            </a:ext>
          </a:extLst>
        </xdr:cNvPr>
        <xdr:cNvSpPr/>
      </xdr:nvSpPr>
      <xdr:spPr>
        <a:xfrm>
          <a:off x="210553" y="5306927"/>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406568</xdr:colOff>
      <xdr:row>13</xdr:row>
      <xdr:rowOff>21555</xdr:rowOff>
    </xdr:from>
    <xdr:to>
      <xdr:col>2</xdr:col>
      <xdr:colOff>105779</xdr:colOff>
      <xdr:row>17</xdr:row>
      <xdr:rowOff>173955</xdr:rowOff>
    </xdr:to>
    <xdr:pic>
      <xdr:nvPicPr>
        <xdr:cNvPr id="18" name="Graphic 17" descr="Bar graph with upward trend with solid fill">
          <a:hlinkClick xmlns:r="http://schemas.openxmlformats.org/officeDocument/2006/relationships" r:id="rId1"/>
          <a:extLst>
            <a:ext uri="{FF2B5EF4-FFF2-40B4-BE49-F238E27FC236}">
              <a16:creationId xmlns:a16="http://schemas.microsoft.com/office/drawing/2014/main" id="{AEDF8F4B-7998-44D8-B0BA-B554D2726D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6568" y="2498055"/>
          <a:ext cx="918411" cy="914400"/>
        </a:xfrm>
        <a:prstGeom prst="rect">
          <a:avLst/>
        </a:prstGeom>
      </xdr:spPr>
    </xdr:pic>
    <xdr:clientData/>
  </xdr:twoCellAnchor>
  <xdr:twoCellAnchor>
    <xdr:from>
      <xdr:col>0</xdr:col>
      <xdr:colOff>445168</xdr:colOff>
      <xdr:row>20</xdr:row>
      <xdr:rowOff>132848</xdr:rowOff>
    </xdr:from>
    <xdr:to>
      <xdr:col>2</xdr:col>
      <xdr:colOff>144379</xdr:colOff>
      <xdr:row>25</xdr:row>
      <xdr:rowOff>94748</xdr:rowOff>
    </xdr:to>
    <xdr:pic>
      <xdr:nvPicPr>
        <xdr:cNvPr id="19" name="Graphic 18" descr="Upward trend with solid fill">
          <a:hlinkClick xmlns:r="http://schemas.openxmlformats.org/officeDocument/2006/relationships" r:id="rId7"/>
          <a:extLst>
            <a:ext uri="{FF2B5EF4-FFF2-40B4-BE49-F238E27FC236}">
              <a16:creationId xmlns:a16="http://schemas.microsoft.com/office/drawing/2014/main" id="{2B7B9BE5-9D52-474D-B93C-281F86DA8C4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45168" y="3942848"/>
          <a:ext cx="918411" cy="914400"/>
        </a:xfrm>
        <a:prstGeom prst="rect">
          <a:avLst/>
        </a:prstGeom>
      </xdr:spPr>
    </xdr:pic>
    <xdr:clientData/>
  </xdr:twoCellAnchor>
  <xdr:twoCellAnchor>
    <xdr:from>
      <xdr:col>0</xdr:col>
      <xdr:colOff>405064</xdr:colOff>
      <xdr:row>28</xdr:row>
      <xdr:rowOff>64669</xdr:rowOff>
    </xdr:from>
    <xdr:to>
      <xdr:col>2</xdr:col>
      <xdr:colOff>104275</xdr:colOff>
      <xdr:row>33</xdr:row>
      <xdr:rowOff>26569</xdr:rowOff>
    </xdr:to>
    <xdr:pic>
      <xdr:nvPicPr>
        <xdr:cNvPr id="20" name="Graphic 19" descr="Clipboard with solid fill">
          <a:hlinkClick xmlns:r="http://schemas.openxmlformats.org/officeDocument/2006/relationships" r:id="rId10"/>
          <a:extLst>
            <a:ext uri="{FF2B5EF4-FFF2-40B4-BE49-F238E27FC236}">
              <a16:creationId xmlns:a16="http://schemas.microsoft.com/office/drawing/2014/main" id="{4647048C-11E1-426A-9F75-6C8C676750B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5064" y="5398669"/>
          <a:ext cx="918411" cy="914400"/>
        </a:xfrm>
        <a:prstGeom prst="rect">
          <a:avLst/>
        </a:prstGeom>
      </xdr:spPr>
    </xdr:pic>
    <xdr:clientData/>
  </xdr:twoCellAnchor>
  <xdr:twoCellAnchor>
    <xdr:from>
      <xdr:col>0</xdr:col>
      <xdr:colOff>465222</xdr:colOff>
      <xdr:row>9</xdr:row>
      <xdr:rowOff>164931</xdr:rowOff>
    </xdr:from>
    <xdr:to>
      <xdr:col>2</xdr:col>
      <xdr:colOff>178467</xdr:colOff>
      <xdr:row>12</xdr:row>
      <xdr:rowOff>24563</xdr:rowOff>
    </xdr:to>
    <xdr:sp macro="" textlink="">
      <xdr:nvSpPr>
        <xdr:cNvPr id="21" name="TextBox 20">
          <a:extLst>
            <a:ext uri="{FF2B5EF4-FFF2-40B4-BE49-F238E27FC236}">
              <a16:creationId xmlns:a16="http://schemas.microsoft.com/office/drawing/2014/main" id="{5203443D-26A2-440F-8B57-3C85AB4BFD6D}"/>
            </a:ext>
          </a:extLst>
        </xdr:cNvPr>
        <xdr:cNvSpPr txBox="1"/>
      </xdr:nvSpPr>
      <xdr:spPr>
        <a:xfrm>
          <a:off x="465222" y="1879431"/>
          <a:ext cx="932445" cy="43113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HOME</a:t>
          </a:r>
        </a:p>
      </xdr:txBody>
    </xdr:sp>
    <xdr:clientData/>
  </xdr:twoCellAnchor>
  <xdr:twoCellAnchor>
    <xdr:from>
      <xdr:col>0</xdr:col>
      <xdr:colOff>517359</xdr:colOff>
      <xdr:row>17</xdr:row>
      <xdr:rowOff>96752</xdr:rowOff>
    </xdr:from>
    <xdr:to>
      <xdr:col>2</xdr:col>
      <xdr:colOff>230604</xdr:colOff>
      <xdr:row>19</xdr:row>
      <xdr:rowOff>146884</xdr:rowOff>
    </xdr:to>
    <xdr:sp macro="" textlink="">
      <xdr:nvSpPr>
        <xdr:cNvPr id="22" name="TextBox 21">
          <a:extLst>
            <a:ext uri="{FF2B5EF4-FFF2-40B4-BE49-F238E27FC236}">
              <a16:creationId xmlns:a16="http://schemas.microsoft.com/office/drawing/2014/main" id="{DF294D87-1487-4D27-A4D1-EA0BD4D48B6B}"/>
            </a:ext>
          </a:extLst>
        </xdr:cNvPr>
        <xdr:cNvSpPr txBox="1"/>
      </xdr:nvSpPr>
      <xdr:spPr>
        <a:xfrm>
          <a:off x="517359" y="3335252"/>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Sales</a:t>
          </a:r>
        </a:p>
      </xdr:txBody>
    </xdr:sp>
    <xdr:clientData/>
  </xdr:twoCellAnchor>
  <xdr:twoCellAnchor>
    <xdr:from>
      <xdr:col>0</xdr:col>
      <xdr:colOff>489285</xdr:colOff>
      <xdr:row>24</xdr:row>
      <xdr:rowOff>148889</xdr:rowOff>
    </xdr:from>
    <xdr:to>
      <xdr:col>2</xdr:col>
      <xdr:colOff>202530</xdr:colOff>
      <xdr:row>27</xdr:row>
      <xdr:rowOff>8521</xdr:rowOff>
    </xdr:to>
    <xdr:sp macro="" textlink="">
      <xdr:nvSpPr>
        <xdr:cNvPr id="23" name="TextBox 22">
          <a:extLst>
            <a:ext uri="{FF2B5EF4-FFF2-40B4-BE49-F238E27FC236}">
              <a16:creationId xmlns:a16="http://schemas.microsoft.com/office/drawing/2014/main" id="{0343C80D-2347-4A2A-B9B8-C8A396F48FAD}"/>
            </a:ext>
          </a:extLst>
        </xdr:cNvPr>
        <xdr:cNvSpPr txBox="1"/>
      </xdr:nvSpPr>
      <xdr:spPr>
        <a:xfrm>
          <a:off x="489285" y="4720889"/>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Profit</a:t>
          </a:r>
        </a:p>
      </xdr:txBody>
    </xdr:sp>
    <xdr:clientData/>
  </xdr:twoCellAnchor>
  <xdr:twoCellAnchor>
    <xdr:from>
      <xdr:col>0</xdr:col>
      <xdr:colOff>290763</xdr:colOff>
      <xdr:row>32</xdr:row>
      <xdr:rowOff>100763</xdr:rowOff>
    </xdr:from>
    <xdr:to>
      <xdr:col>2</xdr:col>
      <xdr:colOff>389021</xdr:colOff>
      <xdr:row>34</xdr:row>
      <xdr:rowOff>150895</xdr:rowOff>
    </xdr:to>
    <xdr:sp macro="" textlink="">
      <xdr:nvSpPr>
        <xdr:cNvPr id="24" name="TextBox 23">
          <a:extLst>
            <a:ext uri="{FF2B5EF4-FFF2-40B4-BE49-F238E27FC236}">
              <a16:creationId xmlns:a16="http://schemas.microsoft.com/office/drawing/2014/main" id="{AB8883D1-2604-4308-80B5-C4AA2D4D7E91}"/>
            </a:ext>
          </a:extLst>
        </xdr:cNvPr>
        <xdr:cNvSpPr txBox="1"/>
      </xdr:nvSpPr>
      <xdr:spPr>
        <a:xfrm>
          <a:off x="290763" y="6196763"/>
          <a:ext cx="1317458"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About</a:t>
          </a:r>
          <a:r>
            <a:rPr lang="en-US" sz="2000" b="0" baseline="0">
              <a:solidFill>
                <a:schemeClr val="tx1"/>
              </a:solidFill>
              <a:latin typeface="Britannic Bold" panose="020B0903060703020204" pitchFamily="34" charset="0"/>
              <a:ea typeface="+mn-ea"/>
              <a:cs typeface="+mn-cs"/>
            </a:rPr>
            <a:t> Me</a:t>
          </a:r>
          <a:endParaRPr lang="en-US" sz="2000" b="0">
            <a:solidFill>
              <a:schemeClr val="tx1"/>
            </a:solidFill>
            <a:latin typeface="Britannic Bold" panose="020B0903060703020204" pitchFamily="34" charset="0"/>
            <a:ea typeface="+mn-ea"/>
            <a:cs typeface="+mn-cs"/>
          </a:endParaRPr>
        </a:p>
      </xdr:txBody>
    </xdr:sp>
    <xdr:clientData/>
  </xdr:twoCellAnchor>
  <xdr:twoCellAnchor>
    <xdr:from>
      <xdr:col>3</xdr:col>
      <xdr:colOff>66174</xdr:colOff>
      <xdr:row>5</xdr:row>
      <xdr:rowOff>59155</xdr:rowOff>
    </xdr:from>
    <xdr:to>
      <xdr:col>15</xdr:col>
      <xdr:colOff>581526</xdr:colOff>
      <xdr:row>14</xdr:row>
      <xdr:rowOff>140368</xdr:rowOff>
    </xdr:to>
    <xdr:sp macro="" textlink="">
      <xdr:nvSpPr>
        <xdr:cNvPr id="25" name="Rectangle: Rounded Corners 24">
          <a:extLst>
            <a:ext uri="{FF2B5EF4-FFF2-40B4-BE49-F238E27FC236}">
              <a16:creationId xmlns:a16="http://schemas.microsoft.com/office/drawing/2014/main" id="{20F42E65-F08B-45ED-99A5-849062E363B9}"/>
            </a:ext>
          </a:extLst>
        </xdr:cNvPr>
        <xdr:cNvSpPr/>
      </xdr:nvSpPr>
      <xdr:spPr>
        <a:xfrm>
          <a:off x="1900990" y="1011655"/>
          <a:ext cx="7854615" cy="1795713"/>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130342</xdr:colOff>
      <xdr:row>6</xdr:row>
      <xdr:rowOff>10027</xdr:rowOff>
    </xdr:from>
    <xdr:to>
      <xdr:col>15</xdr:col>
      <xdr:colOff>411079</xdr:colOff>
      <xdr:row>14</xdr:row>
      <xdr:rowOff>120316</xdr:rowOff>
    </xdr:to>
    <xdr:sp macro="" textlink="">
      <xdr:nvSpPr>
        <xdr:cNvPr id="26" name="TextBox 25">
          <a:extLst>
            <a:ext uri="{FF2B5EF4-FFF2-40B4-BE49-F238E27FC236}">
              <a16:creationId xmlns:a16="http://schemas.microsoft.com/office/drawing/2014/main" id="{635A6584-88BB-475A-ACF3-B115EB26657D}"/>
            </a:ext>
          </a:extLst>
        </xdr:cNvPr>
        <xdr:cNvSpPr txBox="1"/>
      </xdr:nvSpPr>
      <xdr:spPr>
        <a:xfrm>
          <a:off x="1965158" y="1153027"/>
          <a:ext cx="7620000" cy="163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Cambria" panose="02040503050406030204" pitchFamily="18" charset="0"/>
              <a:ea typeface="Cambria" panose="02040503050406030204" pitchFamily="18" charset="0"/>
            </a:rPr>
            <a:t>Hello! My name is Aakash</a:t>
          </a:r>
          <a:r>
            <a:rPr lang="en-US" sz="1600" b="0" baseline="0">
              <a:latin typeface="Cambria" panose="02040503050406030204" pitchFamily="18" charset="0"/>
              <a:ea typeface="Cambria" panose="02040503050406030204" pitchFamily="18" charset="0"/>
            </a:rPr>
            <a:t> Sosa</a:t>
          </a:r>
          <a:r>
            <a:rPr lang="en-US" sz="1600" b="0">
              <a:latin typeface="Cambria" panose="02040503050406030204" pitchFamily="18" charset="0"/>
              <a:ea typeface="Cambria" panose="02040503050406030204" pitchFamily="18" charset="0"/>
            </a:rPr>
            <a:t>. I am passionate about data analysis, technology, and creating solutions that make complex information easier to understand. I enjoy working with tools like Excel, SQL, and Python to transform raw data into meaningful insights.</a:t>
          </a:r>
        </a:p>
        <a:p>
          <a:r>
            <a:rPr lang="en-US" sz="1600" b="0">
              <a:latin typeface="Cambria" panose="02040503050406030204" pitchFamily="18" charset="0"/>
              <a:ea typeface="Cambria" panose="02040503050406030204" pitchFamily="18" charset="0"/>
            </a:rPr>
            <a:t>In my free time, I like exploring new technologies, experimenting with dashboards, and continuously improving my problem-solving and analytical skills.</a:t>
          </a:r>
        </a:p>
        <a:p>
          <a:endParaRPr lang="en-US" sz="1100" b="1">
            <a:latin typeface="Arial Rounded MT Bold" panose="020F0704030504030204" pitchFamily="34" charset="0"/>
          </a:endParaRPr>
        </a:p>
      </xdr:txBody>
    </xdr:sp>
    <xdr:clientData/>
  </xdr:twoCellAnchor>
  <xdr:twoCellAnchor>
    <xdr:from>
      <xdr:col>3</xdr:col>
      <xdr:colOff>38100</xdr:colOff>
      <xdr:row>15</xdr:row>
      <xdr:rowOff>51134</xdr:rowOff>
    </xdr:from>
    <xdr:to>
      <xdr:col>16</xdr:col>
      <xdr:colOff>20053</xdr:colOff>
      <xdr:row>31</xdr:row>
      <xdr:rowOff>40105</xdr:rowOff>
    </xdr:to>
    <xdr:sp macro="" textlink="">
      <xdr:nvSpPr>
        <xdr:cNvPr id="27" name="Rectangle: Rounded Corners 26">
          <a:extLst>
            <a:ext uri="{FF2B5EF4-FFF2-40B4-BE49-F238E27FC236}">
              <a16:creationId xmlns:a16="http://schemas.microsoft.com/office/drawing/2014/main" id="{6A557D06-4594-4D04-9FD6-24C26CF665D5}"/>
            </a:ext>
          </a:extLst>
        </xdr:cNvPr>
        <xdr:cNvSpPr/>
      </xdr:nvSpPr>
      <xdr:spPr>
        <a:xfrm>
          <a:off x="1872916" y="2908634"/>
          <a:ext cx="7932821" cy="3036971"/>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50133</xdr:colOff>
      <xdr:row>15</xdr:row>
      <xdr:rowOff>80211</xdr:rowOff>
    </xdr:from>
    <xdr:to>
      <xdr:col>15</xdr:col>
      <xdr:colOff>581526</xdr:colOff>
      <xdr:row>31</xdr:row>
      <xdr:rowOff>10027</xdr:rowOff>
    </xdr:to>
    <xdr:sp macro="" textlink="">
      <xdr:nvSpPr>
        <xdr:cNvPr id="28" name="TextBox 27">
          <a:extLst>
            <a:ext uri="{FF2B5EF4-FFF2-40B4-BE49-F238E27FC236}">
              <a16:creationId xmlns:a16="http://schemas.microsoft.com/office/drawing/2014/main" id="{D8700C23-5BEE-442F-9BEA-62C32614F536}"/>
            </a:ext>
          </a:extLst>
        </xdr:cNvPr>
        <xdr:cNvSpPr txBox="1"/>
      </xdr:nvSpPr>
      <xdr:spPr>
        <a:xfrm>
          <a:off x="1884949" y="2937711"/>
          <a:ext cx="7870656" cy="2977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a:solidFill>
                <a:schemeClr val="dk1"/>
              </a:solidFill>
              <a:latin typeface="+mj-lt"/>
              <a:ea typeface="+mn-ea"/>
              <a:cs typeface="+mn-cs"/>
            </a:rPr>
            <a:t>About the Dashboard</a:t>
          </a:r>
        </a:p>
        <a:p>
          <a:pPr marL="0" indent="0"/>
          <a:r>
            <a:rPr lang="en-US" sz="1600" b="0">
              <a:solidFill>
                <a:schemeClr val="dk1"/>
              </a:solidFill>
              <a:latin typeface="+mj-lt"/>
              <a:ea typeface="+mn-ea"/>
              <a:cs typeface="+mn-cs"/>
            </a:rPr>
            <a:t>This dashboard was designed to analyze and visualize data from the provided dataset in a clear and interactive way. It includes features such as:</a:t>
          </a:r>
        </a:p>
        <a:p>
          <a:pPr marL="0" indent="0"/>
          <a:r>
            <a:rPr lang="en-US" sz="1600" b="1">
              <a:solidFill>
                <a:schemeClr val="dk1"/>
              </a:solidFill>
              <a:latin typeface="+mj-lt"/>
              <a:ea typeface="+mn-ea"/>
              <a:cs typeface="+mn-cs"/>
            </a:rPr>
            <a:t>Data Summary</a:t>
          </a:r>
          <a:r>
            <a:rPr lang="en-US" sz="1600" b="0">
              <a:solidFill>
                <a:schemeClr val="dk1"/>
              </a:solidFill>
              <a:latin typeface="+mj-lt"/>
              <a:ea typeface="+mn-ea"/>
              <a:cs typeface="+mn-cs"/>
            </a:rPr>
            <a:t>: A quick overview of the key metrics.</a:t>
          </a:r>
        </a:p>
        <a:p>
          <a:pPr marL="0" indent="0"/>
          <a:r>
            <a:rPr lang="en-US" sz="1600" b="1">
              <a:solidFill>
                <a:schemeClr val="dk1"/>
              </a:solidFill>
              <a:latin typeface="+mj-lt"/>
              <a:ea typeface="+mn-ea"/>
              <a:cs typeface="+mn-cs"/>
            </a:rPr>
            <a:t>Interactive Charts</a:t>
          </a:r>
          <a:r>
            <a:rPr lang="en-US" sz="1600" b="0">
              <a:solidFill>
                <a:schemeClr val="dk1"/>
              </a:solidFill>
              <a:latin typeface="+mj-lt"/>
              <a:ea typeface="+mn-ea"/>
              <a:cs typeface="+mn-cs"/>
            </a:rPr>
            <a:t>: Visual representations to identify patterns and trends.</a:t>
          </a:r>
        </a:p>
        <a:p>
          <a:pPr marL="0" indent="0"/>
          <a:r>
            <a:rPr lang="en-US" sz="1600" b="1">
              <a:solidFill>
                <a:schemeClr val="dk1"/>
              </a:solidFill>
              <a:latin typeface="+mj-lt"/>
              <a:ea typeface="+mn-ea"/>
              <a:cs typeface="+mn-cs"/>
            </a:rPr>
            <a:t>Filters &amp; Drill-Downs</a:t>
          </a:r>
          <a:r>
            <a:rPr lang="en-US" sz="1600" b="0">
              <a:solidFill>
                <a:schemeClr val="dk1"/>
              </a:solidFill>
              <a:latin typeface="+mj-lt"/>
              <a:ea typeface="+mn-ea"/>
              <a:cs typeface="+mn-cs"/>
            </a:rPr>
            <a:t>: Options to explore specific details and focus on areas of interest.</a:t>
          </a:r>
        </a:p>
        <a:p>
          <a:pPr marL="0" indent="0"/>
          <a:r>
            <a:rPr lang="en-US" sz="1600" b="1">
              <a:solidFill>
                <a:schemeClr val="dk1"/>
              </a:solidFill>
              <a:latin typeface="+mj-lt"/>
              <a:ea typeface="+mn-ea"/>
              <a:cs typeface="+mn-cs"/>
            </a:rPr>
            <a:t>Insights &amp; Analysis</a:t>
          </a:r>
          <a:r>
            <a:rPr lang="en-US" sz="1600" b="0">
              <a:solidFill>
                <a:schemeClr val="dk1"/>
              </a:solidFill>
              <a:latin typeface="+mj-lt"/>
              <a:ea typeface="+mn-ea"/>
              <a:cs typeface="+mn-cs"/>
            </a:rPr>
            <a:t>: Helps in understanding performance, relationships, and decision-making factors.</a:t>
          </a:r>
        </a:p>
        <a:p>
          <a:pPr marL="0" indent="0"/>
          <a:r>
            <a:rPr lang="en-US" sz="1600" b="0">
              <a:solidFill>
                <a:schemeClr val="dk1"/>
              </a:solidFill>
              <a:latin typeface="+mj-lt"/>
              <a:ea typeface="+mn-ea"/>
              <a:cs typeface="+mn-cs"/>
            </a:rPr>
            <a:t>The purpose of this dashboard is to simplify data exploration, highlight important insights, and provide a user-friendly way to interact with the dataset. It can be used by students, professionals, or anyone who wants to make data-driven decisions more effectively.</a:t>
          </a:r>
        </a:p>
        <a:p>
          <a:endParaRPr lang="en-US" sz="1100"/>
        </a:p>
      </xdr:txBody>
    </xdr:sp>
    <xdr:clientData/>
  </xdr:twoCellAnchor>
  <xdr:twoCellAnchor>
    <xdr:from>
      <xdr:col>3</xdr:col>
      <xdr:colOff>40106</xdr:colOff>
      <xdr:row>32</xdr:row>
      <xdr:rowOff>20053</xdr:rowOff>
    </xdr:from>
    <xdr:to>
      <xdr:col>16</xdr:col>
      <xdr:colOff>22059</xdr:colOff>
      <xdr:row>35</xdr:row>
      <xdr:rowOff>170446</xdr:rowOff>
    </xdr:to>
    <xdr:sp macro="" textlink="">
      <xdr:nvSpPr>
        <xdr:cNvPr id="6" name="Rectangle: Rounded Corners 5">
          <a:extLst>
            <a:ext uri="{FF2B5EF4-FFF2-40B4-BE49-F238E27FC236}">
              <a16:creationId xmlns:a16="http://schemas.microsoft.com/office/drawing/2014/main" id="{66BABF05-A8BD-466D-B7EA-ED045CD6E4C1}"/>
            </a:ext>
          </a:extLst>
        </xdr:cNvPr>
        <xdr:cNvSpPr/>
      </xdr:nvSpPr>
      <xdr:spPr>
        <a:xfrm>
          <a:off x="1874922" y="6116053"/>
          <a:ext cx="7932821" cy="721893"/>
        </a:xfrm>
        <a:prstGeom prst="roundRect">
          <a:avLst>
            <a:gd name="adj" fmla="val 13174"/>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133350</xdr:colOff>
      <xdr:row>36</xdr:row>
      <xdr:rowOff>57150</xdr:rowOff>
    </xdr:to>
    <xdr:sp macro="" textlink="">
      <xdr:nvSpPr>
        <xdr:cNvPr id="2" name="Rectangle 1">
          <a:extLst>
            <a:ext uri="{FF2B5EF4-FFF2-40B4-BE49-F238E27FC236}">
              <a16:creationId xmlns:a16="http://schemas.microsoft.com/office/drawing/2014/main" id="{4A54DBF4-472D-472E-AD2F-D5C8CFB3D02A}"/>
            </a:ext>
          </a:extLst>
        </xdr:cNvPr>
        <xdr:cNvSpPr/>
      </xdr:nvSpPr>
      <xdr:spPr>
        <a:xfrm>
          <a:off x="0" y="0"/>
          <a:ext cx="9886950" cy="69151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114300</xdr:rowOff>
    </xdr:from>
    <xdr:to>
      <xdr:col>15</xdr:col>
      <xdr:colOff>590550</xdr:colOff>
      <xdr:row>4</xdr:row>
      <xdr:rowOff>19050</xdr:rowOff>
    </xdr:to>
    <xdr:sp macro="" textlink="">
      <xdr:nvSpPr>
        <xdr:cNvPr id="3" name="Rectangle: Rounded Corners 2">
          <a:extLst>
            <a:ext uri="{FF2B5EF4-FFF2-40B4-BE49-F238E27FC236}">
              <a16:creationId xmlns:a16="http://schemas.microsoft.com/office/drawing/2014/main" id="{4DC40C1A-E93D-4DD7-8534-D11A7CE92D5A}"/>
            </a:ext>
          </a:extLst>
        </xdr:cNvPr>
        <xdr:cNvSpPr/>
      </xdr:nvSpPr>
      <xdr:spPr>
        <a:xfrm>
          <a:off x="85725" y="114300"/>
          <a:ext cx="9648825" cy="666750"/>
        </a:xfrm>
        <a:prstGeom prst="roundRect">
          <a:avLst>
            <a:gd name="adj" fmla="val 2523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266699</xdr:colOff>
      <xdr:row>1</xdr:row>
      <xdr:rowOff>0</xdr:rowOff>
    </xdr:from>
    <xdr:to>
      <xdr:col>12</xdr:col>
      <xdr:colOff>600074</xdr:colOff>
      <xdr:row>3</xdr:row>
      <xdr:rowOff>142875</xdr:rowOff>
    </xdr:to>
    <xdr:sp macro="" textlink="">
      <xdr:nvSpPr>
        <xdr:cNvPr id="4" name="TextBox 3">
          <a:extLst>
            <a:ext uri="{FF2B5EF4-FFF2-40B4-BE49-F238E27FC236}">
              <a16:creationId xmlns:a16="http://schemas.microsoft.com/office/drawing/2014/main" id="{6D7B3BD9-2DFF-4805-8674-EF7C5C95C603}"/>
            </a:ext>
          </a:extLst>
        </xdr:cNvPr>
        <xdr:cNvSpPr txBox="1"/>
      </xdr:nvSpPr>
      <xdr:spPr>
        <a:xfrm>
          <a:off x="2095499" y="190500"/>
          <a:ext cx="58197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chemeClr val="tx1"/>
              </a:solidFill>
              <a:latin typeface="Britannic Bold" panose="020B0903060703020204" pitchFamily="34" charset="0"/>
            </a:rPr>
            <a:t>Sales Dashboard</a:t>
          </a:r>
          <a:r>
            <a:rPr lang="en-IN" sz="2800" b="0" baseline="0">
              <a:solidFill>
                <a:schemeClr val="tx1"/>
              </a:solidFill>
              <a:latin typeface="Britannic Bold" panose="020B0903060703020204" pitchFamily="34" charset="0"/>
            </a:rPr>
            <a:t> 2024-2025</a:t>
          </a:r>
          <a:endParaRPr lang="en-IN" sz="2800" b="0">
            <a:solidFill>
              <a:schemeClr val="tx1"/>
            </a:solidFill>
            <a:latin typeface="Britannic Bold" panose="020B0903060703020204" pitchFamily="34" charset="0"/>
          </a:endParaRPr>
        </a:p>
      </xdr:txBody>
    </xdr:sp>
    <xdr:clientData/>
  </xdr:twoCellAnchor>
  <xdr:twoCellAnchor>
    <xdr:from>
      <xdr:col>0</xdr:col>
      <xdr:colOff>85725</xdr:colOff>
      <xdr:row>4</xdr:row>
      <xdr:rowOff>180975</xdr:rowOff>
    </xdr:from>
    <xdr:to>
      <xdr:col>2</xdr:col>
      <xdr:colOff>457200</xdr:colOff>
      <xdr:row>35</xdr:row>
      <xdr:rowOff>152400</xdr:rowOff>
    </xdr:to>
    <xdr:sp macro="" textlink="">
      <xdr:nvSpPr>
        <xdr:cNvPr id="5" name="Rectangle: Rounded Corners 4">
          <a:extLst>
            <a:ext uri="{FF2B5EF4-FFF2-40B4-BE49-F238E27FC236}">
              <a16:creationId xmlns:a16="http://schemas.microsoft.com/office/drawing/2014/main" id="{7F3F9A8E-862E-4E9B-9F89-848CB5EE2F7B}"/>
            </a:ext>
          </a:extLst>
        </xdr:cNvPr>
        <xdr:cNvSpPr/>
      </xdr:nvSpPr>
      <xdr:spPr>
        <a:xfrm>
          <a:off x="85725" y="942975"/>
          <a:ext cx="1590675" cy="58769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xdr:col>
      <xdr:colOff>590550</xdr:colOff>
      <xdr:row>5</xdr:row>
      <xdr:rowOff>0</xdr:rowOff>
    </xdr:from>
    <xdr:to>
      <xdr:col>8</xdr:col>
      <xdr:colOff>400050</xdr:colOff>
      <xdr:row>13</xdr:row>
      <xdr:rowOff>9525</xdr:rowOff>
    </xdr:to>
    <mc:AlternateContent xmlns:mc="http://schemas.openxmlformats.org/markup-compatibility/2006" xmlns:a14="http://schemas.microsoft.com/office/drawing/2010/main">
      <mc:Choice Requires="a14">
        <xdr:graphicFrame macro="">
          <xdr:nvGraphicFramePr>
            <xdr:cNvPr id="6" name="month 3">
              <a:extLst>
                <a:ext uri="{FF2B5EF4-FFF2-40B4-BE49-F238E27FC236}">
                  <a16:creationId xmlns:a16="http://schemas.microsoft.com/office/drawing/2014/main" id="{18000655-60E2-4840-95CC-DED9E4CCC9BC}"/>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813761" y="952500"/>
              <a:ext cx="3479131"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5</xdr:row>
      <xdr:rowOff>9526</xdr:rowOff>
    </xdr:from>
    <xdr:to>
      <xdr:col>11</xdr:col>
      <xdr:colOff>551547</xdr:colOff>
      <xdr:row>12</xdr:row>
      <xdr:rowOff>171450</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B3C68096-5F7D-42FF-940F-B0D813BC03D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5445292" y="962026"/>
              <a:ext cx="1833913" cy="149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5</xdr:row>
      <xdr:rowOff>9526</xdr:rowOff>
    </xdr:from>
    <xdr:to>
      <xdr:col>15</xdr:col>
      <xdr:colOff>514350</xdr:colOff>
      <xdr:row>12</xdr:row>
      <xdr:rowOff>133350</xdr:rowOff>
    </xdr:to>
    <mc:AlternateContent xmlns:mc="http://schemas.openxmlformats.org/markup-compatibility/2006" xmlns:a14="http://schemas.microsoft.com/office/drawing/2010/main">
      <mc:Choice Requires="a14">
        <xdr:graphicFrame macro="">
          <xdr:nvGraphicFramePr>
            <xdr:cNvPr id="8" name="year 3">
              <a:extLst>
                <a:ext uri="{FF2B5EF4-FFF2-40B4-BE49-F238E27FC236}">
                  <a16:creationId xmlns:a16="http://schemas.microsoft.com/office/drawing/2014/main" id="{DDE27F14-2D44-4C89-9ABC-B09606DC712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453563" y="962026"/>
              <a:ext cx="2234866"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206542</xdr:colOff>
      <xdr:row>5</xdr:row>
      <xdr:rowOff>85725</xdr:rowOff>
    </xdr:from>
    <xdr:to>
      <xdr:col>2</xdr:col>
      <xdr:colOff>380999</xdr:colOff>
      <xdr:row>34</xdr:row>
      <xdr:rowOff>146384</xdr:rowOff>
    </xdr:to>
    <xdr:grpSp>
      <xdr:nvGrpSpPr>
        <xdr:cNvPr id="13" name="Group 12">
          <a:extLst>
            <a:ext uri="{FF2B5EF4-FFF2-40B4-BE49-F238E27FC236}">
              <a16:creationId xmlns:a16="http://schemas.microsoft.com/office/drawing/2014/main" id="{5DBA59B4-2D61-4EF3-9DCD-5EE707BA3CD1}"/>
            </a:ext>
          </a:extLst>
        </xdr:cNvPr>
        <xdr:cNvGrpSpPr/>
      </xdr:nvGrpSpPr>
      <xdr:grpSpPr>
        <a:xfrm>
          <a:off x="206542" y="1038225"/>
          <a:ext cx="1397668" cy="5585159"/>
          <a:chOff x="206542" y="1038225"/>
          <a:chExt cx="1397668" cy="5585159"/>
        </a:xfrm>
      </xdr:grpSpPr>
      <xdr:sp macro="" textlink="">
        <xdr:nvSpPr>
          <xdr:cNvPr id="14" name="Rectangle: Rounded Corners 13">
            <a:extLst>
              <a:ext uri="{FF2B5EF4-FFF2-40B4-BE49-F238E27FC236}">
                <a16:creationId xmlns:a16="http://schemas.microsoft.com/office/drawing/2014/main" id="{9DCF5A86-2FA3-4A6B-8B54-E38526786295}"/>
              </a:ext>
            </a:extLst>
          </xdr:cNvPr>
          <xdr:cNvSpPr/>
        </xdr:nvSpPr>
        <xdr:spPr>
          <a:xfrm>
            <a:off x="220579" y="1065295"/>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pic>
        <xdr:nvPicPr>
          <xdr:cNvPr id="15" name="Graphic 14" descr="Briefcase with solid fill">
            <a:hlinkClick xmlns:r="http://schemas.openxmlformats.org/officeDocument/2006/relationships" r:id="rId1"/>
            <a:extLst>
              <a:ext uri="{FF2B5EF4-FFF2-40B4-BE49-F238E27FC236}">
                <a16:creationId xmlns:a16="http://schemas.microsoft.com/office/drawing/2014/main" id="{D3FB371F-ADAE-4229-81A6-A1256589567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4061" y="1038225"/>
            <a:ext cx="918411" cy="914400"/>
          </a:xfrm>
          <a:prstGeom prst="rect">
            <a:avLst/>
          </a:prstGeom>
        </xdr:spPr>
      </xdr:pic>
      <xdr:sp macro="" textlink="">
        <xdr:nvSpPr>
          <xdr:cNvPr id="16" name="Rectangle: Rounded Corners 15">
            <a:extLst>
              <a:ext uri="{FF2B5EF4-FFF2-40B4-BE49-F238E27FC236}">
                <a16:creationId xmlns:a16="http://schemas.microsoft.com/office/drawing/2014/main" id="{87B16C69-36D2-4703-A6C9-4DF08D6B8BB4}"/>
              </a:ext>
            </a:extLst>
          </xdr:cNvPr>
          <xdr:cNvSpPr/>
        </xdr:nvSpPr>
        <xdr:spPr>
          <a:xfrm>
            <a:off x="222584" y="2460958"/>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17" name="Rectangle: Rounded Corners 16">
            <a:extLst>
              <a:ext uri="{FF2B5EF4-FFF2-40B4-BE49-F238E27FC236}">
                <a16:creationId xmlns:a16="http://schemas.microsoft.com/office/drawing/2014/main" id="{13D60582-270C-46D1-AD56-6AD0D3240A69}"/>
              </a:ext>
            </a:extLst>
          </xdr:cNvPr>
          <xdr:cNvSpPr/>
        </xdr:nvSpPr>
        <xdr:spPr>
          <a:xfrm>
            <a:off x="224590" y="3876674"/>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18" name="Rectangle: Rounded Corners 17">
            <a:extLst>
              <a:ext uri="{FF2B5EF4-FFF2-40B4-BE49-F238E27FC236}">
                <a16:creationId xmlns:a16="http://schemas.microsoft.com/office/drawing/2014/main" id="{BDEA14AD-78D5-406E-B585-A4977DE7776A}"/>
              </a:ext>
            </a:extLst>
          </xdr:cNvPr>
          <xdr:cNvSpPr/>
        </xdr:nvSpPr>
        <xdr:spPr>
          <a:xfrm>
            <a:off x="206542" y="5302416"/>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pic>
        <xdr:nvPicPr>
          <xdr:cNvPr id="19" name="Graphic 18" descr="Bar graph with upward trend with solid fill">
            <a:extLst>
              <a:ext uri="{FF2B5EF4-FFF2-40B4-BE49-F238E27FC236}">
                <a16:creationId xmlns:a16="http://schemas.microsoft.com/office/drawing/2014/main" id="{972C10EA-F897-4E7F-BCE8-04439615B4F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2557" y="2493544"/>
            <a:ext cx="918411" cy="914400"/>
          </a:xfrm>
          <a:prstGeom prst="rect">
            <a:avLst/>
          </a:prstGeom>
        </xdr:spPr>
      </xdr:pic>
      <xdr:pic>
        <xdr:nvPicPr>
          <xdr:cNvPr id="20" name="Graphic 19" descr="Upward trend with solid fill">
            <a:hlinkClick xmlns:r="http://schemas.openxmlformats.org/officeDocument/2006/relationships" r:id="rId6"/>
            <a:extLst>
              <a:ext uri="{FF2B5EF4-FFF2-40B4-BE49-F238E27FC236}">
                <a16:creationId xmlns:a16="http://schemas.microsoft.com/office/drawing/2014/main" id="{50930475-357D-40A5-B80F-07A13A058C2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1157" y="3938337"/>
            <a:ext cx="918411" cy="914400"/>
          </a:xfrm>
          <a:prstGeom prst="rect">
            <a:avLst/>
          </a:prstGeom>
        </xdr:spPr>
      </xdr:pic>
      <xdr:pic>
        <xdr:nvPicPr>
          <xdr:cNvPr id="21" name="Graphic 20" descr="Clipboard with solid fill">
            <a:extLst>
              <a:ext uri="{FF2B5EF4-FFF2-40B4-BE49-F238E27FC236}">
                <a16:creationId xmlns:a16="http://schemas.microsoft.com/office/drawing/2014/main" id="{562F32D4-2C6C-43E1-8C5A-92639FA4AB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1053" y="5394158"/>
            <a:ext cx="918411" cy="914400"/>
          </a:xfrm>
          <a:prstGeom prst="rect">
            <a:avLst/>
          </a:prstGeom>
        </xdr:spPr>
      </xdr:pic>
      <xdr:sp macro="" textlink="">
        <xdr:nvSpPr>
          <xdr:cNvPr id="22" name="TextBox 21">
            <a:extLst>
              <a:ext uri="{FF2B5EF4-FFF2-40B4-BE49-F238E27FC236}">
                <a16:creationId xmlns:a16="http://schemas.microsoft.com/office/drawing/2014/main" id="{FFDD18E2-F3FF-48F8-8882-0000C503AC44}"/>
              </a:ext>
            </a:extLst>
          </xdr:cNvPr>
          <xdr:cNvSpPr txBox="1"/>
        </xdr:nvSpPr>
        <xdr:spPr>
          <a:xfrm>
            <a:off x="461211" y="1874920"/>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HOME</a:t>
            </a:r>
          </a:p>
        </xdr:txBody>
      </xdr:sp>
      <xdr:sp macro="" textlink="">
        <xdr:nvSpPr>
          <xdr:cNvPr id="23" name="TextBox 22">
            <a:extLst>
              <a:ext uri="{FF2B5EF4-FFF2-40B4-BE49-F238E27FC236}">
                <a16:creationId xmlns:a16="http://schemas.microsoft.com/office/drawing/2014/main" id="{CAC79E43-B85B-4FE4-8182-F29DD5E7872F}"/>
              </a:ext>
            </a:extLst>
          </xdr:cNvPr>
          <xdr:cNvSpPr txBox="1"/>
        </xdr:nvSpPr>
        <xdr:spPr>
          <a:xfrm>
            <a:off x="485274" y="4716378"/>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Profit</a:t>
            </a:r>
          </a:p>
        </xdr:txBody>
      </xdr:sp>
      <xdr:sp macro="" textlink="">
        <xdr:nvSpPr>
          <xdr:cNvPr id="24" name="TextBox 23">
            <a:extLst>
              <a:ext uri="{FF2B5EF4-FFF2-40B4-BE49-F238E27FC236}">
                <a16:creationId xmlns:a16="http://schemas.microsoft.com/office/drawing/2014/main" id="{C2BCCA9E-C587-4F14-A2AC-EEDDCD854482}"/>
              </a:ext>
            </a:extLst>
          </xdr:cNvPr>
          <xdr:cNvSpPr txBox="1"/>
        </xdr:nvSpPr>
        <xdr:spPr>
          <a:xfrm>
            <a:off x="286752" y="6192252"/>
            <a:ext cx="1317458"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About</a:t>
            </a:r>
            <a:r>
              <a:rPr lang="en-US" sz="2000" b="0" baseline="0">
                <a:solidFill>
                  <a:schemeClr val="tx1"/>
                </a:solidFill>
                <a:latin typeface="Britannic Bold" panose="020B0903060703020204" pitchFamily="34" charset="0"/>
                <a:ea typeface="+mn-ea"/>
                <a:cs typeface="+mn-cs"/>
              </a:rPr>
              <a:t> Me</a:t>
            </a:r>
            <a:endParaRPr lang="en-US" sz="2000" b="0">
              <a:solidFill>
                <a:schemeClr val="tx1"/>
              </a:solidFill>
              <a:latin typeface="Britannic Bold" panose="020B0903060703020204" pitchFamily="34" charset="0"/>
              <a:ea typeface="+mn-ea"/>
              <a:cs typeface="+mn-cs"/>
            </a:endParaRPr>
          </a:p>
        </xdr:txBody>
      </xdr:sp>
    </xdr:grpSp>
    <xdr:clientData/>
  </xdr:twoCellAnchor>
  <xdr:twoCellAnchor>
    <xdr:from>
      <xdr:col>0</xdr:col>
      <xdr:colOff>216568</xdr:colOff>
      <xdr:row>12</xdr:row>
      <xdr:rowOff>175960</xdr:rowOff>
    </xdr:from>
    <xdr:to>
      <xdr:col>2</xdr:col>
      <xdr:colOff>345405</xdr:colOff>
      <xdr:row>19</xdr:row>
      <xdr:rowOff>133349</xdr:rowOff>
    </xdr:to>
    <xdr:sp macro="" textlink="">
      <xdr:nvSpPr>
        <xdr:cNvPr id="25" name="Rectangle: Rounded Corners 24">
          <a:extLst>
            <a:ext uri="{FF2B5EF4-FFF2-40B4-BE49-F238E27FC236}">
              <a16:creationId xmlns:a16="http://schemas.microsoft.com/office/drawing/2014/main" id="{454CF09B-BA6E-4BC9-AD2B-67ED0AF961B3}"/>
            </a:ext>
          </a:extLst>
        </xdr:cNvPr>
        <xdr:cNvSpPr/>
      </xdr:nvSpPr>
      <xdr:spPr>
        <a:xfrm>
          <a:off x="216568" y="2461960"/>
          <a:ext cx="1348037"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292768</xdr:colOff>
      <xdr:row>18</xdr:row>
      <xdr:rowOff>12033</xdr:rowOff>
    </xdr:from>
    <xdr:to>
      <xdr:col>2</xdr:col>
      <xdr:colOff>290763</xdr:colOff>
      <xdr:row>19</xdr:row>
      <xdr:rowOff>72191</xdr:rowOff>
    </xdr:to>
    <xdr:sp macro="" textlink="">
      <xdr:nvSpPr>
        <xdr:cNvPr id="26" name="Rectangle: Rounded Corners 25">
          <a:extLst>
            <a:ext uri="{FF2B5EF4-FFF2-40B4-BE49-F238E27FC236}">
              <a16:creationId xmlns:a16="http://schemas.microsoft.com/office/drawing/2014/main" id="{4F658D48-8EE3-47B9-B50C-0321F41B6E27}"/>
            </a:ext>
          </a:extLst>
        </xdr:cNvPr>
        <xdr:cNvSpPr/>
      </xdr:nvSpPr>
      <xdr:spPr>
        <a:xfrm>
          <a:off x="292768" y="3441033"/>
          <a:ext cx="1217195" cy="250658"/>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294774</xdr:colOff>
      <xdr:row>16</xdr:row>
      <xdr:rowOff>94249</xdr:rowOff>
    </xdr:from>
    <xdr:to>
      <xdr:col>2</xdr:col>
      <xdr:colOff>292769</xdr:colOff>
      <xdr:row>17</xdr:row>
      <xdr:rowOff>154407</xdr:rowOff>
    </xdr:to>
    <xdr:sp macro="" textlink="">
      <xdr:nvSpPr>
        <xdr:cNvPr id="27" name="Rectangle: Rounded Corners 26">
          <a:extLst>
            <a:ext uri="{FF2B5EF4-FFF2-40B4-BE49-F238E27FC236}">
              <a16:creationId xmlns:a16="http://schemas.microsoft.com/office/drawing/2014/main" id="{A73101CA-B505-456C-A0CB-1DC37F3DFEA7}"/>
            </a:ext>
          </a:extLst>
        </xdr:cNvPr>
        <xdr:cNvSpPr/>
      </xdr:nvSpPr>
      <xdr:spPr>
        <a:xfrm>
          <a:off x="294774" y="3142249"/>
          <a:ext cx="1217195" cy="250658"/>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531395</xdr:colOff>
      <xdr:row>16</xdr:row>
      <xdr:rowOff>60158</xdr:rowOff>
    </xdr:from>
    <xdr:to>
      <xdr:col>2</xdr:col>
      <xdr:colOff>280737</xdr:colOff>
      <xdr:row>17</xdr:row>
      <xdr:rowOff>100263</xdr:rowOff>
    </xdr:to>
    <xdr:sp macro="" textlink="">
      <xdr:nvSpPr>
        <xdr:cNvPr id="28" name="TextBox 27">
          <a:extLst>
            <a:ext uri="{FF2B5EF4-FFF2-40B4-BE49-F238E27FC236}">
              <a16:creationId xmlns:a16="http://schemas.microsoft.com/office/drawing/2014/main" id="{4F66304B-B20C-4001-8535-B6E6265055A3}"/>
            </a:ext>
          </a:extLst>
        </xdr:cNvPr>
        <xdr:cNvSpPr txBox="1"/>
      </xdr:nvSpPr>
      <xdr:spPr>
        <a:xfrm>
          <a:off x="531395" y="3108158"/>
          <a:ext cx="968542" cy="23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Bahnschrift SemiBold Condensed" panose="020B0502040204020203" pitchFamily="34" charset="0"/>
            </a:rPr>
            <a:t>TOP SALES</a:t>
          </a:r>
        </a:p>
      </xdr:txBody>
    </xdr:sp>
    <xdr:clientData/>
  </xdr:twoCellAnchor>
  <xdr:twoCellAnchor>
    <xdr:from>
      <xdr:col>0</xdr:col>
      <xdr:colOff>370975</xdr:colOff>
      <xdr:row>17</xdr:row>
      <xdr:rowOff>182479</xdr:rowOff>
    </xdr:from>
    <xdr:to>
      <xdr:col>2</xdr:col>
      <xdr:colOff>282744</xdr:colOff>
      <xdr:row>19</xdr:row>
      <xdr:rowOff>80211</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9E2D282D-7C50-4A5F-860D-D1BD2ECD5340}"/>
            </a:ext>
          </a:extLst>
        </xdr:cNvPr>
        <xdr:cNvSpPr txBox="1"/>
      </xdr:nvSpPr>
      <xdr:spPr>
        <a:xfrm>
          <a:off x="370975" y="3420979"/>
          <a:ext cx="1130969" cy="27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Bahnschrift SemiBold Condensed" panose="020B0502040204020203" pitchFamily="34" charset="0"/>
            </a:rPr>
            <a:t>BOTTOM</a:t>
          </a:r>
          <a:r>
            <a:rPr lang="en-US" sz="1400" baseline="0">
              <a:latin typeface="Bahnschrift SemiBold Condensed" panose="020B0502040204020203" pitchFamily="34" charset="0"/>
            </a:rPr>
            <a:t> </a:t>
          </a:r>
          <a:r>
            <a:rPr lang="en-US" sz="1400">
              <a:latin typeface="Bahnschrift SemiBold Condensed" panose="020B0502040204020203" pitchFamily="34" charset="0"/>
            </a:rPr>
            <a:t> SALES</a:t>
          </a:r>
        </a:p>
      </xdr:txBody>
    </xdr:sp>
    <xdr:clientData/>
  </xdr:twoCellAnchor>
  <xdr:twoCellAnchor editAs="oneCell">
    <xdr:from>
      <xdr:col>0</xdr:col>
      <xdr:colOff>421105</xdr:colOff>
      <xdr:row>12</xdr:row>
      <xdr:rowOff>180474</xdr:rowOff>
    </xdr:from>
    <xdr:to>
      <xdr:col>2</xdr:col>
      <xdr:colOff>150395</xdr:colOff>
      <xdr:row>16</xdr:row>
      <xdr:rowOff>120316</xdr:rowOff>
    </xdr:to>
    <xdr:pic>
      <xdr:nvPicPr>
        <xdr:cNvPr id="30" name="Graphic 29" descr="Bar graph with upward trend">
          <a:hlinkClick xmlns:r="http://schemas.openxmlformats.org/officeDocument/2006/relationships" r:id="rId12"/>
          <a:extLst>
            <a:ext uri="{FF2B5EF4-FFF2-40B4-BE49-F238E27FC236}">
              <a16:creationId xmlns:a16="http://schemas.microsoft.com/office/drawing/2014/main" id="{57905A73-8FA0-4750-8285-9B9D741A812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21105" y="2466474"/>
          <a:ext cx="952501" cy="701842"/>
        </a:xfrm>
        <a:prstGeom prst="rect">
          <a:avLst/>
        </a:prstGeom>
      </xdr:spPr>
    </xdr:pic>
    <xdr:clientData/>
  </xdr:twoCellAnchor>
  <xdr:twoCellAnchor>
    <xdr:from>
      <xdr:col>2</xdr:col>
      <xdr:colOff>577515</xdr:colOff>
      <xdr:row>13</xdr:row>
      <xdr:rowOff>125828</xdr:rowOff>
    </xdr:from>
    <xdr:to>
      <xdr:col>15</xdr:col>
      <xdr:colOff>581526</xdr:colOff>
      <xdr:row>35</xdr:row>
      <xdr:rowOff>125828</xdr:rowOff>
    </xdr:to>
    <xdr:sp macro="" textlink="">
      <xdr:nvSpPr>
        <xdr:cNvPr id="32" name="Rectangle: Rounded Corners 31">
          <a:extLst>
            <a:ext uri="{FF2B5EF4-FFF2-40B4-BE49-F238E27FC236}">
              <a16:creationId xmlns:a16="http://schemas.microsoft.com/office/drawing/2014/main" id="{3EEBB5B7-315A-42AB-AB37-4A1714E401C9}"/>
            </a:ext>
          </a:extLst>
        </xdr:cNvPr>
        <xdr:cNvSpPr/>
      </xdr:nvSpPr>
      <xdr:spPr>
        <a:xfrm>
          <a:off x="1800726" y="2602328"/>
          <a:ext cx="7954879" cy="41910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6013</xdr:colOff>
      <xdr:row>12</xdr:row>
      <xdr:rowOff>180474</xdr:rowOff>
    </xdr:from>
    <xdr:to>
      <xdr:col>15</xdr:col>
      <xdr:colOff>461209</xdr:colOff>
      <xdr:row>35</xdr:row>
      <xdr:rowOff>70183</xdr:rowOff>
    </xdr:to>
    <xdr:graphicFrame macro="">
      <xdr:nvGraphicFramePr>
        <xdr:cNvPr id="34" name="Chart 33">
          <a:extLst>
            <a:ext uri="{FF2B5EF4-FFF2-40B4-BE49-F238E27FC236}">
              <a16:creationId xmlns:a16="http://schemas.microsoft.com/office/drawing/2014/main" id="{23B18632-C75E-49BF-B4B1-0CBA6EE30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133350</xdr:colOff>
      <xdr:row>36</xdr:row>
      <xdr:rowOff>57150</xdr:rowOff>
    </xdr:to>
    <xdr:sp macro="" textlink="">
      <xdr:nvSpPr>
        <xdr:cNvPr id="2" name="Rectangle 1">
          <a:extLst>
            <a:ext uri="{FF2B5EF4-FFF2-40B4-BE49-F238E27FC236}">
              <a16:creationId xmlns:a16="http://schemas.microsoft.com/office/drawing/2014/main" id="{8A05E975-D383-4E2E-B852-089510B0EEB5}"/>
            </a:ext>
          </a:extLst>
        </xdr:cNvPr>
        <xdr:cNvSpPr/>
      </xdr:nvSpPr>
      <xdr:spPr>
        <a:xfrm>
          <a:off x="0" y="0"/>
          <a:ext cx="9886950" cy="69151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114300</xdr:rowOff>
    </xdr:from>
    <xdr:to>
      <xdr:col>15</xdr:col>
      <xdr:colOff>590550</xdr:colOff>
      <xdr:row>4</xdr:row>
      <xdr:rowOff>19050</xdr:rowOff>
    </xdr:to>
    <xdr:sp macro="" textlink="">
      <xdr:nvSpPr>
        <xdr:cNvPr id="3" name="Rectangle: Rounded Corners 2">
          <a:extLst>
            <a:ext uri="{FF2B5EF4-FFF2-40B4-BE49-F238E27FC236}">
              <a16:creationId xmlns:a16="http://schemas.microsoft.com/office/drawing/2014/main" id="{12EE9754-2723-402C-8847-EB4CED0071A8}"/>
            </a:ext>
          </a:extLst>
        </xdr:cNvPr>
        <xdr:cNvSpPr/>
      </xdr:nvSpPr>
      <xdr:spPr>
        <a:xfrm>
          <a:off x="85725" y="114300"/>
          <a:ext cx="9648825" cy="666750"/>
        </a:xfrm>
        <a:prstGeom prst="roundRect">
          <a:avLst>
            <a:gd name="adj" fmla="val 2523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266699</xdr:colOff>
      <xdr:row>1</xdr:row>
      <xdr:rowOff>0</xdr:rowOff>
    </xdr:from>
    <xdr:to>
      <xdr:col>12</xdr:col>
      <xdr:colOff>600074</xdr:colOff>
      <xdr:row>3</xdr:row>
      <xdr:rowOff>142875</xdr:rowOff>
    </xdr:to>
    <xdr:sp macro="" textlink="">
      <xdr:nvSpPr>
        <xdr:cNvPr id="4" name="TextBox 3">
          <a:extLst>
            <a:ext uri="{FF2B5EF4-FFF2-40B4-BE49-F238E27FC236}">
              <a16:creationId xmlns:a16="http://schemas.microsoft.com/office/drawing/2014/main" id="{4EC4F54E-F984-40A8-994A-C37B0543D720}"/>
            </a:ext>
          </a:extLst>
        </xdr:cNvPr>
        <xdr:cNvSpPr txBox="1"/>
      </xdr:nvSpPr>
      <xdr:spPr>
        <a:xfrm>
          <a:off x="2095499" y="190500"/>
          <a:ext cx="58197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chemeClr val="tx1"/>
              </a:solidFill>
              <a:latin typeface="Britannic Bold" panose="020B0903060703020204" pitchFamily="34" charset="0"/>
            </a:rPr>
            <a:t>Sales Dashboard</a:t>
          </a:r>
          <a:r>
            <a:rPr lang="en-IN" sz="2800" b="0" baseline="0">
              <a:solidFill>
                <a:schemeClr val="tx1"/>
              </a:solidFill>
              <a:latin typeface="Britannic Bold" panose="020B0903060703020204" pitchFamily="34" charset="0"/>
            </a:rPr>
            <a:t> 2024-2025</a:t>
          </a:r>
          <a:endParaRPr lang="en-IN" sz="2800" b="0">
            <a:solidFill>
              <a:schemeClr val="tx1"/>
            </a:solidFill>
            <a:latin typeface="Britannic Bold" panose="020B0903060703020204" pitchFamily="34" charset="0"/>
          </a:endParaRPr>
        </a:p>
      </xdr:txBody>
    </xdr:sp>
    <xdr:clientData/>
  </xdr:twoCellAnchor>
  <xdr:twoCellAnchor>
    <xdr:from>
      <xdr:col>0</xdr:col>
      <xdr:colOff>85725</xdr:colOff>
      <xdr:row>4</xdr:row>
      <xdr:rowOff>180975</xdr:rowOff>
    </xdr:from>
    <xdr:to>
      <xdr:col>2</xdr:col>
      <xdr:colOff>457200</xdr:colOff>
      <xdr:row>35</xdr:row>
      <xdr:rowOff>152400</xdr:rowOff>
    </xdr:to>
    <xdr:sp macro="" textlink="">
      <xdr:nvSpPr>
        <xdr:cNvPr id="5" name="Rectangle: Rounded Corners 4">
          <a:extLst>
            <a:ext uri="{FF2B5EF4-FFF2-40B4-BE49-F238E27FC236}">
              <a16:creationId xmlns:a16="http://schemas.microsoft.com/office/drawing/2014/main" id="{CF6AFFB0-BD09-4510-AB68-5C6B477BE761}"/>
            </a:ext>
          </a:extLst>
        </xdr:cNvPr>
        <xdr:cNvSpPr/>
      </xdr:nvSpPr>
      <xdr:spPr>
        <a:xfrm>
          <a:off x="85725" y="942975"/>
          <a:ext cx="1590675" cy="58769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xdr:col>
      <xdr:colOff>590550</xdr:colOff>
      <xdr:row>5</xdr:row>
      <xdr:rowOff>0</xdr:rowOff>
    </xdr:from>
    <xdr:to>
      <xdr:col>8</xdr:col>
      <xdr:colOff>400050</xdr:colOff>
      <xdr:row>13</xdr:row>
      <xdr:rowOff>9525</xdr:rowOff>
    </xdr:to>
    <mc:AlternateContent xmlns:mc="http://schemas.openxmlformats.org/markup-compatibility/2006" xmlns:a14="http://schemas.microsoft.com/office/drawing/2010/main">
      <mc:Choice Requires="a14">
        <xdr:graphicFrame macro="">
          <xdr:nvGraphicFramePr>
            <xdr:cNvPr id="6" name="month 4">
              <a:extLst>
                <a:ext uri="{FF2B5EF4-FFF2-40B4-BE49-F238E27FC236}">
                  <a16:creationId xmlns:a16="http://schemas.microsoft.com/office/drawing/2014/main" id="{75D541A3-16AF-4F0A-BB5B-99214A8A2E17}"/>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813761" y="952500"/>
              <a:ext cx="3479131"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5</xdr:row>
      <xdr:rowOff>9526</xdr:rowOff>
    </xdr:from>
    <xdr:to>
      <xdr:col>11</xdr:col>
      <xdr:colOff>551547</xdr:colOff>
      <xdr:row>12</xdr:row>
      <xdr:rowOff>171450</xdr:rowOff>
    </xdr:to>
    <mc:AlternateContent xmlns:mc="http://schemas.openxmlformats.org/markup-compatibility/2006" xmlns:a14="http://schemas.microsoft.com/office/drawing/2010/main">
      <mc:Choice Requires="a14">
        <xdr:graphicFrame macro="">
          <xdr:nvGraphicFramePr>
            <xdr:cNvPr id="7" name="region 4">
              <a:extLst>
                <a:ext uri="{FF2B5EF4-FFF2-40B4-BE49-F238E27FC236}">
                  <a16:creationId xmlns:a16="http://schemas.microsoft.com/office/drawing/2014/main" id="{71751311-EAA7-4FC6-B5A4-FFE5380D797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5445292" y="962026"/>
              <a:ext cx="1833913" cy="149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5</xdr:row>
      <xdr:rowOff>9526</xdr:rowOff>
    </xdr:from>
    <xdr:to>
      <xdr:col>15</xdr:col>
      <xdr:colOff>514350</xdr:colOff>
      <xdr:row>12</xdr:row>
      <xdr:rowOff>133350</xdr:rowOff>
    </xdr:to>
    <mc:AlternateContent xmlns:mc="http://schemas.openxmlformats.org/markup-compatibility/2006" xmlns:a14="http://schemas.microsoft.com/office/drawing/2010/main">
      <mc:Choice Requires="a14">
        <xdr:graphicFrame macro="">
          <xdr:nvGraphicFramePr>
            <xdr:cNvPr id="8" name="year 4">
              <a:extLst>
                <a:ext uri="{FF2B5EF4-FFF2-40B4-BE49-F238E27FC236}">
                  <a16:creationId xmlns:a16="http://schemas.microsoft.com/office/drawing/2014/main" id="{982109D1-6AEB-49B4-A11E-26DC3A8EBEC4}"/>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7453563" y="962026"/>
              <a:ext cx="2234866"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206542</xdr:colOff>
      <xdr:row>5</xdr:row>
      <xdr:rowOff>85725</xdr:rowOff>
    </xdr:from>
    <xdr:to>
      <xdr:col>2</xdr:col>
      <xdr:colOff>380999</xdr:colOff>
      <xdr:row>34</xdr:row>
      <xdr:rowOff>146384</xdr:rowOff>
    </xdr:to>
    <xdr:grpSp>
      <xdr:nvGrpSpPr>
        <xdr:cNvPr id="9" name="Group 8">
          <a:extLst>
            <a:ext uri="{FF2B5EF4-FFF2-40B4-BE49-F238E27FC236}">
              <a16:creationId xmlns:a16="http://schemas.microsoft.com/office/drawing/2014/main" id="{4916D7D5-E5F5-467A-AB32-6A6B31280E4F}"/>
            </a:ext>
          </a:extLst>
        </xdr:cNvPr>
        <xdr:cNvGrpSpPr/>
      </xdr:nvGrpSpPr>
      <xdr:grpSpPr>
        <a:xfrm>
          <a:off x="206542" y="1038225"/>
          <a:ext cx="1397668" cy="5585159"/>
          <a:chOff x="206542" y="1038225"/>
          <a:chExt cx="1397668" cy="5585159"/>
        </a:xfrm>
      </xdr:grpSpPr>
      <xdr:sp macro="" textlink="">
        <xdr:nvSpPr>
          <xdr:cNvPr id="10" name="Rectangle: Rounded Corners 9">
            <a:extLst>
              <a:ext uri="{FF2B5EF4-FFF2-40B4-BE49-F238E27FC236}">
                <a16:creationId xmlns:a16="http://schemas.microsoft.com/office/drawing/2014/main" id="{39F512A7-D1FA-450D-B112-781CD7BF2F52}"/>
              </a:ext>
            </a:extLst>
          </xdr:cNvPr>
          <xdr:cNvSpPr/>
        </xdr:nvSpPr>
        <xdr:spPr>
          <a:xfrm>
            <a:off x="220579" y="1065295"/>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pic>
        <xdr:nvPicPr>
          <xdr:cNvPr id="11" name="Graphic 10" descr="Briefcase with solid fill">
            <a:hlinkClick xmlns:r="http://schemas.openxmlformats.org/officeDocument/2006/relationships" r:id="rId1"/>
            <a:extLst>
              <a:ext uri="{FF2B5EF4-FFF2-40B4-BE49-F238E27FC236}">
                <a16:creationId xmlns:a16="http://schemas.microsoft.com/office/drawing/2014/main" id="{AB38B116-B7A7-45FB-B55E-3F0805D30CD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4061" y="1038225"/>
            <a:ext cx="918411" cy="914400"/>
          </a:xfrm>
          <a:prstGeom prst="rect">
            <a:avLst/>
          </a:prstGeom>
        </xdr:spPr>
      </xdr:pic>
      <xdr:sp macro="" textlink="">
        <xdr:nvSpPr>
          <xdr:cNvPr id="12" name="Rectangle: Rounded Corners 11">
            <a:extLst>
              <a:ext uri="{FF2B5EF4-FFF2-40B4-BE49-F238E27FC236}">
                <a16:creationId xmlns:a16="http://schemas.microsoft.com/office/drawing/2014/main" id="{3F10F02C-13A6-470F-B5E4-F60E2B42FD3B}"/>
              </a:ext>
            </a:extLst>
          </xdr:cNvPr>
          <xdr:cNvSpPr/>
        </xdr:nvSpPr>
        <xdr:spPr>
          <a:xfrm>
            <a:off x="222584" y="2460958"/>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9A507848-29E5-4F87-A51C-BB95B88CB2C2}"/>
              </a:ext>
            </a:extLst>
          </xdr:cNvPr>
          <xdr:cNvSpPr/>
        </xdr:nvSpPr>
        <xdr:spPr>
          <a:xfrm>
            <a:off x="224590" y="3876674"/>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A769BB16-EF60-45D2-BF5F-9C654A3CEF2B}"/>
              </a:ext>
            </a:extLst>
          </xdr:cNvPr>
          <xdr:cNvSpPr/>
        </xdr:nvSpPr>
        <xdr:spPr>
          <a:xfrm>
            <a:off x="206542" y="5302416"/>
            <a:ext cx="1352048"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pic>
        <xdr:nvPicPr>
          <xdr:cNvPr id="15" name="Graphic 14" descr="Bar graph with upward trend with solid fill">
            <a:extLst>
              <a:ext uri="{FF2B5EF4-FFF2-40B4-BE49-F238E27FC236}">
                <a16:creationId xmlns:a16="http://schemas.microsoft.com/office/drawing/2014/main" id="{D65B4B2F-DB4A-4E03-B204-2E5C55CF05D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2557" y="2493544"/>
            <a:ext cx="918411" cy="914400"/>
          </a:xfrm>
          <a:prstGeom prst="rect">
            <a:avLst/>
          </a:prstGeom>
        </xdr:spPr>
      </xdr:pic>
      <xdr:pic>
        <xdr:nvPicPr>
          <xdr:cNvPr id="16" name="Graphic 15" descr="Upward trend with solid fill">
            <a:hlinkClick xmlns:r="http://schemas.openxmlformats.org/officeDocument/2006/relationships" r:id="rId6"/>
            <a:extLst>
              <a:ext uri="{FF2B5EF4-FFF2-40B4-BE49-F238E27FC236}">
                <a16:creationId xmlns:a16="http://schemas.microsoft.com/office/drawing/2014/main" id="{600EA561-5EC5-4368-ACE9-C6E453B14E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1157" y="3938337"/>
            <a:ext cx="918411" cy="914400"/>
          </a:xfrm>
          <a:prstGeom prst="rect">
            <a:avLst/>
          </a:prstGeom>
        </xdr:spPr>
      </xdr:pic>
      <xdr:pic>
        <xdr:nvPicPr>
          <xdr:cNvPr id="17" name="Graphic 16" descr="Clipboard with solid fill">
            <a:extLst>
              <a:ext uri="{FF2B5EF4-FFF2-40B4-BE49-F238E27FC236}">
                <a16:creationId xmlns:a16="http://schemas.microsoft.com/office/drawing/2014/main" id="{B956DD57-1589-4821-BCEB-0C888BE9251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1053" y="5394158"/>
            <a:ext cx="918411" cy="914400"/>
          </a:xfrm>
          <a:prstGeom prst="rect">
            <a:avLst/>
          </a:prstGeom>
        </xdr:spPr>
      </xdr:pic>
      <xdr:sp macro="" textlink="">
        <xdr:nvSpPr>
          <xdr:cNvPr id="18" name="TextBox 17">
            <a:extLst>
              <a:ext uri="{FF2B5EF4-FFF2-40B4-BE49-F238E27FC236}">
                <a16:creationId xmlns:a16="http://schemas.microsoft.com/office/drawing/2014/main" id="{E873C993-6350-4874-A9C3-E6949C5A0D75}"/>
              </a:ext>
            </a:extLst>
          </xdr:cNvPr>
          <xdr:cNvSpPr txBox="1"/>
        </xdr:nvSpPr>
        <xdr:spPr>
          <a:xfrm>
            <a:off x="461211" y="1874920"/>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HOME</a:t>
            </a:r>
          </a:p>
        </xdr:txBody>
      </xdr:sp>
      <xdr:sp macro="" textlink="">
        <xdr:nvSpPr>
          <xdr:cNvPr id="19" name="TextBox 18">
            <a:extLst>
              <a:ext uri="{FF2B5EF4-FFF2-40B4-BE49-F238E27FC236}">
                <a16:creationId xmlns:a16="http://schemas.microsoft.com/office/drawing/2014/main" id="{33640DFE-73BB-472C-92B2-F566CA03C696}"/>
              </a:ext>
            </a:extLst>
          </xdr:cNvPr>
          <xdr:cNvSpPr txBox="1"/>
        </xdr:nvSpPr>
        <xdr:spPr>
          <a:xfrm>
            <a:off x="485274" y="4716378"/>
            <a:ext cx="932445"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Britannic Bold" panose="020B0903060703020204" pitchFamily="34" charset="0"/>
                <a:ea typeface="+mn-ea"/>
                <a:cs typeface="+mn-cs"/>
              </a:rPr>
              <a:t>Profit</a:t>
            </a:r>
          </a:p>
        </xdr:txBody>
      </xdr:sp>
      <xdr:sp macro="" textlink="">
        <xdr:nvSpPr>
          <xdr:cNvPr id="20" name="TextBox 19">
            <a:extLst>
              <a:ext uri="{FF2B5EF4-FFF2-40B4-BE49-F238E27FC236}">
                <a16:creationId xmlns:a16="http://schemas.microsoft.com/office/drawing/2014/main" id="{D3E251BF-F07C-4AD7-99FD-E18F558378CB}"/>
              </a:ext>
            </a:extLst>
          </xdr:cNvPr>
          <xdr:cNvSpPr txBox="1"/>
        </xdr:nvSpPr>
        <xdr:spPr>
          <a:xfrm>
            <a:off x="286752" y="6192252"/>
            <a:ext cx="1317458"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n>
                  <a:noFill/>
                </a:ln>
                <a:solidFill>
                  <a:schemeClr val="tx1"/>
                </a:solidFill>
                <a:latin typeface="Britannic Bold" panose="020B0903060703020204" pitchFamily="34" charset="0"/>
                <a:ea typeface="+mn-ea"/>
                <a:cs typeface="+mn-cs"/>
              </a:rPr>
              <a:t>About</a:t>
            </a:r>
            <a:r>
              <a:rPr lang="en-US" sz="2000" b="0" baseline="0">
                <a:solidFill>
                  <a:schemeClr val="tx1"/>
                </a:solidFill>
                <a:latin typeface="Britannic Bold" panose="020B0903060703020204" pitchFamily="34" charset="0"/>
                <a:ea typeface="+mn-ea"/>
                <a:cs typeface="+mn-cs"/>
              </a:rPr>
              <a:t> Me</a:t>
            </a:r>
            <a:endParaRPr lang="en-US" sz="2000" b="0">
              <a:solidFill>
                <a:schemeClr val="tx1"/>
              </a:solidFill>
              <a:latin typeface="Britannic Bold" panose="020B0903060703020204" pitchFamily="34" charset="0"/>
              <a:ea typeface="+mn-ea"/>
              <a:cs typeface="+mn-cs"/>
            </a:endParaRPr>
          </a:p>
        </xdr:txBody>
      </xdr:sp>
    </xdr:grpSp>
    <xdr:clientData/>
  </xdr:twoCellAnchor>
  <xdr:twoCellAnchor>
    <xdr:from>
      <xdr:col>0</xdr:col>
      <xdr:colOff>216568</xdr:colOff>
      <xdr:row>12</xdr:row>
      <xdr:rowOff>175960</xdr:rowOff>
    </xdr:from>
    <xdr:to>
      <xdr:col>2</xdr:col>
      <xdr:colOff>345405</xdr:colOff>
      <xdr:row>19</xdr:row>
      <xdr:rowOff>133349</xdr:rowOff>
    </xdr:to>
    <xdr:sp macro="" textlink="">
      <xdr:nvSpPr>
        <xdr:cNvPr id="21" name="Rectangle: Rounded Corners 20">
          <a:extLst>
            <a:ext uri="{FF2B5EF4-FFF2-40B4-BE49-F238E27FC236}">
              <a16:creationId xmlns:a16="http://schemas.microsoft.com/office/drawing/2014/main" id="{4D454F8E-5D87-47AC-85CC-5B01CBAC9393}"/>
            </a:ext>
          </a:extLst>
        </xdr:cNvPr>
        <xdr:cNvSpPr/>
      </xdr:nvSpPr>
      <xdr:spPr>
        <a:xfrm>
          <a:off x="216568" y="2461960"/>
          <a:ext cx="1348037" cy="1290889"/>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292768</xdr:colOff>
      <xdr:row>18</xdr:row>
      <xdr:rowOff>12033</xdr:rowOff>
    </xdr:from>
    <xdr:to>
      <xdr:col>2</xdr:col>
      <xdr:colOff>290763</xdr:colOff>
      <xdr:row>19</xdr:row>
      <xdr:rowOff>72191</xdr:rowOff>
    </xdr:to>
    <xdr:sp macro="" textlink="">
      <xdr:nvSpPr>
        <xdr:cNvPr id="22" name="Rectangle: Rounded Corners 21">
          <a:extLst>
            <a:ext uri="{FF2B5EF4-FFF2-40B4-BE49-F238E27FC236}">
              <a16:creationId xmlns:a16="http://schemas.microsoft.com/office/drawing/2014/main" id="{5761CAA7-E9D6-4A95-951C-6B03B3027CAE}"/>
            </a:ext>
          </a:extLst>
        </xdr:cNvPr>
        <xdr:cNvSpPr/>
      </xdr:nvSpPr>
      <xdr:spPr>
        <a:xfrm>
          <a:off x="292768" y="3441033"/>
          <a:ext cx="1217195" cy="250658"/>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294774</xdr:colOff>
      <xdr:row>16</xdr:row>
      <xdr:rowOff>94249</xdr:rowOff>
    </xdr:from>
    <xdr:to>
      <xdr:col>2</xdr:col>
      <xdr:colOff>292769</xdr:colOff>
      <xdr:row>17</xdr:row>
      <xdr:rowOff>154407</xdr:rowOff>
    </xdr:to>
    <xdr:sp macro="" textlink="">
      <xdr:nvSpPr>
        <xdr:cNvPr id="23" name="Rectangle: Rounded Corners 22">
          <a:extLst>
            <a:ext uri="{FF2B5EF4-FFF2-40B4-BE49-F238E27FC236}">
              <a16:creationId xmlns:a16="http://schemas.microsoft.com/office/drawing/2014/main" id="{6BA152BA-A287-4FC4-AD43-F00BD968387F}"/>
            </a:ext>
          </a:extLst>
        </xdr:cNvPr>
        <xdr:cNvSpPr/>
      </xdr:nvSpPr>
      <xdr:spPr>
        <a:xfrm>
          <a:off x="294774" y="3142249"/>
          <a:ext cx="1217195" cy="250658"/>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531395</xdr:colOff>
      <xdr:row>16</xdr:row>
      <xdr:rowOff>60158</xdr:rowOff>
    </xdr:from>
    <xdr:to>
      <xdr:col>2</xdr:col>
      <xdr:colOff>280737</xdr:colOff>
      <xdr:row>17</xdr:row>
      <xdr:rowOff>100263</xdr:rowOff>
    </xdr:to>
    <xdr:sp macro="" textlink="">
      <xdr:nvSpPr>
        <xdr:cNvPr id="24" name="TextBox 23">
          <a:hlinkClick xmlns:r="http://schemas.openxmlformats.org/officeDocument/2006/relationships" r:id="rId11"/>
          <a:extLst>
            <a:ext uri="{FF2B5EF4-FFF2-40B4-BE49-F238E27FC236}">
              <a16:creationId xmlns:a16="http://schemas.microsoft.com/office/drawing/2014/main" id="{D3B4267C-444E-4EBF-809E-ACD4C24F2A9E}"/>
            </a:ext>
          </a:extLst>
        </xdr:cNvPr>
        <xdr:cNvSpPr txBox="1"/>
      </xdr:nvSpPr>
      <xdr:spPr>
        <a:xfrm>
          <a:off x="531395" y="3108158"/>
          <a:ext cx="968542" cy="23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Bahnschrift SemiBold Condensed" panose="020B0502040204020203" pitchFamily="34" charset="0"/>
            </a:rPr>
            <a:t>TOP SALES</a:t>
          </a:r>
        </a:p>
      </xdr:txBody>
    </xdr:sp>
    <xdr:clientData/>
  </xdr:twoCellAnchor>
  <xdr:twoCellAnchor>
    <xdr:from>
      <xdr:col>0</xdr:col>
      <xdr:colOff>370975</xdr:colOff>
      <xdr:row>17</xdr:row>
      <xdr:rowOff>182479</xdr:rowOff>
    </xdr:from>
    <xdr:to>
      <xdr:col>2</xdr:col>
      <xdr:colOff>282744</xdr:colOff>
      <xdr:row>19</xdr:row>
      <xdr:rowOff>80211</xdr:rowOff>
    </xdr:to>
    <xdr:sp macro="" textlink="">
      <xdr:nvSpPr>
        <xdr:cNvPr id="25" name="TextBox 24">
          <a:extLst>
            <a:ext uri="{FF2B5EF4-FFF2-40B4-BE49-F238E27FC236}">
              <a16:creationId xmlns:a16="http://schemas.microsoft.com/office/drawing/2014/main" id="{2232704C-3747-4116-9292-ED071DB60749}"/>
            </a:ext>
          </a:extLst>
        </xdr:cNvPr>
        <xdr:cNvSpPr txBox="1"/>
      </xdr:nvSpPr>
      <xdr:spPr>
        <a:xfrm>
          <a:off x="370975" y="3420979"/>
          <a:ext cx="1130969" cy="27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Bahnschrift SemiBold Condensed" panose="020B0502040204020203" pitchFamily="34" charset="0"/>
            </a:rPr>
            <a:t>BOTTOM</a:t>
          </a:r>
          <a:r>
            <a:rPr lang="en-US" sz="1400" baseline="0">
              <a:latin typeface="Bahnschrift SemiBold Condensed" panose="020B0502040204020203" pitchFamily="34" charset="0"/>
            </a:rPr>
            <a:t> </a:t>
          </a:r>
          <a:r>
            <a:rPr lang="en-US" sz="1400">
              <a:latin typeface="Bahnschrift SemiBold Condensed" panose="020B0502040204020203" pitchFamily="34" charset="0"/>
            </a:rPr>
            <a:t> SALES</a:t>
          </a:r>
        </a:p>
      </xdr:txBody>
    </xdr:sp>
    <xdr:clientData/>
  </xdr:twoCellAnchor>
  <xdr:twoCellAnchor editAs="oneCell">
    <xdr:from>
      <xdr:col>0</xdr:col>
      <xdr:colOff>421105</xdr:colOff>
      <xdr:row>12</xdr:row>
      <xdr:rowOff>180474</xdr:rowOff>
    </xdr:from>
    <xdr:to>
      <xdr:col>2</xdr:col>
      <xdr:colOff>150395</xdr:colOff>
      <xdr:row>16</xdr:row>
      <xdr:rowOff>120316</xdr:rowOff>
    </xdr:to>
    <xdr:pic>
      <xdr:nvPicPr>
        <xdr:cNvPr id="26" name="Graphic 25" descr="Bar graph with upward trend">
          <a:hlinkClick xmlns:r="http://schemas.openxmlformats.org/officeDocument/2006/relationships" r:id="rId12"/>
          <a:extLst>
            <a:ext uri="{FF2B5EF4-FFF2-40B4-BE49-F238E27FC236}">
              <a16:creationId xmlns:a16="http://schemas.microsoft.com/office/drawing/2014/main" id="{DFD0AC3B-1018-411E-B21D-707931C04C5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21105" y="2466474"/>
          <a:ext cx="952501" cy="701842"/>
        </a:xfrm>
        <a:prstGeom prst="rect">
          <a:avLst/>
        </a:prstGeom>
      </xdr:spPr>
    </xdr:pic>
    <xdr:clientData/>
  </xdr:twoCellAnchor>
  <xdr:twoCellAnchor>
    <xdr:from>
      <xdr:col>2</xdr:col>
      <xdr:colOff>577515</xdr:colOff>
      <xdr:row>13</xdr:row>
      <xdr:rowOff>125828</xdr:rowOff>
    </xdr:from>
    <xdr:to>
      <xdr:col>15</xdr:col>
      <xdr:colOff>581526</xdr:colOff>
      <xdr:row>35</xdr:row>
      <xdr:rowOff>125828</xdr:rowOff>
    </xdr:to>
    <xdr:sp macro="" textlink="">
      <xdr:nvSpPr>
        <xdr:cNvPr id="27" name="Rectangle: Rounded Corners 26">
          <a:extLst>
            <a:ext uri="{FF2B5EF4-FFF2-40B4-BE49-F238E27FC236}">
              <a16:creationId xmlns:a16="http://schemas.microsoft.com/office/drawing/2014/main" id="{DE9C72F4-E69B-4C3C-981C-5979A85D223E}"/>
            </a:ext>
          </a:extLst>
        </xdr:cNvPr>
        <xdr:cNvSpPr/>
      </xdr:nvSpPr>
      <xdr:spPr>
        <a:xfrm>
          <a:off x="1796715" y="2602328"/>
          <a:ext cx="7928811" cy="4191000"/>
        </a:xfrm>
        <a:prstGeom prst="roundRect">
          <a:avLst>
            <a:gd name="adj" fmla="val 6229"/>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577514</xdr:colOff>
      <xdr:row>13</xdr:row>
      <xdr:rowOff>125827</xdr:rowOff>
    </xdr:from>
    <xdr:to>
      <xdr:col>15</xdr:col>
      <xdr:colOff>590549</xdr:colOff>
      <xdr:row>35</xdr:row>
      <xdr:rowOff>104774</xdr:rowOff>
    </xdr:to>
    <xdr:graphicFrame macro="">
      <xdr:nvGraphicFramePr>
        <xdr:cNvPr id="29" name="Chart 28">
          <a:extLst>
            <a:ext uri="{FF2B5EF4-FFF2-40B4-BE49-F238E27FC236}">
              <a16:creationId xmlns:a16="http://schemas.microsoft.com/office/drawing/2014/main" id="{A3E55129-7631-4B36-BADD-62FCB12F5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25.371217361113" createdVersion="8" refreshedVersion="8" minRefreshableVersion="3" recordCount="100" xr:uid="{D1B9EF61-35BF-4C7E-99F7-F9174738D80B}">
  <cacheSource type="worksheet">
    <worksheetSource name="Table1"/>
  </cacheSource>
  <cacheFields count="11">
    <cacheField name="Order 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Order Date" numFmtId="164">
      <sharedItems containsSemiMixedTypes="0" containsNonDate="0" containsDate="1" containsString="0" minDate="2024-01-02T00:00:00" maxDate="2025-12-31T00:00:00" count="96">
        <d v="2024-04-12T00:00:00"/>
        <d v="2025-03-11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5-10-25T00:00:00"/>
        <d v="2024-05-10T00:00:00"/>
        <d v="2025-10-23T00:00:00"/>
        <d v="2024-11-04T00:00:00"/>
        <d v="2024-12-09T00:00:00"/>
        <d v="2025-05-06T00:00:00"/>
        <d v="2025-02-17T00:00:00"/>
        <d v="2025-01-20T00:00:00"/>
        <d v="2024-07-10T00:00:00"/>
        <d v="2024-10-03T00:00:00"/>
        <d v="2024-06-09T00:00:00"/>
        <d v="2025-04-04T00:00:00"/>
        <d v="2024-11-09T00:00:00"/>
        <d v="2024-01-22T00:00:00"/>
        <d v="2024-09-09T00:00:00"/>
        <d v="2025-07-14T00:00:00"/>
        <d v="2025-04-19T00:00:00"/>
        <d v="2024-02-28T00:00:00"/>
        <d v="2025-05-25T00:00:00"/>
        <d v="2025-11-12T00:00:00"/>
        <d v="2025-04-20T00:00:00"/>
        <d v="2025-11-30T00:00:00"/>
        <d v="2024-07-08T00:00:00"/>
        <d v="2025-11-17T00:00:00"/>
        <d v="2025-07-16T00:00:00"/>
        <d v="2025-07-20T00:00:00"/>
        <d v="2024-08-31T00:00:00"/>
        <d v="2025-05-19T00:00:00"/>
        <d v="2025-04-29T00:00:00"/>
        <d v="2025-10-08T00:00:00"/>
        <d v="2024-06-15T00:00:00"/>
        <d v="2024-09-30T00:00:00"/>
        <d v="2025-01-22T00:00:00"/>
        <d v="2025-08-23T00:00:00"/>
        <d v="2024-11-11T00:00:00"/>
        <d v="2024-01-14T00:00:00"/>
        <d v="2024-08-29T00:00:00"/>
        <d v="2024-12-11T00:00:00"/>
        <d v="2025-07-18T00:00:00"/>
        <d v="2024-12-05T00:00:00"/>
        <d v="2024-04-01T00:00:00"/>
        <d v="2025-01-01T00:00:00"/>
        <d v="2025-03-30T00:00:00"/>
        <d v="2025-03-03T00:00:00"/>
        <d v="2025-05-23T00:00:00"/>
        <d v="2024-02-04T00:00:00"/>
        <d v="2024-07-24T00:00:00"/>
        <d v="2024-03-21T00:00:00"/>
        <d v="2025-07-15T00:00:00"/>
        <d v="2024-01-02T00:00:00"/>
        <d v="2025-01-24T00:00:00"/>
        <d v="2025-07-19T00:00:00"/>
        <d v="2024-04-15T00:00:00"/>
        <d v="2025-04-21T00:00:00"/>
        <d v="2025-12-03T00:00:00"/>
        <d v="2025-02-05T00:00:00"/>
        <d v="2025-12-30T00:00:00"/>
        <d v="2025-07-09T00:00:00"/>
        <d v="2024-06-10T00:00:00"/>
        <d v="2024-07-20T00:00:00"/>
        <d v="2024-09-26T00:00:00"/>
        <d v="2025-03-31T00:00:00"/>
        <d v="2025-04-06T00:00:00"/>
        <d v="2025-12-27T00:00:00"/>
        <d v="2024-09-08T00:00:00"/>
        <d v="2025-12-02T00:00:00"/>
        <d v="2024-10-22T00:00:00"/>
        <d v="2025-12-25T00:00:00"/>
        <d v="2025-12-20T00:00:00"/>
        <d v="2024-12-03T00:00:00"/>
        <d v="2024-02-22T00:00:00"/>
        <d v="2024-08-04T00:00:00"/>
        <d v="2024-07-06T00:00:00"/>
        <d v="2025-01-14T00:00:00"/>
        <d v="2025-05-07T00:00:00"/>
        <d v="2024-02-10T00:00:00"/>
        <d v="2024-06-05T00:00:00"/>
        <d v="2024-01-15T00:00:00"/>
        <d v="2024-03-05T00:00:00"/>
        <d v="2025-06-04T00:00:00"/>
      </sharedItems>
    </cacheField>
    <cacheField name="Product" numFmtId="0">
      <sharedItems count="7">
        <s v="Laptop"/>
        <s v="Monitor"/>
        <s v="Tablet"/>
        <s v="Headphones"/>
        <s v="Mobile"/>
        <s v="Mouse"/>
        <s v="Keyboard"/>
      </sharedItems>
    </cacheField>
    <cacheField name="Units Sold" numFmtId="0">
      <sharedItems containsSemiMixedTypes="0" containsString="0" containsNumber="1" containsInteger="1" minValue="1" maxValue="19" count="19">
        <n v="10"/>
        <n v="7"/>
        <n v="17"/>
        <n v="12"/>
        <n v="13"/>
        <n v="4"/>
        <n v="3"/>
        <n v="9"/>
        <n v="18"/>
        <n v="15"/>
        <n v="2"/>
        <n v="8"/>
        <n v="19"/>
        <n v="5"/>
        <n v="6"/>
        <n v="1"/>
        <n v="16"/>
        <n v="11"/>
        <n v="14"/>
      </sharedItems>
    </cacheField>
    <cacheField name="Unit Price" numFmtId="165">
      <sharedItems containsSemiMixedTypes="0" containsString="0" containsNumber="1" containsInteger="1" minValue="52" maxValue="1964"/>
    </cacheField>
    <cacheField name="Total Sales" numFmtId="165">
      <sharedItems containsSemiMixedTypes="0" containsString="0" containsNumber="1" containsInteger="1" minValue="220" maxValue="33478" count="99">
        <n v="19640"/>
        <n v="7784"/>
        <n v="14671"/>
        <n v="546"/>
        <n v="12084"/>
        <n v="8942"/>
        <n v="4771"/>
        <n v="1176"/>
        <n v="7970"/>
        <n v="2238"/>
        <n v="2889"/>
        <n v="19669"/>
        <n v="32778"/>
        <n v="19680"/>
        <n v="1704"/>
        <n v="4725"/>
        <n v="1950"/>
        <n v="14550"/>
        <n v="11456"/>
        <n v="3112"/>
        <n v="7446"/>
        <n v="7512"/>
        <n v="33478"/>
        <n v="520"/>
        <n v="13518"/>
        <n v="6075"/>
        <n v="2550"/>
        <n v="3486"/>
        <n v="4849"/>
        <n v="1170"/>
        <n v="1710"/>
        <n v="1738"/>
        <n v="2886"/>
        <n v="4524"/>
        <n v="15968"/>
        <n v="2536"/>
        <n v="4928"/>
        <n v="7794"/>
        <n v="5886"/>
        <n v="26923"/>
        <n v="8104"/>
        <n v="6065"/>
        <n v="944"/>
        <n v="11268"/>
        <n v="220"/>
        <n v="10868"/>
        <n v="5812"/>
        <n v="11385"/>
        <n v="5136"/>
        <n v="25721"/>
        <n v="8352"/>
        <n v="26125"/>
        <n v="2834"/>
        <n v="900"/>
        <n v="12485"/>
        <n v="15344"/>
        <n v="5225"/>
        <n v="15938"/>
        <n v="21408"/>
        <n v="3065"/>
        <n v="4926"/>
        <n v="6576"/>
        <n v="31483"/>
        <n v="1733"/>
        <n v="32878"/>
        <n v="19776"/>
        <n v="20745"/>
        <n v="934"/>
        <n v="18424"/>
        <n v="9396"/>
        <n v="7195"/>
        <n v="15433"/>
        <n v="4720"/>
        <n v="3575"/>
        <n v="9614"/>
        <n v="801"/>
        <n v="986"/>
        <n v="4812"/>
        <n v="9990"/>
        <n v="3080"/>
        <n v="9805"/>
        <n v="18470"/>
        <n v="19080"/>
        <n v="3692"/>
        <n v="1339"/>
        <n v="8960"/>
        <n v="1552"/>
        <n v="738"/>
        <n v="10548"/>
        <n v="18581"/>
        <n v="17667"/>
        <n v="20086"/>
        <n v="24690"/>
        <n v="11784"/>
        <n v="4689"/>
        <n v="7956"/>
        <n v="3695"/>
        <n v="10788"/>
        <n v="1998"/>
      </sharedItems>
    </cacheField>
    <cacheField name="Profit" numFmtId="165">
      <sharedItems containsSemiMixedTypes="0" containsString="0" containsNumber="1" minValue="33.292060069715887" maxValue="8756.5499715534334"/>
    </cacheField>
    <cacheField name="Profit Percent" numFmtId="2">
      <sharedItems containsSemiMixedTypes="0" containsString="0" containsNumber="1" minValue="5.2257601032387564" maxValue="29.803332908516811"/>
    </cacheField>
    <cacheField name="year" numFmtId="0">
      <sharedItems containsSemiMixedTypes="0" containsString="0" containsNumber="1" containsInteger="1" minValue="2024" maxValue="2025" count="2">
        <n v="2024"/>
        <n v="2025"/>
      </sharedItems>
    </cacheField>
    <cacheField name="month" numFmtId="0">
      <sharedItems count="12">
        <s v="Apr"/>
        <s v="Mar"/>
        <s v="Sep"/>
        <s v="Dec"/>
        <s v="Jan"/>
        <s v="May"/>
        <s v="Aug"/>
        <s v="Nov"/>
        <s v="Oct"/>
        <s v="Feb"/>
        <s v="Jul"/>
        <s v="Jun"/>
      </sharedItems>
    </cacheField>
    <cacheField name="region" numFmtId="0">
      <sharedItems count="4">
        <s v="north"/>
        <s v="east"/>
        <s v="south"/>
        <s v="west"/>
      </sharedItems>
    </cacheField>
  </cacheFields>
  <extLst>
    <ext xmlns:x14="http://schemas.microsoft.com/office/spreadsheetml/2009/9/main" uri="{725AE2AE-9491-48be-B2B4-4EB974FC3084}">
      <x14:pivotCacheDefinition pivotCacheId="1278167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1964"/>
    <x v="0"/>
    <n v="4005.2933277364132"/>
    <n v="20.393550548556099"/>
    <x v="0"/>
    <x v="0"/>
    <x v="0"/>
  </r>
  <r>
    <x v="1"/>
    <x v="1"/>
    <x v="0"/>
    <x v="1"/>
    <n v="1112"/>
    <x v="1"/>
    <n v="1029.467933987333"/>
    <n v="13.22543594536655"/>
    <x v="1"/>
    <x v="1"/>
    <x v="1"/>
  </r>
  <r>
    <x v="2"/>
    <x v="2"/>
    <x v="1"/>
    <x v="2"/>
    <n v="863"/>
    <x v="2"/>
    <n v="2458.0622043631929"/>
    <n v="16.754564817416629"/>
    <x v="0"/>
    <x v="2"/>
    <x v="1"/>
  </r>
  <r>
    <x v="3"/>
    <x v="3"/>
    <x v="2"/>
    <x v="1"/>
    <n v="78"/>
    <x v="3"/>
    <n v="128.89409245371141"/>
    <n v="23.606976639873889"/>
    <x v="0"/>
    <x v="0"/>
    <x v="0"/>
  </r>
  <r>
    <x v="4"/>
    <x v="4"/>
    <x v="2"/>
    <x v="3"/>
    <n v="1007"/>
    <x v="4"/>
    <n v="3238.0068252777992"/>
    <n v="26.795819474328031"/>
    <x v="0"/>
    <x v="1"/>
    <x v="2"/>
  </r>
  <r>
    <x v="5"/>
    <x v="5"/>
    <x v="1"/>
    <x v="2"/>
    <n v="526"/>
    <x v="5"/>
    <n v="1416.5364990595069"/>
    <n v="15.841383348909719"/>
    <x v="1"/>
    <x v="3"/>
    <x v="3"/>
  </r>
  <r>
    <x v="6"/>
    <x v="6"/>
    <x v="3"/>
    <x v="4"/>
    <n v="367"/>
    <x v="6"/>
    <n v="290.62744223045507"/>
    <n v="6.0915414426840302"/>
    <x v="0"/>
    <x v="4"/>
    <x v="0"/>
  </r>
  <r>
    <x v="7"/>
    <x v="7"/>
    <x v="2"/>
    <x v="5"/>
    <n v="294"/>
    <x v="7"/>
    <n v="106.33172797915999"/>
    <n v="9.0418136036700663"/>
    <x v="1"/>
    <x v="2"/>
    <x v="3"/>
  </r>
  <r>
    <x v="8"/>
    <x v="8"/>
    <x v="0"/>
    <x v="0"/>
    <n v="797"/>
    <x v="8"/>
    <n v="440.06582003838969"/>
    <n v="5.5215284822884527"/>
    <x v="0"/>
    <x v="5"/>
    <x v="2"/>
  </r>
  <r>
    <x v="9"/>
    <x v="9"/>
    <x v="0"/>
    <x v="6"/>
    <n v="746"/>
    <x v="9"/>
    <n v="477.40065926328617"/>
    <n v="21.33157548093325"/>
    <x v="1"/>
    <x v="0"/>
    <x v="0"/>
  </r>
  <r>
    <x v="10"/>
    <x v="10"/>
    <x v="4"/>
    <x v="7"/>
    <n v="321"/>
    <x v="10"/>
    <n v="384.46423816272738"/>
    <n v="13.30786563387773"/>
    <x v="0"/>
    <x v="6"/>
    <x v="2"/>
  </r>
  <r>
    <x v="11"/>
    <x v="11"/>
    <x v="2"/>
    <x v="4"/>
    <n v="1513"/>
    <x v="11"/>
    <n v="3650.9530714910602"/>
    <n v="18.56196589298419"/>
    <x v="0"/>
    <x v="7"/>
    <x v="2"/>
  </r>
  <r>
    <x v="12"/>
    <x v="12"/>
    <x v="3"/>
    <x v="8"/>
    <n v="1821"/>
    <x v="12"/>
    <n v="5681.0571209698464"/>
    <n v="17.331921169594992"/>
    <x v="1"/>
    <x v="0"/>
    <x v="3"/>
  </r>
  <r>
    <x v="13"/>
    <x v="13"/>
    <x v="1"/>
    <x v="9"/>
    <n v="1312"/>
    <x v="13"/>
    <n v="1385.1103285979391"/>
    <n v="7.0381622388106679"/>
    <x v="0"/>
    <x v="1"/>
    <x v="0"/>
  </r>
  <r>
    <x v="14"/>
    <x v="14"/>
    <x v="1"/>
    <x v="5"/>
    <n v="426"/>
    <x v="14"/>
    <n v="256.98933983875241"/>
    <n v="15.08153402809579"/>
    <x v="1"/>
    <x v="4"/>
    <x v="2"/>
  </r>
  <r>
    <x v="15"/>
    <x v="15"/>
    <x v="3"/>
    <x v="9"/>
    <n v="315"/>
    <x v="15"/>
    <n v="496.78782881449439"/>
    <n v="10.514028123058081"/>
    <x v="0"/>
    <x v="0"/>
    <x v="2"/>
  </r>
  <r>
    <x v="16"/>
    <x v="16"/>
    <x v="5"/>
    <x v="10"/>
    <n v="975"/>
    <x v="16"/>
    <n v="301.46989697548071"/>
    <n v="15.45999471669132"/>
    <x v="1"/>
    <x v="8"/>
    <x v="0"/>
  </r>
  <r>
    <x v="17"/>
    <x v="17"/>
    <x v="6"/>
    <x v="9"/>
    <n v="970"/>
    <x v="17"/>
    <n v="1468.0159947449081"/>
    <n v="10.089457008556071"/>
    <x v="0"/>
    <x v="5"/>
    <x v="2"/>
  </r>
  <r>
    <x v="18"/>
    <x v="18"/>
    <x v="4"/>
    <x v="11"/>
    <n v="1432"/>
    <x v="18"/>
    <n v="2979.8556915771378"/>
    <n v="26.01131015692334"/>
    <x v="1"/>
    <x v="8"/>
    <x v="2"/>
  </r>
  <r>
    <x v="19"/>
    <x v="19"/>
    <x v="1"/>
    <x v="11"/>
    <n v="389"/>
    <x v="19"/>
    <n v="291.12241585788132"/>
    <n v="9.3548334144563405"/>
    <x v="0"/>
    <x v="7"/>
    <x v="3"/>
  </r>
  <r>
    <x v="20"/>
    <x v="20"/>
    <x v="2"/>
    <x v="2"/>
    <n v="438"/>
    <x v="20"/>
    <n v="2160.792996593008"/>
    <n v="29.019513787174422"/>
    <x v="0"/>
    <x v="3"/>
    <x v="2"/>
  </r>
  <r>
    <x v="21"/>
    <x v="21"/>
    <x v="4"/>
    <x v="3"/>
    <n v="626"/>
    <x v="21"/>
    <n v="1156.674033623955"/>
    <n v="15.39768415367352"/>
    <x v="1"/>
    <x v="5"/>
    <x v="0"/>
  </r>
  <r>
    <x v="22"/>
    <x v="22"/>
    <x v="2"/>
    <x v="12"/>
    <n v="1762"/>
    <x v="22"/>
    <n v="8756.5499715534334"/>
    <n v="26.15613230047623"/>
    <x v="1"/>
    <x v="9"/>
    <x v="0"/>
  </r>
  <r>
    <x v="23"/>
    <x v="23"/>
    <x v="5"/>
    <x v="0"/>
    <n v="52"/>
    <x v="23"/>
    <n v="107.7394263667729"/>
    <n v="20.71912045514863"/>
    <x v="1"/>
    <x v="4"/>
    <x v="3"/>
  </r>
  <r>
    <x v="24"/>
    <x v="24"/>
    <x v="0"/>
    <x v="7"/>
    <n v="1502"/>
    <x v="24"/>
    <n v="3161.0163343409108"/>
    <n v="23.383757466643821"/>
    <x v="0"/>
    <x v="10"/>
    <x v="0"/>
  </r>
  <r>
    <x v="25"/>
    <x v="25"/>
    <x v="4"/>
    <x v="13"/>
    <n v="1215"/>
    <x v="25"/>
    <n v="1469.730655001423"/>
    <n v="24.193097201669509"/>
    <x v="0"/>
    <x v="8"/>
    <x v="3"/>
  </r>
  <r>
    <x v="26"/>
    <x v="26"/>
    <x v="1"/>
    <x v="14"/>
    <n v="425"/>
    <x v="26"/>
    <n v="449.33861220679881"/>
    <n v="17.621122047325439"/>
    <x v="0"/>
    <x v="11"/>
    <x v="3"/>
  </r>
  <r>
    <x v="27"/>
    <x v="27"/>
    <x v="4"/>
    <x v="10"/>
    <n v="1743"/>
    <x v="27"/>
    <n v="647.78640611110575"/>
    <n v="18.582513084082208"/>
    <x v="1"/>
    <x v="0"/>
    <x v="1"/>
  </r>
  <r>
    <x v="28"/>
    <x v="28"/>
    <x v="4"/>
    <x v="4"/>
    <n v="373"/>
    <x v="28"/>
    <n v="865.54149075112696"/>
    <n v="17.849896695218131"/>
    <x v="0"/>
    <x v="7"/>
    <x v="1"/>
  </r>
  <r>
    <x v="29"/>
    <x v="29"/>
    <x v="4"/>
    <x v="14"/>
    <n v="195"/>
    <x v="29"/>
    <n v="230.50707559134821"/>
    <n v="19.701459452251981"/>
    <x v="0"/>
    <x v="4"/>
    <x v="1"/>
  </r>
  <r>
    <x v="30"/>
    <x v="30"/>
    <x v="6"/>
    <x v="13"/>
    <n v="342"/>
    <x v="30"/>
    <n v="98.066125560906869"/>
    <n v="5.7348611439126822"/>
    <x v="0"/>
    <x v="2"/>
    <x v="0"/>
  </r>
  <r>
    <x v="31"/>
    <x v="31"/>
    <x v="4"/>
    <x v="15"/>
    <n v="1738"/>
    <x v="31"/>
    <n v="258.75134129939721"/>
    <n v="14.88787924622538"/>
    <x v="1"/>
    <x v="10"/>
    <x v="0"/>
  </r>
  <r>
    <x v="32"/>
    <x v="32"/>
    <x v="2"/>
    <x v="14"/>
    <n v="481"/>
    <x v="32"/>
    <n v="581.66515683438536"/>
    <n v="20.154717839029288"/>
    <x v="1"/>
    <x v="0"/>
    <x v="3"/>
  </r>
  <r>
    <x v="33"/>
    <x v="33"/>
    <x v="0"/>
    <x v="14"/>
    <n v="754"/>
    <x v="33"/>
    <n v="902.22535230438257"/>
    <n v="19.943089131396611"/>
    <x v="0"/>
    <x v="9"/>
    <x v="0"/>
  </r>
  <r>
    <x v="34"/>
    <x v="34"/>
    <x v="5"/>
    <x v="16"/>
    <n v="998"/>
    <x v="34"/>
    <n v="3963.880729665681"/>
    <n v="24.823902365140789"/>
    <x v="1"/>
    <x v="5"/>
    <x v="3"/>
  </r>
  <r>
    <x v="35"/>
    <x v="35"/>
    <x v="3"/>
    <x v="5"/>
    <n v="634"/>
    <x v="35"/>
    <n v="542.07592081955681"/>
    <n v="21.375233470802709"/>
    <x v="1"/>
    <x v="7"/>
    <x v="1"/>
  </r>
  <r>
    <x v="36"/>
    <x v="36"/>
    <x v="4"/>
    <x v="17"/>
    <n v="448"/>
    <x v="36"/>
    <n v="1468.708245731709"/>
    <n v="29.803332908516811"/>
    <x v="1"/>
    <x v="0"/>
    <x v="0"/>
  </r>
  <r>
    <x v="37"/>
    <x v="37"/>
    <x v="1"/>
    <x v="7"/>
    <n v="866"/>
    <x v="37"/>
    <n v="942.79054899394487"/>
    <n v="12.09636321521613"/>
    <x v="1"/>
    <x v="7"/>
    <x v="1"/>
  </r>
  <r>
    <x v="38"/>
    <x v="38"/>
    <x v="4"/>
    <x v="6"/>
    <n v="1962"/>
    <x v="38"/>
    <n v="822.79074015385959"/>
    <n v="13.97877574165579"/>
    <x v="0"/>
    <x v="10"/>
    <x v="0"/>
  </r>
  <r>
    <x v="39"/>
    <x v="39"/>
    <x v="1"/>
    <x v="12"/>
    <n v="1417"/>
    <x v="39"/>
    <n v="3929.7292174341701"/>
    <n v="14.596178796694909"/>
    <x v="1"/>
    <x v="7"/>
    <x v="1"/>
  </r>
  <r>
    <x v="40"/>
    <x v="40"/>
    <x v="2"/>
    <x v="11"/>
    <n v="1013"/>
    <x v="40"/>
    <n v="1348.9367470230229"/>
    <n v="16.64532017550621"/>
    <x v="1"/>
    <x v="10"/>
    <x v="0"/>
  </r>
  <r>
    <x v="41"/>
    <x v="41"/>
    <x v="1"/>
    <x v="13"/>
    <n v="1213"/>
    <x v="41"/>
    <n v="1570.832064208259"/>
    <n v="25.89995159453024"/>
    <x v="1"/>
    <x v="10"/>
    <x v="3"/>
  </r>
  <r>
    <x v="42"/>
    <x v="42"/>
    <x v="3"/>
    <x v="5"/>
    <n v="236"/>
    <x v="42"/>
    <n v="102.8469341743735"/>
    <n v="10.894802348980249"/>
    <x v="0"/>
    <x v="6"/>
    <x v="3"/>
  </r>
  <r>
    <x v="43"/>
    <x v="43"/>
    <x v="0"/>
    <x v="14"/>
    <n v="1878"/>
    <x v="43"/>
    <n v="2749.3925832188052"/>
    <n v="24.400005175885731"/>
    <x v="1"/>
    <x v="5"/>
    <x v="3"/>
  </r>
  <r>
    <x v="44"/>
    <x v="17"/>
    <x v="1"/>
    <x v="10"/>
    <n v="110"/>
    <x v="44"/>
    <n v="33.292060069715887"/>
    <n v="15.132754577143579"/>
    <x v="0"/>
    <x v="5"/>
    <x v="1"/>
  </r>
  <r>
    <x v="45"/>
    <x v="44"/>
    <x v="1"/>
    <x v="17"/>
    <n v="988"/>
    <x v="45"/>
    <n v="2178.641077409678"/>
    <n v="20.046384591550218"/>
    <x v="1"/>
    <x v="0"/>
    <x v="2"/>
  </r>
  <r>
    <x v="46"/>
    <x v="45"/>
    <x v="0"/>
    <x v="5"/>
    <n v="1453"/>
    <x v="46"/>
    <n v="1209.681394777823"/>
    <n v="20.813513330657649"/>
    <x v="1"/>
    <x v="8"/>
    <x v="3"/>
  </r>
  <r>
    <x v="47"/>
    <x v="6"/>
    <x v="3"/>
    <x v="9"/>
    <n v="759"/>
    <x v="47"/>
    <n v="1630.470433599005"/>
    <n v="14.32121592972336"/>
    <x v="0"/>
    <x v="4"/>
    <x v="3"/>
  </r>
  <r>
    <x v="48"/>
    <x v="46"/>
    <x v="4"/>
    <x v="14"/>
    <n v="856"/>
    <x v="48"/>
    <n v="914.99792348425387"/>
    <n v="17.81538013014513"/>
    <x v="0"/>
    <x v="11"/>
    <x v="1"/>
  </r>
  <r>
    <x v="49"/>
    <x v="47"/>
    <x v="1"/>
    <x v="2"/>
    <n v="1513"/>
    <x v="49"/>
    <n v="3941.9437107783542"/>
    <n v="15.32577936619243"/>
    <x v="0"/>
    <x v="2"/>
    <x v="2"/>
  </r>
  <r>
    <x v="50"/>
    <x v="48"/>
    <x v="0"/>
    <x v="14"/>
    <n v="1392"/>
    <x v="50"/>
    <n v="561.94925755766144"/>
    <n v="6.7283196546654862"/>
    <x v="1"/>
    <x v="4"/>
    <x v="2"/>
  </r>
  <r>
    <x v="51"/>
    <x v="49"/>
    <x v="2"/>
    <x v="12"/>
    <n v="1375"/>
    <x v="51"/>
    <n v="4161.4864457098984"/>
    <n v="15.929134720420659"/>
    <x v="1"/>
    <x v="6"/>
    <x v="3"/>
  </r>
  <r>
    <x v="52"/>
    <x v="50"/>
    <x v="0"/>
    <x v="10"/>
    <n v="1417"/>
    <x v="52"/>
    <n v="210.70321862419169"/>
    <n v="7.4348348138388047"/>
    <x v="0"/>
    <x v="7"/>
    <x v="3"/>
  </r>
  <r>
    <x v="53"/>
    <x v="51"/>
    <x v="2"/>
    <x v="9"/>
    <n v="60"/>
    <x v="53"/>
    <n v="136.12967979307231"/>
    <n v="15.12551997700804"/>
    <x v="0"/>
    <x v="4"/>
    <x v="1"/>
  </r>
  <r>
    <x v="54"/>
    <x v="52"/>
    <x v="3"/>
    <x v="17"/>
    <n v="1135"/>
    <x v="54"/>
    <n v="2474.8965554749489"/>
    <n v="19.822959995794552"/>
    <x v="0"/>
    <x v="6"/>
    <x v="1"/>
  </r>
  <r>
    <x v="55"/>
    <x v="53"/>
    <x v="4"/>
    <x v="11"/>
    <n v="1918"/>
    <x v="55"/>
    <n v="2989.8355538816691"/>
    <n v="19.485372483587518"/>
    <x v="0"/>
    <x v="3"/>
    <x v="0"/>
  </r>
  <r>
    <x v="56"/>
    <x v="54"/>
    <x v="0"/>
    <x v="12"/>
    <n v="275"/>
    <x v="56"/>
    <n v="1126.799045704618"/>
    <n v="21.56553197520801"/>
    <x v="1"/>
    <x v="10"/>
    <x v="1"/>
  </r>
  <r>
    <x v="57"/>
    <x v="55"/>
    <x v="5"/>
    <x v="4"/>
    <n v="1226"/>
    <x v="57"/>
    <n v="1176.469478445209"/>
    <n v="7.3815376988656576"/>
    <x v="0"/>
    <x v="3"/>
    <x v="1"/>
  </r>
  <r>
    <x v="58"/>
    <x v="56"/>
    <x v="5"/>
    <x v="3"/>
    <n v="1784"/>
    <x v="58"/>
    <n v="4560.5636100789043"/>
    <n v="21.30308113826095"/>
    <x v="0"/>
    <x v="0"/>
    <x v="2"/>
  </r>
  <r>
    <x v="59"/>
    <x v="57"/>
    <x v="6"/>
    <x v="13"/>
    <n v="613"/>
    <x v="59"/>
    <n v="392.43344844365259"/>
    <n v="12.80370141741118"/>
    <x v="1"/>
    <x v="4"/>
    <x v="3"/>
  </r>
  <r>
    <x v="60"/>
    <x v="58"/>
    <x v="1"/>
    <x v="14"/>
    <n v="821"/>
    <x v="60"/>
    <n v="737.72508266785235"/>
    <n v="14.97614865342778"/>
    <x v="1"/>
    <x v="1"/>
    <x v="1"/>
  </r>
  <r>
    <x v="61"/>
    <x v="59"/>
    <x v="3"/>
    <x v="5"/>
    <n v="1644"/>
    <x v="61"/>
    <n v="1739.3294014489279"/>
    <n v="26.449656348067641"/>
    <x v="1"/>
    <x v="1"/>
    <x v="2"/>
  </r>
  <r>
    <x v="62"/>
    <x v="60"/>
    <x v="0"/>
    <x v="12"/>
    <n v="1657"/>
    <x v="62"/>
    <n v="1645.2260533026581"/>
    <n v="5.2257601032387564"/>
    <x v="1"/>
    <x v="5"/>
    <x v="1"/>
  </r>
  <r>
    <x v="63"/>
    <x v="61"/>
    <x v="5"/>
    <x v="15"/>
    <n v="1733"/>
    <x v="63"/>
    <n v="341.57977339481732"/>
    <n v="19.710315833515129"/>
    <x v="0"/>
    <x v="9"/>
    <x v="3"/>
  </r>
  <r>
    <x v="64"/>
    <x v="62"/>
    <x v="1"/>
    <x v="2"/>
    <n v="1934"/>
    <x v="64"/>
    <n v="6565.0295594328336"/>
    <n v="19.967849502502691"/>
    <x v="0"/>
    <x v="10"/>
    <x v="0"/>
  </r>
  <r>
    <x v="65"/>
    <x v="63"/>
    <x v="5"/>
    <x v="3"/>
    <n v="1648"/>
    <x v="65"/>
    <n v="2949.8859342425699"/>
    <n v="14.916494408589051"/>
    <x v="0"/>
    <x v="1"/>
    <x v="0"/>
  </r>
  <r>
    <x v="66"/>
    <x v="64"/>
    <x v="0"/>
    <x v="9"/>
    <n v="1383"/>
    <x v="66"/>
    <n v="2266.5357239281079"/>
    <n v="10.925696427708401"/>
    <x v="1"/>
    <x v="10"/>
    <x v="1"/>
  </r>
  <r>
    <x v="67"/>
    <x v="48"/>
    <x v="2"/>
    <x v="15"/>
    <n v="934"/>
    <x v="67"/>
    <n v="101.4963879340722"/>
    <n v="10.86685095653878"/>
    <x v="1"/>
    <x v="4"/>
    <x v="0"/>
  </r>
  <r>
    <x v="68"/>
    <x v="65"/>
    <x v="0"/>
    <x v="18"/>
    <n v="1316"/>
    <x v="68"/>
    <n v="4991.5667384574272"/>
    <n v="27.092741741518822"/>
    <x v="0"/>
    <x v="4"/>
    <x v="3"/>
  </r>
  <r>
    <x v="69"/>
    <x v="66"/>
    <x v="6"/>
    <x v="14"/>
    <n v="1566"/>
    <x v="69"/>
    <n v="1508.1152540159319"/>
    <n v="16.050609344571441"/>
    <x v="1"/>
    <x v="4"/>
    <x v="2"/>
  </r>
  <r>
    <x v="70"/>
    <x v="67"/>
    <x v="0"/>
    <x v="13"/>
    <n v="1439"/>
    <x v="70"/>
    <n v="954.93724167677317"/>
    <n v="13.272234074729299"/>
    <x v="1"/>
    <x v="10"/>
    <x v="1"/>
  </r>
  <r>
    <x v="71"/>
    <x v="68"/>
    <x v="0"/>
    <x v="17"/>
    <n v="1403"/>
    <x v="71"/>
    <n v="2503.14607423501"/>
    <n v="16.21943934578508"/>
    <x v="0"/>
    <x v="0"/>
    <x v="1"/>
  </r>
  <r>
    <x v="72"/>
    <x v="69"/>
    <x v="6"/>
    <x v="5"/>
    <n v="1180"/>
    <x v="72"/>
    <n v="1025.8806737220459"/>
    <n v="21.73476003648403"/>
    <x v="1"/>
    <x v="0"/>
    <x v="0"/>
  </r>
  <r>
    <x v="73"/>
    <x v="70"/>
    <x v="3"/>
    <x v="4"/>
    <n v="275"/>
    <x v="73"/>
    <n v="309.01993286874682"/>
    <n v="8.6439142061187919"/>
    <x v="1"/>
    <x v="3"/>
    <x v="2"/>
  </r>
  <r>
    <x v="74"/>
    <x v="71"/>
    <x v="0"/>
    <x v="17"/>
    <n v="874"/>
    <x v="74"/>
    <n v="1560.914222936218"/>
    <n v="16.23584588034344"/>
    <x v="1"/>
    <x v="9"/>
    <x v="3"/>
  </r>
  <r>
    <x v="75"/>
    <x v="72"/>
    <x v="6"/>
    <x v="6"/>
    <n v="267"/>
    <x v="75"/>
    <n v="157.77384531485501"/>
    <n v="19.697109277759669"/>
    <x v="1"/>
    <x v="3"/>
    <x v="3"/>
  </r>
  <r>
    <x v="76"/>
    <x v="73"/>
    <x v="1"/>
    <x v="15"/>
    <n v="986"/>
    <x v="76"/>
    <n v="283.12579697087841"/>
    <n v="28.714583871285839"/>
    <x v="1"/>
    <x v="10"/>
    <x v="2"/>
  </r>
  <r>
    <x v="77"/>
    <x v="74"/>
    <x v="2"/>
    <x v="14"/>
    <n v="802"/>
    <x v="77"/>
    <n v="544.39092183672938"/>
    <n v="11.313194551885481"/>
    <x v="0"/>
    <x v="11"/>
    <x v="3"/>
  </r>
  <r>
    <x v="78"/>
    <x v="75"/>
    <x v="2"/>
    <x v="8"/>
    <n v="555"/>
    <x v="78"/>
    <n v="1396.7287429208229"/>
    <n v="13.98126869790614"/>
    <x v="0"/>
    <x v="10"/>
    <x v="3"/>
  </r>
  <r>
    <x v="79"/>
    <x v="76"/>
    <x v="0"/>
    <x v="0"/>
    <n v="308"/>
    <x v="79"/>
    <n v="446.10611424026638"/>
    <n v="14.4839647480606"/>
    <x v="0"/>
    <x v="2"/>
    <x v="0"/>
  </r>
  <r>
    <x v="80"/>
    <x v="2"/>
    <x v="3"/>
    <x v="13"/>
    <n v="1961"/>
    <x v="80"/>
    <n v="1974.575408927019"/>
    <n v="20.138453941122069"/>
    <x v="0"/>
    <x v="2"/>
    <x v="1"/>
  </r>
  <r>
    <x v="81"/>
    <x v="77"/>
    <x v="3"/>
    <x v="0"/>
    <n v="1847"/>
    <x v="81"/>
    <n v="2570.7102549122078"/>
    <n v="13.918301326000041"/>
    <x v="1"/>
    <x v="1"/>
    <x v="1"/>
  </r>
  <r>
    <x v="82"/>
    <x v="78"/>
    <x v="1"/>
    <x v="3"/>
    <n v="1590"/>
    <x v="82"/>
    <n v="3498.8518836795479"/>
    <n v="18.337798132492392"/>
    <x v="1"/>
    <x v="0"/>
    <x v="3"/>
  </r>
  <r>
    <x v="83"/>
    <x v="79"/>
    <x v="0"/>
    <x v="10"/>
    <n v="1846"/>
    <x v="83"/>
    <n v="906.19247444696214"/>
    <n v="24.544758246125731"/>
    <x v="1"/>
    <x v="3"/>
    <x v="0"/>
  </r>
  <r>
    <x v="84"/>
    <x v="80"/>
    <x v="2"/>
    <x v="4"/>
    <n v="103"/>
    <x v="84"/>
    <n v="303.07782762906021"/>
    <n v="22.63463985280509"/>
    <x v="0"/>
    <x v="2"/>
    <x v="0"/>
  </r>
  <r>
    <x v="85"/>
    <x v="81"/>
    <x v="3"/>
    <x v="11"/>
    <n v="1120"/>
    <x v="85"/>
    <n v="1447.8657681881921"/>
    <n v="16.159216162814641"/>
    <x v="1"/>
    <x v="3"/>
    <x v="1"/>
  </r>
  <r>
    <x v="86"/>
    <x v="82"/>
    <x v="0"/>
    <x v="10"/>
    <n v="776"/>
    <x v="86"/>
    <n v="412.91587693757759"/>
    <n v="26.60540444185423"/>
    <x v="0"/>
    <x v="8"/>
    <x v="0"/>
  </r>
  <r>
    <x v="87"/>
    <x v="83"/>
    <x v="5"/>
    <x v="15"/>
    <n v="738"/>
    <x v="87"/>
    <n v="139.87687605006769"/>
    <n v="18.953506239846579"/>
    <x v="1"/>
    <x v="3"/>
    <x v="3"/>
  </r>
  <r>
    <x v="88"/>
    <x v="84"/>
    <x v="3"/>
    <x v="13"/>
    <n v="1594"/>
    <x v="8"/>
    <n v="1474.2623852081581"/>
    <n v="18.497645987555309"/>
    <x v="1"/>
    <x v="3"/>
    <x v="3"/>
  </r>
  <r>
    <x v="89"/>
    <x v="85"/>
    <x v="6"/>
    <x v="7"/>
    <n v="1172"/>
    <x v="88"/>
    <n v="617.55313878156016"/>
    <n v="5.8546941484789548"/>
    <x v="0"/>
    <x v="3"/>
    <x v="0"/>
  </r>
  <r>
    <x v="90"/>
    <x v="86"/>
    <x v="5"/>
    <x v="2"/>
    <n v="1093"/>
    <x v="89"/>
    <n v="5512.4855670041043"/>
    <n v="29.667324508929038"/>
    <x v="0"/>
    <x v="9"/>
    <x v="2"/>
  </r>
  <r>
    <x v="91"/>
    <x v="87"/>
    <x v="3"/>
    <x v="7"/>
    <n v="1963"/>
    <x v="90"/>
    <n v="1426.4813185732289"/>
    <n v="8.0742702132406681"/>
    <x v="0"/>
    <x v="6"/>
    <x v="1"/>
  </r>
  <r>
    <x v="92"/>
    <x v="88"/>
    <x v="2"/>
    <x v="17"/>
    <n v="1826"/>
    <x v="91"/>
    <n v="2164.923876755428"/>
    <n v="10.77827281069117"/>
    <x v="0"/>
    <x v="10"/>
    <x v="3"/>
  </r>
  <r>
    <x v="93"/>
    <x v="89"/>
    <x v="4"/>
    <x v="9"/>
    <n v="1646"/>
    <x v="92"/>
    <n v="1553.5987278733251"/>
    <n v="6.2924209310381736"/>
    <x v="1"/>
    <x v="4"/>
    <x v="0"/>
  </r>
  <r>
    <x v="94"/>
    <x v="90"/>
    <x v="5"/>
    <x v="14"/>
    <n v="1964"/>
    <x v="93"/>
    <n v="2474.6487403015481"/>
    <n v="21.00007417092284"/>
    <x v="1"/>
    <x v="5"/>
    <x v="1"/>
  </r>
  <r>
    <x v="95"/>
    <x v="91"/>
    <x v="1"/>
    <x v="6"/>
    <n v="1563"/>
    <x v="94"/>
    <n v="497.85595470622411"/>
    <n v="10.617529424317"/>
    <x v="0"/>
    <x v="9"/>
    <x v="2"/>
  </r>
  <r>
    <x v="96"/>
    <x v="92"/>
    <x v="1"/>
    <x v="2"/>
    <n v="468"/>
    <x v="95"/>
    <n v="755.84076013324704"/>
    <n v="9.500260936818087"/>
    <x v="0"/>
    <x v="11"/>
    <x v="2"/>
  </r>
  <r>
    <x v="97"/>
    <x v="93"/>
    <x v="2"/>
    <x v="13"/>
    <n v="739"/>
    <x v="96"/>
    <n v="266.55322092621918"/>
    <n v="7.2138896055810351"/>
    <x v="0"/>
    <x v="4"/>
    <x v="2"/>
  </r>
  <r>
    <x v="98"/>
    <x v="94"/>
    <x v="3"/>
    <x v="3"/>
    <n v="899"/>
    <x v="97"/>
    <n v="818.02425736347027"/>
    <n v="7.5827239281003918"/>
    <x v="0"/>
    <x v="1"/>
    <x v="2"/>
  </r>
  <r>
    <x v="99"/>
    <x v="95"/>
    <x v="0"/>
    <x v="8"/>
    <n v="111"/>
    <x v="98"/>
    <n v="391.9430148710731"/>
    <n v="19.616767511064719"/>
    <x v="1"/>
    <x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0BBFF-3A54-4344-9F25-ACCFDE4D59C4}"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117:F124" firstHeaderRow="1" firstDataRow="2" firstDataCol="1"/>
  <pivotFields count="11">
    <pivotField showAll="0"/>
    <pivotField numFmtId="164" showAll="0"/>
    <pivotField axis="axisRow" showAll="0" measureFilter="1">
      <items count="8">
        <item x="3"/>
        <item x="6"/>
        <item x="0"/>
        <item x="4"/>
        <item x="1"/>
        <item x="5"/>
        <item x="2"/>
        <item t="default"/>
      </items>
    </pivotField>
    <pivotField showAll="0">
      <items count="20">
        <item x="15"/>
        <item x="10"/>
        <item x="6"/>
        <item x="5"/>
        <item x="13"/>
        <item x="14"/>
        <item x="1"/>
        <item x="11"/>
        <item x="7"/>
        <item x="0"/>
        <item x="17"/>
        <item x="3"/>
        <item x="4"/>
        <item x="18"/>
        <item x="9"/>
        <item x="16"/>
        <item x="2"/>
        <item x="8"/>
        <item x="12"/>
        <item t="default"/>
      </items>
    </pivotField>
    <pivotField numFmtId="165" showAll="0"/>
    <pivotField dataField="1" numFmtId="165" showAll="0"/>
    <pivotField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axis="axisCol" showAll="0">
      <items count="5">
        <item x="1"/>
        <item x="0"/>
        <item x="2"/>
        <item x="3"/>
        <item t="default"/>
      </items>
    </pivotField>
  </pivotFields>
  <rowFields count="1">
    <field x="2"/>
  </rowFields>
  <rowItems count="6">
    <i>
      <x/>
    </i>
    <i>
      <x v="1"/>
    </i>
    <i>
      <x v="3"/>
    </i>
    <i>
      <x v="5"/>
    </i>
    <i>
      <x v="6"/>
    </i>
    <i t="grand">
      <x/>
    </i>
  </rowItems>
  <colFields count="1">
    <field x="10"/>
  </colFields>
  <colItems count="5">
    <i>
      <x/>
    </i>
    <i>
      <x v="1"/>
    </i>
    <i>
      <x v="2"/>
    </i>
    <i>
      <x v="3"/>
    </i>
    <i t="grand">
      <x/>
    </i>
  </colItems>
  <dataFields count="1">
    <dataField name="Sum of Total Sales" fld="5" baseField="0" baseItem="0"/>
  </dataFields>
  <chartFormats count="1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2" format="6" series="1">
      <pivotArea type="data" outline="0" fieldPosition="0">
        <references count="2">
          <reference field="4294967294" count="1" selected="0">
            <x v="0"/>
          </reference>
          <reference field="10" count="1" selected="0">
            <x v="2"/>
          </reference>
        </references>
      </pivotArea>
    </chartFormat>
    <chartFormat chart="2" format="7" series="1">
      <pivotArea type="data" outline="0" fieldPosition="0">
        <references count="2">
          <reference field="4294967294" count="1" selected="0">
            <x v="0"/>
          </reference>
          <reference field="10" count="1" selected="0">
            <x v="3"/>
          </reference>
        </references>
      </pivotArea>
    </chartFormat>
    <chartFormat chart="3" format="8" series="1">
      <pivotArea type="data" outline="0" fieldPosition="0">
        <references count="2">
          <reference field="4294967294" count="1" selected="0">
            <x v="0"/>
          </reference>
          <reference field="10" count="1" selected="0">
            <x v="0"/>
          </reference>
        </references>
      </pivotArea>
    </chartFormat>
    <chartFormat chart="3" format="9" series="1">
      <pivotArea type="data" outline="0" fieldPosition="0">
        <references count="2">
          <reference field="4294967294" count="1" selected="0">
            <x v="0"/>
          </reference>
          <reference field="10" count="1" selected="0">
            <x v="1"/>
          </reference>
        </references>
      </pivotArea>
    </chartFormat>
    <chartFormat chart="3" format="10" series="1">
      <pivotArea type="data" outline="0" fieldPosition="0">
        <references count="2">
          <reference field="4294967294" count="1" selected="0">
            <x v="0"/>
          </reference>
          <reference field="10" count="1" selected="0">
            <x v="2"/>
          </reference>
        </references>
      </pivotArea>
    </chartFormat>
    <chartFormat chart="3" format="11" series="1">
      <pivotArea type="data" outline="0" fieldPosition="0">
        <references count="2">
          <reference field="4294967294" count="1" selected="0">
            <x v="0"/>
          </reference>
          <reference field="10" count="1" selected="0">
            <x v="3"/>
          </reference>
        </references>
      </pivotArea>
    </chartFormat>
    <chartFormat chart="3" format="12"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0507C2-248D-4175-9A19-154FC6A96808}" name="total q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B22" firstHeaderRow="1" firstDataRow="1" firstDataCol="1"/>
  <pivotFields count="11">
    <pivotField showAll="0"/>
    <pivotField numFmtId="164" showAll="0"/>
    <pivotField axis="axisRow" showAll="0">
      <items count="8">
        <item x="3"/>
        <item x="6"/>
        <item x="0"/>
        <item x="4"/>
        <item x="1"/>
        <item x="5"/>
        <item x="2"/>
        <item t="default"/>
      </items>
    </pivotField>
    <pivotField dataField="1" showAll="0"/>
    <pivotField numFmtId="165" showAll="0"/>
    <pivotField numFmtId="165" showAll="0"/>
    <pivotField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showAll="0">
      <items count="5">
        <item x="1"/>
        <item x="0"/>
        <item x="2"/>
        <item x="3"/>
        <item t="default"/>
      </items>
    </pivotField>
  </pivotFields>
  <rowFields count="1">
    <field x="2"/>
  </rowFields>
  <rowItems count="8">
    <i>
      <x/>
    </i>
    <i>
      <x v="1"/>
    </i>
    <i>
      <x v="2"/>
    </i>
    <i>
      <x v="3"/>
    </i>
    <i>
      <x v="4"/>
    </i>
    <i>
      <x v="5"/>
    </i>
    <i>
      <x v="6"/>
    </i>
    <i t="grand">
      <x/>
    </i>
  </rowItems>
  <colItems count="1">
    <i/>
  </colItems>
  <dataFields count="1">
    <dataField name="Sum of Units Sold" fld="3" baseField="0" baseItem="0"/>
  </dataFields>
  <chartFormats count="32">
    <chartFormat chart="0" format="0" series="1">
      <pivotArea type="data" outline="0" fieldPosition="0">
        <references count="1">
          <reference field="4294967294" count="1" selected="0">
            <x v="0"/>
          </reference>
        </references>
      </pivotArea>
    </chartFormat>
    <chartFormat chart="15" format="33" series="1">
      <pivotArea type="data" outline="0" fieldPosition="0">
        <references count="1">
          <reference field="4294967294" count="1" selected="0">
            <x v="0"/>
          </reference>
        </references>
      </pivotArea>
    </chartFormat>
    <chartFormat chart="15" format="34">
      <pivotArea type="data" outline="0" fieldPosition="0">
        <references count="2">
          <reference field="4294967294" count="1" selected="0">
            <x v="0"/>
          </reference>
          <reference field="2" count="1" selected="0">
            <x v="0"/>
          </reference>
        </references>
      </pivotArea>
    </chartFormat>
    <chartFormat chart="15" format="35">
      <pivotArea type="data" outline="0" fieldPosition="0">
        <references count="2">
          <reference field="4294967294" count="1" selected="0">
            <x v="0"/>
          </reference>
          <reference field="2" count="1" selected="0">
            <x v="1"/>
          </reference>
        </references>
      </pivotArea>
    </chartFormat>
    <chartFormat chart="15" format="36">
      <pivotArea type="data" outline="0" fieldPosition="0">
        <references count="2">
          <reference field="4294967294" count="1" selected="0">
            <x v="0"/>
          </reference>
          <reference field="2" count="1" selected="0">
            <x v="2"/>
          </reference>
        </references>
      </pivotArea>
    </chartFormat>
    <chartFormat chart="15" format="37">
      <pivotArea type="data" outline="0" fieldPosition="0">
        <references count="2">
          <reference field="4294967294" count="1" selected="0">
            <x v="0"/>
          </reference>
          <reference field="2" count="1" selected="0">
            <x v="3"/>
          </reference>
        </references>
      </pivotArea>
    </chartFormat>
    <chartFormat chart="15" format="38">
      <pivotArea type="data" outline="0" fieldPosition="0">
        <references count="2">
          <reference field="4294967294" count="1" selected="0">
            <x v="0"/>
          </reference>
          <reference field="2" count="1" selected="0">
            <x v="4"/>
          </reference>
        </references>
      </pivotArea>
    </chartFormat>
    <chartFormat chart="15" format="39">
      <pivotArea type="data" outline="0" fieldPosition="0">
        <references count="2">
          <reference field="4294967294" count="1" selected="0">
            <x v="0"/>
          </reference>
          <reference field="2" count="1" selected="0">
            <x v="5"/>
          </reference>
        </references>
      </pivotArea>
    </chartFormat>
    <chartFormat chart="15" format="40">
      <pivotArea type="data" outline="0" fieldPosition="0">
        <references count="2">
          <reference field="4294967294" count="1" selected="0">
            <x v="0"/>
          </reference>
          <reference field="2" count="1" selected="0">
            <x v="6"/>
          </reference>
        </references>
      </pivotArea>
    </chartFormat>
    <chartFormat chart="16" format="41" series="1">
      <pivotArea type="data" outline="0" fieldPosition="0">
        <references count="1">
          <reference field="4294967294" count="1" selected="0">
            <x v="0"/>
          </reference>
        </references>
      </pivotArea>
    </chartFormat>
    <chartFormat chart="16" format="42">
      <pivotArea type="data" outline="0" fieldPosition="0">
        <references count="2">
          <reference field="4294967294" count="1" selected="0">
            <x v="0"/>
          </reference>
          <reference field="2" count="1" selected="0">
            <x v="0"/>
          </reference>
        </references>
      </pivotArea>
    </chartFormat>
    <chartFormat chart="16" format="43">
      <pivotArea type="data" outline="0" fieldPosition="0">
        <references count="2">
          <reference field="4294967294" count="1" selected="0">
            <x v="0"/>
          </reference>
          <reference field="2" count="1" selected="0">
            <x v="1"/>
          </reference>
        </references>
      </pivotArea>
    </chartFormat>
    <chartFormat chart="16" format="44">
      <pivotArea type="data" outline="0" fieldPosition="0">
        <references count="2">
          <reference field="4294967294" count="1" selected="0">
            <x v="0"/>
          </reference>
          <reference field="2" count="1" selected="0">
            <x v="2"/>
          </reference>
        </references>
      </pivotArea>
    </chartFormat>
    <chartFormat chart="16" format="45">
      <pivotArea type="data" outline="0" fieldPosition="0">
        <references count="2">
          <reference field="4294967294" count="1" selected="0">
            <x v="0"/>
          </reference>
          <reference field="2" count="1" selected="0">
            <x v="3"/>
          </reference>
        </references>
      </pivotArea>
    </chartFormat>
    <chartFormat chart="16" format="46">
      <pivotArea type="data" outline="0" fieldPosition="0">
        <references count="2">
          <reference field="4294967294" count="1" selected="0">
            <x v="0"/>
          </reference>
          <reference field="2" count="1" selected="0">
            <x v="4"/>
          </reference>
        </references>
      </pivotArea>
    </chartFormat>
    <chartFormat chart="16" format="47">
      <pivotArea type="data" outline="0" fieldPosition="0">
        <references count="2">
          <reference field="4294967294" count="1" selected="0">
            <x v="0"/>
          </reference>
          <reference field="2" count="1" selected="0">
            <x v="5"/>
          </reference>
        </references>
      </pivotArea>
    </chartFormat>
    <chartFormat chart="16" format="48">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11" format="73" series="1">
      <pivotArea type="data" outline="0" fieldPosition="0">
        <references count="1">
          <reference field="4294967294" count="1" selected="0">
            <x v="0"/>
          </reference>
        </references>
      </pivotArea>
    </chartFormat>
    <chartFormat chart="11" format="74">
      <pivotArea type="data" outline="0" fieldPosition="0">
        <references count="2">
          <reference field="4294967294" count="1" selected="0">
            <x v="0"/>
          </reference>
          <reference field="2" count="1" selected="0">
            <x v="0"/>
          </reference>
        </references>
      </pivotArea>
    </chartFormat>
    <chartFormat chart="11" format="75">
      <pivotArea type="data" outline="0" fieldPosition="0">
        <references count="2">
          <reference field="4294967294" count="1" selected="0">
            <x v="0"/>
          </reference>
          <reference field="2" count="1" selected="0">
            <x v="1"/>
          </reference>
        </references>
      </pivotArea>
    </chartFormat>
    <chartFormat chart="11" format="76">
      <pivotArea type="data" outline="0" fieldPosition="0">
        <references count="2">
          <reference field="4294967294" count="1" selected="0">
            <x v="0"/>
          </reference>
          <reference field="2" count="1" selected="0">
            <x v="2"/>
          </reference>
        </references>
      </pivotArea>
    </chartFormat>
    <chartFormat chart="11" format="77">
      <pivotArea type="data" outline="0" fieldPosition="0">
        <references count="2">
          <reference field="4294967294" count="1" selected="0">
            <x v="0"/>
          </reference>
          <reference field="2" count="1" selected="0">
            <x v="3"/>
          </reference>
        </references>
      </pivotArea>
    </chartFormat>
    <chartFormat chart="11" format="78">
      <pivotArea type="data" outline="0" fieldPosition="0">
        <references count="2">
          <reference field="4294967294" count="1" selected="0">
            <x v="0"/>
          </reference>
          <reference field="2" count="1" selected="0">
            <x v="4"/>
          </reference>
        </references>
      </pivotArea>
    </chartFormat>
    <chartFormat chart="11" format="79">
      <pivotArea type="data" outline="0" fieldPosition="0">
        <references count="2">
          <reference field="4294967294" count="1" selected="0">
            <x v="0"/>
          </reference>
          <reference field="2" count="1" selected="0">
            <x v="5"/>
          </reference>
        </references>
      </pivotArea>
    </chartFormat>
    <chartFormat chart="11" format="80">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E66089-2D91-414E-A743-E4C39B1CA4E6}"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1">
    <pivotField showAll="0"/>
    <pivotField numFmtId="164" showAll="0"/>
    <pivotField axis="axisRow" showAll="0">
      <items count="8">
        <item x="3"/>
        <item x="6"/>
        <item x="0"/>
        <item x="4"/>
        <item x="1"/>
        <item x="5"/>
        <item x="2"/>
        <item t="default"/>
      </items>
    </pivotField>
    <pivotField showAll="0"/>
    <pivotField numFmtId="165" showAll="0"/>
    <pivotField dataField="1" numFmtId="165" showAll="0"/>
    <pivotField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showAll="0">
      <items count="5">
        <item x="1"/>
        <item x="0"/>
        <item x="2"/>
        <item x="3"/>
        <item t="default"/>
      </items>
    </pivotField>
  </pivotFields>
  <rowFields count="1">
    <field x="2"/>
  </rowFields>
  <rowItems count="8">
    <i>
      <x/>
    </i>
    <i>
      <x v="1"/>
    </i>
    <i>
      <x v="2"/>
    </i>
    <i>
      <x v="3"/>
    </i>
    <i>
      <x v="4"/>
    </i>
    <i>
      <x v="5"/>
    </i>
    <i>
      <x v="6"/>
    </i>
    <i t="grand">
      <x/>
    </i>
  </rowItems>
  <colItems count="1">
    <i/>
  </colItems>
  <dataFields count="1">
    <dataField name="Sum of Total Sales" fld="5" baseField="0" baseItem="0" numFmtId="165"/>
  </dataFields>
  <chartFormats count="32">
    <chartFormat chart="0" format="0" series="1">
      <pivotArea type="data" outline="0" fieldPosition="0">
        <references count="1">
          <reference field="4294967294" count="1" selected="0">
            <x v="0"/>
          </reference>
        </references>
      </pivotArea>
    </chartFormat>
    <chartFormat chart="14" format="33" series="1">
      <pivotArea type="data" outline="0" fieldPosition="0">
        <references count="1">
          <reference field="4294967294" count="1" selected="0">
            <x v="0"/>
          </reference>
        </references>
      </pivotArea>
    </chartFormat>
    <chartFormat chart="14" format="34">
      <pivotArea type="data" outline="0" fieldPosition="0">
        <references count="2">
          <reference field="4294967294" count="1" selected="0">
            <x v="0"/>
          </reference>
          <reference field="2" count="1" selected="0">
            <x v="0"/>
          </reference>
        </references>
      </pivotArea>
    </chartFormat>
    <chartFormat chart="14" format="35">
      <pivotArea type="data" outline="0" fieldPosition="0">
        <references count="2">
          <reference field="4294967294" count="1" selected="0">
            <x v="0"/>
          </reference>
          <reference field="2" count="1" selected="0">
            <x v="1"/>
          </reference>
        </references>
      </pivotArea>
    </chartFormat>
    <chartFormat chart="14" format="36">
      <pivotArea type="data" outline="0" fieldPosition="0">
        <references count="2">
          <reference field="4294967294" count="1" selected="0">
            <x v="0"/>
          </reference>
          <reference field="2" count="1" selected="0">
            <x v="2"/>
          </reference>
        </references>
      </pivotArea>
    </chartFormat>
    <chartFormat chart="14" format="37">
      <pivotArea type="data" outline="0" fieldPosition="0">
        <references count="2">
          <reference field="4294967294" count="1" selected="0">
            <x v="0"/>
          </reference>
          <reference field="2" count="1" selected="0">
            <x v="3"/>
          </reference>
        </references>
      </pivotArea>
    </chartFormat>
    <chartFormat chart="14" format="38">
      <pivotArea type="data" outline="0" fieldPosition="0">
        <references count="2">
          <reference field="4294967294" count="1" selected="0">
            <x v="0"/>
          </reference>
          <reference field="2" count="1" selected="0">
            <x v="4"/>
          </reference>
        </references>
      </pivotArea>
    </chartFormat>
    <chartFormat chart="14" format="39">
      <pivotArea type="data" outline="0" fieldPosition="0">
        <references count="2">
          <reference field="4294967294" count="1" selected="0">
            <x v="0"/>
          </reference>
          <reference field="2" count="1" selected="0">
            <x v="5"/>
          </reference>
        </references>
      </pivotArea>
    </chartFormat>
    <chartFormat chart="14" format="40">
      <pivotArea type="data" outline="0" fieldPosition="0">
        <references count="2">
          <reference field="4294967294" count="1" selected="0">
            <x v="0"/>
          </reference>
          <reference field="2" count="1" selected="0">
            <x v="6"/>
          </reference>
        </references>
      </pivotArea>
    </chartFormat>
    <chartFormat chart="15" format="41" series="1">
      <pivotArea type="data" outline="0" fieldPosition="0">
        <references count="1">
          <reference field="4294967294" count="1" selected="0">
            <x v="0"/>
          </reference>
        </references>
      </pivotArea>
    </chartFormat>
    <chartFormat chart="15" format="42">
      <pivotArea type="data" outline="0" fieldPosition="0">
        <references count="2">
          <reference field="4294967294" count="1" selected="0">
            <x v="0"/>
          </reference>
          <reference field="2" count="1" selected="0">
            <x v="0"/>
          </reference>
        </references>
      </pivotArea>
    </chartFormat>
    <chartFormat chart="15" format="43">
      <pivotArea type="data" outline="0" fieldPosition="0">
        <references count="2">
          <reference field="4294967294" count="1" selected="0">
            <x v="0"/>
          </reference>
          <reference field="2" count="1" selected="0">
            <x v="1"/>
          </reference>
        </references>
      </pivotArea>
    </chartFormat>
    <chartFormat chart="15" format="44">
      <pivotArea type="data" outline="0" fieldPosition="0">
        <references count="2">
          <reference field="4294967294" count="1" selected="0">
            <x v="0"/>
          </reference>
          <reference field="2" count="1" selected="0">
            <x v="2"/>
          </reference>
        </references>
      </pivotArea>
    </chartFormat>
    <chartFormat chart="15" format="45">
      <pivotArea type="data" outline="0" fieldPosition="0">
        <references count="2">
          <reference field="4294967294" count="1" selected="0">
            <x v="0"/>
          </reference>
          <reference field="2" count="1" selected="0">
            <x v="3"/>
          </reference>
        </references>
      </pivotArea>
    </chartFormat>
    <chartFormat chart="15" format="46">
      <pivotArea type="data" outline="0" fieldPosition="0">
        <references count="2">
          <reference field="4294967294" count="1" selected="0">
            <x v="0"/>
          </reference>
          <reference field="2" count="1" selected="0">
            <x v="4"/>
          </reference>
        </references>
      </pivotArea>
    </chartFormat>
    <chartFormat chart="15" format="47">
      <pivotArea type="data" outline="0" fieldPosition="0">
        <references count="2">
          <reference field="4294967294" count="1" selected="0">
            <x v="0"/>
          </reference>
          <reference field="2" count="1" selected="0">
            <x v="5"/>
          </reference>
        </references>
      </pivotArea>
    </chartFormat>
    <chartFormat chart="15" format="48">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10" format="97" series="1">
      <pivotArea type="data" outline="0" fieldPosition="0">
        <references count="1">
          <reference field="4294967294" count="1" selected="0">
            <x v="0"/>
          </reference>
        </references>
      </pivotArea>
    </chartFormat>
    <chartFormat chart="10" format="98">
      <pivotArea type="data" outline="0" fieldPosition="0">
        <references count="2">
          <reference field="4294967294" count="1" selected="0">
            <x v="0"/>
          </reference>
          <reference field="2" count="1" selected="0">
            <x v="0"/>
          </reference>
        </references>
      </pivotArea>
    </chartFormat>
    <chartFormat chart="10" format="99">
      <pivotArea type="data" outline="0" fieldPosition="0">
        <references count="2">
          <reference field="4294967294" count="1" selected="0">
            <x v="0"/>
          </reference>
          <reference field="2" count="1" selected="0">
            <x v="1"/>
          </reference>
        </references>
      </pivotArea>
    </chartFormat>
    <chartFormat chart="10" format="100">
      <pivotArea type="data" outline="0" fieldPosition="0">
        <references count="2">
          <reference field="4294967294" count="1" selected="0">
            <x v="0"/>
          </reference>
          <reference field="2" count="1" selected="0">
            <x v="2"/>
          </reference>
        </references>
      </pivotArea>
    </chartFormat>
    <chartFormat chart="10" format="101">
      <pivotArea type="data" outline="0" fieldPosition="0">
        <references count="2">
          <reference field="4294967294" count="1" selected="0">
            <x v="0"/>
          </reference>
          <reference field="2" count="1" selected="0">
            <x v="3"/>
          </reference>
        </references>
      </pivotArea>
    </chartFormat>
    <chartFormat chart="10" format="102">
      <pivotArea type="data" outline="0" fieldPosition="0">
        <references count="2">
          <reference field="4294967294" count="1" selected="0">
            <x v="0"/>
          </reference>
          <reference field="2" count="1" selected="0">
            <x v="4"/>
          </reference>
        </references>
      </pivotArea>
    </chartFormat>
    <chartFormat chart="10" format="103">
      <pivotArea type="data" outline="0" fieldPosition="0">
        <references count="2">
          <reference field="4294967294" count="1" selected="0">
            <x v="0"/>
          </reference>
          <reference field="2" count="1" selected="0">
            <x v="5"/>
          </reference>
        </references>
      </pivotArea>
    </chartFormat>
    <chartFormat chart="10" format="104">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BFA33-C14B-44DE-9850-623430162901}" name="prft bt re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9:B64" firstHeaderRow="1" firstDataRow="1" firstDataCol="1"/>
  <pivotFields count="11">
    <pivotField showAll="0"/>
    <pivotField numFmtId="164" showAll="0"/>
    <pivotField showAll="0"/>
    <pivotField showAll="0"/>
    <pivotField numFmtId="165" showAll="0"/>
    <pivotField numFmtId="165" showAll="0"/>
    <pivotField dataField="1"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axis="axisRow" showAll="0">
      <items count="5">
        <item x="1"/>
        <item x="0"/>
        <item x="2"/>
        <item x="3"/>
        <item t="default"/>
      </items>
    </pivotField>
  </pivotFields>
  <rowFields count="1">
    <field x="10"/>
  </rowFields>
  <rowItems count="5">
    <i>
      <x/>
    </i>
    <i>
      <x v="1"/>
    </i>
    <i>
      <x v="2"/>
    </i>
    <i>
      <x v="3"/>
    </i>
    <i t="grand">
      <x/>
    </i>
  </rowItems>
  <colItems count="1">
    <i/>
  </colItems>
  <dataFields count="1">
    <dataField name="Sum of Profit" fld="6" baseField="0" baseItem="0" numFmtId="165"/>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31FCE6-1D33-4F70-9EEF-E0BA5BFBF595}" name="prft prs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6:B44" firstHeaderRow="1" firstDataRow="1" firstDataCol="1"/>
  <pivotFields count="11">
    <pivotField showAll="0"/>
    <pivotField numFmtId="164" showAll="0"/>
    <pivotField axis="axisRow" showAll="0">
      <items count="8">
        <item x="3"/>
        <item x="6"/>
        <item x="0"/>
        <item x="4"/>
        <item x="1"/>
        <item x="5"/>
        <item x="2"/>
        <item t="default"/>
      </items>
    </pivotField>
    <pivotField showAll="0"/>
    <pivotField numFmtId="165" showAll="0"/>
    <pivotField numFmtId="165" showAll="0"/>
    <pivotField numFmtId="165" showAll="0"/>
    <pivotField dataField="1" numFmtId="2" showAll="0"/>
    <pivotField showAll="0">
      <items count="3">
        <item h="1" x="0"/>
        <item x="1"/>
        <item t="default"/>
      </items>
    </pivotField>
    <pivotField showAll="0">
      <items count="13">
        <item x="4"/>
        <item x="9"/>
        <item x="1"/>
        <item x="0"/>
        <item x="5"/>
        <item x="11"/>
        <item x="10"/>
        <item x="6"/>
        <item x="2"/>
        <item x="8"/>
        <item x="7"/>
        <item x="3"/>
        <item t="default"/>
      </items>
    </pivotField>
    <pivotField showAll="0">
      <items count="5">
        <item x="1"/>
        <item x="0"/>
        <item x="2"/>
        <item x="3"/>
        <item t="default"/>
      </items>
    </pivotField>
  </pivotFields>
  <rowFields count="1">
    <field x="2"/>
  </rowFields>
  <rowItems count="8">
    <i>
      <x/>
    </i>
    <i>
      <x v="1"/>
    </i>
    <i>
      <x v="2"/>
    </i>
    <i>
      <x v="3"/>
    </i>
    <i>
      <x v="4"/>
    </i>
    <i>
      <x v="5"/>
    </i>
    <i>
      <x v="6"/>
    </i>
    <i t="grand">
      <x/>
    </i>
  </rowItems>
  <colItems count="1">
    <i/>
  </colItems>
  <dataFields count="1">
    <dataField name="Sum of Profit Percent" fld="7" baseField="0" baseItem="0" numFmtId="2"/>
  </dataFields>
  <chartFormats count="32">
    <chartFormat chart="0" format="0" series="1">
      <pivotArea type="data" outline="0" fieldPosition="0">
        <references count="1">
          <reference field="4294967294" count="1" selected="0">
            <x v="0"/>
          </reference>
        </references>
      </pivotArea>
    </chartFormat>
    <chartFormat chart="13" format="33" series="1">
      <pivotArea type="data" outline="0" fieldPosition="0">
        <references count="1">
          <reference field="4294967294" count="1" selected="0">
            <x v="0"/>
          </reference>
        </references>
      </pivotArea>
    </chartFormat>
    <chartFormat chart="13" format="34">
      <pivotArea type="data" outline="0" fieldPosition="0">
        <references count="2">
          <reference field="4294967294" count="1" selected="0">
            <x v="0"/>
          </reference>
          <reference field="2" count="1" selected="0">
            <x v="0"/>
          </reference>
        </references>
      </pivotArea>
    </chartFormat>
    <chartFormat chart="13" format="35">
      <pivotArea type="data" outline="0" fieldPosition="0">
        <references count="2">
          <reference field="4294967294" count="1" selected="0">
            <x v="0"/>
          </reference>
          <reference field="2" count="1" selected="0">
            <x v="1"/>
          </reference>
        </references>
      </pivotArea>
    </chartFormat>
    <chartFormat chart="13" format="36">
      <pivotArea type="data" outline="0" fieldPosition="0">
        <references count="2">
          <reference field="4294967294" count="1" selected="0">
            <x v="0"/>
          </reference>
          <reference field="2" count="1" selected="0">
            <x v="2"/>
          </reference>
        </references>
      </pivotArea>
    </chartFormat>
    <chartFormat chart="13" format="37">
      <pivotArea type="data" outline="0" fieldPosition="0">
        <references count="2">
          <reference field="4294967294" count="1" selected="0">
            <x v="0"/>
          </reference>
          <reference field="2" count="1" selected="0">
            <x v="3"/>
          </reference>
        </references>
      </pivotArea>
    </chartFormat>
    <chartFormat chart="13" format="38">
      <pivotArea type="data" outline="0" fieldPosition="0">
        <references count="2">
          <reference field="4294967294" count="1" selected="0">
            <x v="0"/>
          </reference>
          <reference field="2" count="1" selected="0">
            <x v="4"/>
          </reference>
        </references>
      </pivotArea>
    </chartFormat>
    <chartFormat chart="13" format="39">
      <pivotArea type="data" outline="0" fieldPosition="0">
        <references count="2">
          <reference field="4294967294" count="1" selected="0">
            <x v="0"/>
          </reference>
          <reference field="2" count="1" selected="0">
            <x v="5"/>
          </reference>
        </references>
      </pivotArea>
    </chartFormat>
    <chartFormat chart="13" format="40">
      <pivotArea type="data" outline="0" fieldPosition="0">
        <references count="2">
          <reference field="4294967294" count="1" selected="0">
            <x v="0"/>
          </reference>
          <reference field="2" count="1" selected="0">
            <x v="6"/>
          </reference>
        </references>
      </pivotArea>
    </chartFormat>
    <chartFormat chart="14" format="41" series="1">
      <pivotArea type="data" outline="0" fieldPosition="0">
        <references count="1">
          <reference field="4294967294" count="1" selected="0">
            <x v="0"/>
          </reference>
        </references>
      </pivotArea>
    </chartFormat>
    <chartFormat chart="14" format="42">
      <pivotArea type="data" outline="0" fieldPosition="0">
        <references count="2">
          <reference field="4294967294" count="1" selected="0">
            <x v="0"/>
          </reference>
          <reference field="2" count="1" selected="0">
            <x v="0"/>
          </reference>
        </references>
      </pivotArea>
    </chartFormat>
    <chartFormat chart="14" format="43">
      <pivotArea type="data" outline="0" fieldPosition="0">
        <references count="2">
          <reference field="4294967294" count="1" selected="0">
            <x v="0"/>
          </reference>
          <reference field="2" count="1" selected="0">
            <x v="1"/>
          </reference>
        </references>
      </pivotArea>
    </chartFormat>
    <chartFormat chart="14" format="44">
      <pivotArea type="data" outline="0" fieldPosition="0">
        <references count="2">
          <reference field="4294967294" count="1" selected="0">
            <x v="0"/>
          </reference>
          <reference field="2" count="1" selected="0">
            <x v="2"/>
          </reference>
        </references>
      </pivotArea>
    </chartFormat>
    <chartFormat chart="14" format="45">
      <pivotArea type="data" outline="0" fieldPosition="0">
        <references count="2">
          <reference field="4294967294" count="1" selected="0">
            <x v="0"/>
          </reference>
          <reference field="2" count="1" selected="0">
            <x v="3"/>
          </reference>
        </references>
      </pivotArea>
    </chartFormat>
    <chartFormat chart="14" format="46">
      <pivotArea type="data" outline="0" fieldPosition="0">
        <references count="2">
          <reference field="4294967294" count="1" selected="0">
            <x v="0"/>
          </reference>
          <reference field="2" count="1" selected="0">
            <x v="4"/>
          </reference>
        </references>
      </pivotArea>
    </chartFormat>
    <chartFormat chart="14" format="47">
      <pivotArea type="data" outline="0" fieldPosition="0">
        <references count="2">
          <reference field="4294967294" count="1" selected="0">
            <x v="0"/>
          </reference>
          <reference field="2" count="1" selected="0">
            <x v="5"/>
          </reference>
        </references>
      </pivotArea>
    </chartFormat>
    <chartFormat chart="14" format="48">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9" format="73" series="1">
      <pivotArea type="data" outline="0" fieldPosition="0">
        <references count="1">
          <reference field="4294967294" count="1" selected="0">
            <x v="0"/>
          </reference>
        </references>
      </pivotArea>
    </chartFormat>
    <chartFormat chart="9" format="74">
      <pivotArea type="data" outline="0" fieldPosition="0">
        <references count="2">
          <reference field="4294967294" count="1" selected="0">
            <x v="0"/>
          </reference>
          <reference field="2" count="1" selected="0">
            <x v="0"/>
          </reference>
        </references>
      </pivotArea>
    </chartFormat>
    <chartFormat chart="9" format="75">
      <pivotArea type="data" outline="0" fieldPosition="0">
        <references count="2">
          <reference field="4294967294" count="1" selected="0">
            <x v="0"/>
          </reference>
          <reference field="2" count="1" selected="0">
            <x v="1"/>
          </reference>
        </references>
      </pivotArea>
    </chartFormat>
    <chartFormat chart="9" format="76">
      <pivotArea type="data" outline="0" fieldPosition="0">
        <references count="2">
          <reference field="4294967294" count="1" selected="0">
            <x v="0"/>
          </reference>
          <reference field="2" count="1" selected="0">
            <x v="2"/>
          </reference>
        </references>
      </pivotArea>
    </chartFormat>
    <chartFormat chart="9" format="77">
      <pivotArea type="data" outline="0" fieldPosition="0">
        <references count="2">
          <reference field="4294967294" count="1" selected="0">
            <x v="0"/>
          </reference>
          <reference field="2" count="1" selected="0">
            <x v="3"/>
          </reference>
        </references>
      </pivotArea>
    </chartFormat>
    <chartFormat chart="9" format="78">
      <pivotArea type="data" outline="0" fieldPosition="0">
        <references count="2">
          <reference field="4294967294" count="1" selected="0">
            <x v="0"/>
          </reference>
          <reference field="2" count="1" selected="0">
            <x v="4"/>
          </reference>
        </references>
      </pivotArea>
    </chartFormat>
    <chartFormat chart="9" format="79">
      <pivotArea type="data" outline="0" fieldPosition="0">
        <references count="2">
          <reference field="4294967294" count="1" selected="0">
            <x v="0"/>
          </reference>
          <reference field="2" count="1" selected="0">
            <x v="5"/>
          </reference>
        </references>
      </pivotArea>
    </chartFormat>
    <chartFormat chart="9" format="80">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E4C1D7-4941-414B-A0CB-1D3B5320293B}"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96:F103" firstHeaderRow="1" firstDataRow="2" firstDataCol="1"/>
  <pivotFields count="11">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axis="axisRow" showAll="0" measureFilter="1">
      <items count="8">
        <item x="3"/>
        <item x="6"/>
        <item x="0"/>
        <item x="4"/>
        <item x="1"/>
        <item x="5"/>
        <item x="2"/>
        <item t="default"/>
      </items>
    </pivotField>
    <pivotField showAll="0">
      <items count="20">
        <item x="15"/>
        <item x="10"/>
        <item x="6"/>
        <item x="5"/>
        <item x="13"/>
        <item x="14"/>
        <item x="1"/>
        <item x="11"/>
        <item x="7"/>
        <item x="0"/>
        <item x="17"/>
        <item x="3"/>
        <item x="4"/>
        <item x="18"/>
        <item x="9"/>
        <item x="16"/>
        <item x="2"/>
        <item x="8"/>
        <item x="12"/>
        <item t="default"/>
      </items>
    </pivotField>
    <pivotField numFmtId="165" showAll="0"/>
    <pivotField dataField="1" numFmtId="165" showAll="0">
      <items count="100">
        <item x="44"/>
        <item x="23"/>
        <item x="3"/>
        <item x="87"/>
        <item x="75"/>
        <item x="53"/>
        <item x="67"/>
        <item x="42"/>
        <item x="76"/>
        <item x="29"/>
        <item x="7"/>
        <item x="84"/>
        <item x="86"/>
        <item x="14"/>
        <item x="30"/>
        <item x="63"/>
        <item x="31"/>
        <item x="16"/>
        <item x="98"/>
        <item x="9"/>
        <item x="35"/>
        <item x="26"/>
        <item x="52"/>
        <item x="32"/>
        <item x="10"/>
        <item x="59"/>
        <item x="79"/>
        <item x="19"/>
        <item x="27"/>
        <item x="73"/>
        <item x="83"/>
        <item x="96"/>
        <item x="33"/>
        <item x="94"/>
        <item x="72"/>
        <item x="15"/>
        <item x="6"/>
        <item x="77"/>
        <item x="28"/>
        <item x="60"/>
        <item x="36"/>
        <item x="48"/>
        <item x="56"/>
        <item x="46"/>
        <item x="38"/>
        <item x="41"/>
        <item x="25"/>
        <item x="61"/>
        <item x="70"/>
        <item x="20"/>
        <item x="21"/>
        <item x="1"/>
        <item x="37"/>
        <item x="95"/>
        <item x="8"/>
        <item x="40"/>
        <item x="50"/>
        <item x="5"/>
        <item x="85"/>
        <item x="69"/>
        <item x="74"/>
        <item x="80"/>
        <item x="78"/>
        <item x="88"/>
        <item x="97"/>
        <item x="45"/>
        <item x="43"/>
        <item x="47"/>
        <item x="18"/>
        <item x="93"/>
        <item x="4"/>
        <item x="54"/>
        <item x="24"/>
        <item x="17"/>
        <item x="2"/>
        <item x="55"/>
        <item x="71"/>
        <item x="57"/>
        <item x="34"/>
        <item x="90"/>
        <item x="68"/>
        <item x="81"/>
        <item x="89"/>
        <item x="82"/>
        <item x="0"/>
        <item x="11"/>
        <item x="13"/>
        <item x="65"/>
        <item x="91"/>
        <item x="66"/>
        <item x="58"/>
        <item x="92"/>
        <item x="49"/>
        <item x="51"/>
        <item x="39"/>
        <item x="62"/>
        <item x="12"/>
        <item x="64"/>
        <item x="22"/>
        <item t="default"/>
      </items>
    </pivotField>
    <pivotField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axis="axisCol" showAll="0">
      <items count="5">
        <item x="1"/>
        <item x="0"/>
        <item x="2"/>
        <item x="3"/>
        <item t="default"/>
      </items>
    </pivotField>
  </pivotFields>
  <rowFields count="1">
    <field x="2"/>
  </rowFields>
  <rowItems count="6">
    <i>
      <x/>
    </i>
    <i>
      <x v="2"/>
    </i>
    <i>
      <x v="3"/>
    </i>
    <i>
      <x v="4"/>
    </i>
    <i>
      <x v="6"/>
    </i>
    <i t="grand">
      <x/>
    </i>
  </rowItems>
  <colFields count="1">
    <field x="10"/>
  </colFields>
  <colItems count="5">
    <i>
      <x/>
    </i>
    <i>
      <x v="1"/>
    </i>
    <i>
      <x v="2"/>
    </i>
    <i>
      <x v="3"/>
    </i>
    <i t="grand">
      <x/>
    </i>
  </colItems>
  <dataFields count="1">
    <dataField name="Sum of Total Sales" fld="5" baseField="0" baseItem="0"/>
  </dataFields>
  <chartFormats count="15">
    <chartFormat chart="0" format="24" series="1">
      <pivotArea type="data" outline="0" fieldPosition="0">
        <references count="2">
          <reference field="4294967294" count="1" selected="0">
            <x v="0"/>
          </reference>
          <reference field="10" count="1" selected="0">
            <x v="0"/>
          </reference>
        </references>
      </pivotArea>
    </chartFormat>
    <chartFormat chart="0" format="25" series="1">
      <pivotArea type="data" outline="0" fieldPosition="0">
        <references count="2">
          <reference field="4294967294" count="1" selected="0">
            <x v="0"/>
          </reference>
          <reference field="10" count="1" selected="0">
            <x v="1"/>
          </reference>
        </references>
      </pivotArea>
    </chartFormat>
    <chartFormat chart="0" format="26" series="1">
      <pivotArea type="data" outline="0" fieldPosition="0">
        <references count="2">
          <reference field="4294967294" count="1" selected="0">
            <x v="0"/>
          </reference>
          <reference field="10" count="1" selected="0">
            <x v="2"/>
          </reference>
        </references>
      </pivotArea>
    </chartFormat>
    <chartFormat chart="0" format="27" series="1">
      <pivotArea type="data" outline="0" fieldPosition="0">
        <references count="2">
          <reference field="4294967294" count="1" selected="0">
            <x v="0"/>
          </reference>
          <reference field="10" count="1" selected="0">
            <x v="3"/>
          </reference>
        </references>
      </pivotArea>
    </chartFormat>
    <chartFormat chart="8" format="32" series="1">
      <pivotArea type="data" outline="0" fieldPosition="0">
        <references count="2">
          <reference field="4294967294" count="1" selected="0">
            <x v="0"/>
          </reference>
          <reference field="10" count="1" selected="0">
            <x v="0"/>
          </reference>
        </references>
      </pivotArea>
    </chartFormat>
    <chartFormat chart="8" format="33" series="1">
      <pivotArea type="data" outline="0" fieldPosition="0">
        <references count="2">
          <reference field="4294967294" count="1" selected="0">
            <x v="0"/>
          </reference>
          <reference field="10" count="1" selected="0">
            <x v="1"/>
          </reference>
        </references>
      </pivotArea>
    </chartFormat>
    <chartFormat chart="8" format="34" series="1">
      <pivotArea type="data" outline="0" fieldPosition="0">
        <references count="2">
          <reference field="4294967294" count="1" selected="0">
            <x v="0"/>
          </reference>
          <reference field="10" count="1" selected="0">
            <x v="2"/>
          </reference>
        </references>
      </pivotArea>
    </chartFormat>
    <chartFormat chart="8" format="35" series="1">
      <pivotArea type="data" outline="0" fieldPosition="0">
        <references count="2">
          <reference field="4294967294" count="1" selected="0">
            <x v="0"/>
          </reference>
          <reference field="10" count="1" selected="0">
            <x v="3"/>
          </reference>
        </references>
      </pivotArea>
    </chartFormat>
    <chartFormat chart="10" format="40" series="1">
      <pivotArea type="data" outline="0" fieldPosition="0">
        <references count="2">
          <reference field="4294967294" count="1" selected="0">
            <x v="0"/>
          </reference>
          <reference field="10" count="1" selected="0">
            <x v="0"/>
          </reference>
        </references>
      </pivotArea>
    </chartFormat>
    <chartFormat chart="10" format="41" series="1">
      <pivotArea type="data" outline="0" fieldPosition="0">
        <references count="2">
          <reference field="4294967294" count="1" selected="0">
            <x v="0"/>
          </reference>
          <reference field="10" count="1" selected="0">
            <x v="1"/>
          </reference>
        </references>
      </pivotArea>
    </chartFormat>
    <chartFormat chart="10" format="42" series="1">
      <pivotArea type="data" outline="0" fieldPosition="0">
        <references count="2">
          <reference field="4294967294" count="1" selected="0">
            <x v="0"/>
          </reference>
          <reference field="10" count="1" selected="0">
            <x v="2"/>
          </reference>
        </references>
      </pivotArea>
    </chartFormat>
    <chartFormat chart="10" format="43" series="1">
      <pivotArea type="data" outline="0" fieldPosition="0">
        <references count="2">
          <reference field="4294967294" count="1" selected="0">
            <x v="0"/>
          </reference>
          <reference field="10" count="1" selected="0">
            <x v="3"/>
          </reference>
        </references>
      </pivotArea>
    </chartFormat>
    <chartFormat chart="10" format="44" series="1">
      <pivotArea type="data" outline="0" fieldPosition="0">
        <references count="1">
          <reference field="4294967294" count="1" selected="0">
            <x v="0"/>
          </reference>
        </references>
      </pivotArea>
    </chartFormat>
    <chartFormat chart="8" format="36" series="1">
      <pivotArea type="data" outline="0" fieldPosition="0">
        <references count="1">
          <reference field="4294967294" count="1" selected="0">
            <x v="0"/>
          </reference>
        </references>
      </pivotArea>
    </chartFormat>
    <chartFormat chart="0"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228CE5-1358-4847-9E71-5A0C36391630}" name="total pr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5:B33" firstHeaderRow="1" firstDataRow="1" firstDataCol="1"/>
  <pivotFields count="11">
    <pivotField showAll="0"/>
    <pivotField numFmtId="164" showAll="0"/>
    <pivotField axis="axisRow" showAll="0">
      <items count="8">
        <item x="3"/>
        <item x="6"/>
        <item x="0"/>
        <item x="4"/>
        <item x="1"/>
        <item x="5"/>
        <item x="2"/>
        <item t="default"/>
      </items>
    </pivotField>
    <pivotField showAll="0"/>
    <pivotField numFmtId="165" showAll="0"/>
    <pivotField numFmtId="165" showAll="0"/>
    <pivotField dataField="1"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showAll="0">
      <items count="5">
        <item x="1"/>
        <item x="0"/>
        <item x="2"/>
        <item x="3"/>
        <item t="default"/>
      </items>
    </pivotField>
  </pivotFields>
  <rowFields count="1">
    <field x="2"/>
  </rowFields>
  <rowItems count="8">
    <i>
      <x/>
    </i>
    <i>
      <x v="1"/>
    </i>
    <i>
      <x v="2"/>
    </i>
    <i>
      <x v="3"/>
    </i>
    <i>
      <x v="4"/>
    </i>
    <i>
      <x v="5"/>
    </i>
    <i>
      <x v="6"/>
    </i>
    <i t="grand">
      <x/>
    </i>
  </rowItems>
  <colItems count="1">
    <i/>
  </colItems>
  <dataFields count="1">
    <dataField name="Sum of Profit" fld="6" baseField="0" baseItem="0" numFmtId="165"/>
  </dataFields>
  <chartFormats count="48">
    <chartFormat chart="0" format="0" series="1">
      <pivotArea type="data" outline="0" fieldPosition="0">
        <references count="1">
          <reference field="4294967294" count="1" selected="0">
            <x v="0"/>
          </reference>
        </references>
      </pivotArea>
    </chartFormat>
    <chartFormat chart="17" format="33" series="1">
      <pivotArea type="data" outline="0" fieldPosition="0">
        <references count="1">
          <reference field="4294967294" count="1" selected="0">
            <x v="0"/>
          </reference>
        </references>
      </pivotArea>
    </chartFormat>
    <chartFormat chart="17" format="34">
      <pivotArea type="data" outline="0" fieldPosition="0">
        <references count="2">
          <reference field="4294967294" count="1" selected="0">
            <x v="0"/>
          </reference>
          <reference field="2" count="1" selected="0">
            <x v="0"/>
          </reference>
        </references>
      </pivotArea>
    </chartFormat>
    <chartFormat chart="17" format="35">
      <pivotArea type="data" outline="0" fieldPosition="0">
        <references count="2">
          <reference field="4294967294" count="1" selected="0">
            <x v="0"/>
          </reference>
          <reference field="2" count="1" selected="0">
            <x v="1"/>
          </reference>
        </references>
      </pivotArea>
    </chartFormat>
    <chartFormat chart="17" format="36">
      <pivotArea type="data" outline="0" fieldPosition="0">
        <references count="2">
          <reference field="4294967294" count="1" selected="0">
            <x v="0"/>
          </reference>
          <reference field="2" count="1" selected="0">
            <x v="2"/>
          </reference>
        </references>
      </pivotArea>
    </chartFormat>
    <chartFormat chart="17" format="37">
      <pivotArea type="data" outline="0" fieldPosition="0">
        <references count="2">
          <reference field="4294967294" count="1" selected="0">
            <x v="0"/>
          </reference>
          <reference field="2" count="1" selected="0">
            <x v="3"/>
          </reference>
        </references>
      </pivotArea>
    </chartFormat>
    <chartFormat chart="17" format="38">
      <pivotArea type="data" outline="0" fieldPosition="0">
        <references count="2">
          <reference field="4294967294" count="1" selected="0">
            <x v="0"/>
          </reference>
          <reference field="2" count="1" selected="0">
            <x v="4"/>
          </reference>
        </references>
      </pivotArea>
    </chartFormat>
    <chartFormat chart="17" format="39">
      <pivotArea type="data" outline="0" fieldPosition="0">
        <references count="2">
          <reference field="4294967294" count="1" selected="0">
            <x v="0"/>
          </reference>
          <reference field="2" count="1" selected="0">
            <x v="5"/>
          </reference>
        </references>
      </pivotArea>
    </chartFormat>
    <chartFormat chart="17" format="40">
      <pivotArea type="data" outline="0" fieldPosition="0">
        <references count="2">
          <reference field="4294967294" count="1" selected="0">
            <x v="0"/>
          </reference>
          <reference field="2" count="1" selected="0">
            <x v="6"/>
          </reference>
        </references>
      </pivotArea>
    </chartFormat>
    <chartFormat chart="18" format="41" series="1">
      <pivotArea type="data" outline="0" fieldPosition="0">
        <references count="1">
          <reference field="4294967294" count="1" selected="0">
            <x v="0"/>
          </reference>
        </references>
      </pivotArea>
    </chartFormat>
    <chartFormat chart="18" format="42">
      <pivotArea type="data" outline="0" fieldPosition="0">
        <references count="2">
          <reference field="4294967294" count="1" selected="0">
            <x v="0"/>
          </reference>
          <reference field="2" count="1" selected="0">
            <x v="0"/>
          </reference>
        </references>
      </pivotArea>
    </chartFormat>
    <chartFormat chart="18" format="43">
      <pivotArea type="data" outline="0" fieldPosition="0">
        <references count="2">
          <reference field="4294967294" count="1" selected="0">
            <x v="0"/>
          </reference>
          <reference field="2" count="1" selected="0">
            <x v="1"/>
          </reference>
        </references>
      </pivotArea>
    </chartFormat>
    <chartFormat chart="18" format="44">
      <pivotArea type="data" outline="0" fieldPosition="0">
        <references count="2">
          <reference field="4294967294" count="1" selected="0">
            <x v="0"/>
          </reference>
          <reference field="2" count="1" selected="0">
            <x v="2"/>
          </reference>
        </references>
      </pivotArea>
    </chartFormat>
    <chartFormat chart="18" format="45">
      <pivotArea type="data" outline="0" fieldPosition="0">
        <references count="2">
          <reference field="4294967294" count="1" selected="0">
            <x v="0"/>
          </reference>
          <reference field="2" count="1" selected="0">
            <x v="3"/>
          </reference>
        </references>
      </pivotArea>
    </chartFormat>
    <chartFormat chart="18" format="46">
      <pivotArea type="data" outline="0" fieldPosition="0">
        <references count="2">
          <reference field="4294967294" count="1" selected="0">
            <x v="0"/>
          </reference>
          <reference field="2" count="1" selected="0">
            <x v="4"/>
          </reference>
        </references>
      </pivotArea>
    </chartFormat>
    <chartFormat chart="18" format="47">
      <pivotArea type="data" outline="0" fieldPosition="0">
        <references count="2">
          <reference field="4294967294" count="1" selected="0">
            <x v="0"/>
          </reference>
          <reference field="2" count="1" selected="0">
            <x v="5"/>
          </reference>
        </references>
      </pivotArea>
    </chartFormat>
    <chartFormat chart="18" format="48">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13" format="73" series="1">
      <pivotArea type="data" outline="0" fieldPosition="0">
        <references count="1">
          <reference field="4294967294" count="1" selected="0">
            <x v="0"/>
          </reference>
        </references>
      </pivotArea>
    </chartFormat>
    <chartFormat chart="13" format="74">
      <pivotArea type="data" outline="0" fieldPosition="0">
        <references count="2">
          <reference field="4294967294" count="1" selected="0">
            <x v="0"/>
          </reference>
          <reference field="2" count="1" selected="0">
            <x v="0"/>
          </reference>
        </references>
      </pivotArea>
    </chartFormat>
    <chartFormat chart="13" format="75">
      <pivotArea type="data" outline="0" fieldPosition="0">
        <references count="2">
          <reference field="4294967294" count="1" selected="0">
            <x v="0"/>
          </reference>
          <reference field="2" count="1" selected="0">
            <x v="1"/>
          </reference>
        </references>
      </pivotArea>
    </chartFormat>
    <chartFormat chart="13" format="76">
      <pivotArea type="data" outline="0" fieldPosition="0">
        <references count="2">
          <reference field="4294967294" count="1" selected="0">
            <x v="0"/>
          </reference>
          <reference field="2" count="1" selected="0">
            <x v="2"/>
          </reference>
        </references>
      </pivotArea>
    </chartFormat>
    <chartFormat chart="13" format="77">
      <pivotArea type="data" outline="0" fieldPosition="0">
        <references count="2">
          <reference field="4294967294" count="1" selected="0">
            <x v="0"/>
          </reference>
          <reference field="2" count="1" selected="0">
            <x v="3"/>
          </reference>
        </references>
      </pivotArea>
    </chartFormat>
    <chartFormat chart="13" format="78">
      <pivotArea type="data" outline="0" fieldPosition="0">
        <references count="2">
          <reference field="4294967294" count="1" selected="0">
            <x v="0"/>
          </reference>
          <reference field="2" count="1" selected="0">
            <x v="4"/>
          </reference>
        </references>
      </pivotArea>
    </chartFormat>
    <chartFormat chart="13" format="79">
      <pivotArea type="data" outline="0" fieldPosition="0">
        <references count="2">
          <reference field="4294967294" count="1" selected="0">
            <x v="0"/>
          </reference>
          <reference field="2" count="1" selected="0">
            <x v="5"/>
          </reference>
        </references>
      </pivotArea>
    </chartFormat>
    <chartFormat chart="13" format="80">
      <pivotArea type="data" outline="0" fieldPosition="0">
        <references count="2">
          <reference field="4294967294" count="1" selected="0">
            <x v="0"/>
          </reference>
          <reference field="2" count="1" selected="0">
            <x v="6"/>
          </reference>
        </references>
      </pivotArea>
    </chartFormat>
    <chartFormat chart="21" format="81" series="1">
      <pivotArea type="data" outline="0" fieldPosition="0">
        <references count="1">
          <reference field="4294967294" count="1" selected="0">
            <x v="0"/>
          </reference>
        </references>
      </pivotArea>
    </chartFormat>
    <chartFormat chart="21" format="82">
      <pivotArea type="data" outline="0" fieldPosition="0">
        <references count="2">
          <reference field="4294967294" count="1" selected="0">
            <x v="0"/>
          </reference>
          <reference field="2" count="1" selected="0">
            <x v="0"/>
          </reference>
        </references>
      </pivotArea>
    </chartFormat>
    <chartFormat chart="21" format="83">
      <pivotArea type="data" outline="0" fieldPosition="0">
        <references count="2">
          <reference field="4294967294" count="1" selected="0">
            <x v="0"/>
          </reference>
          <reference field="2" count="1" selected="0">
            <x v="1"/>
          </reference>
        </references>
      </pivotArea>
    </chartFormat>
    <chartFormat chart="21" format="84">
      <pivotArea type="data" outline="0" fieldPosition="0">
        <references count="2">
          <reference field="4294967294" count="1" selected="0">
            <x v="0"/>
          </reference>
          <reference field="2" count="1" selected="0">
            <x v="2"/>
          </reference>
        </references>
      </pivotArea>
    </chartFormat>
    <chartFormat chart="21" format="85">
      <pivotArea type="data" outline="0" fieldPosition="0">
        <references count="2">
          <reference field="4294967294" count="1" selected="0">
            <x v="0"/>
          </reference>
          <reference field="2" count="1" selected="0">
            <x v="3"/>
          </reference>
        </references>
      </pivotArea>
    </chartFormat>
    <chartFormat chart="21" format="86">
      <pivotArea type="data" outline="0" fieldPosition="0">
        <references count="2">
          <reference field="4294967294" count="1" selected="0">
            <x v="0"/>
          </reference>
          <reference field="2" count="1" selected="0">
            <x v="4"/>
          </reference>
        </references>
      </pivotArea>
    </chartFormat>
    <chartFormat chart="21" format="87">
      <pivotArea type="data" outline="0" fieldPosition="0">
        <references count="2">
          <reference field="4294967294" count="1" selected="0">
            <x v="0"/>
          </reference>
          <reference field="2" count="1" selected="0">
            <x v="5"/>
          </reference>
        </references>
      </pivotArea>
    </chartFormat>
    <chartFormat chart="21" format="88">
      <pivotArea type="data" outline="0" fieldPosition="0">
        <references count="2">
          <reference field="4294967294" count="1" selected="0">
            <x v="0"/>
          </reference>
          <reference field="2" count="1" selected="0">
            <x v="6"/>
          </reference>
        </references>
      </pivotArea>
    </chartFormat>
    <chartFormat chart="22" format="89" series="1">
      <pivotArea type="data" outline="0" fieldPosition="0">
        <references count="1">
          <reference field="4294967294" count="1" selected="0">
            <x v="0"/>
          </reference>
        </references>
      </pivotArea>
    </chartFormat>
    <chartFormat chart="22" format="90">
      <pivotArea type="data" outline="0" fieldPosition="0">
        <references count="2">
          <reference field="4294967294" count="1" selected="0">
            <x v="0"/>
          </reference>
          <reference field="2" count="1" selected="0">
            <x v="0"/>
          </reference>
        </references>
      </pivotArea>
    </chartFormat>
    <chartFormat chart="22" format="91">
      <pivotArea type="data" outline="0" fieldPosition="0">
        <references count="2">
          <reference field="4294967294" count="1" selected="0">
            <x v="0"/>
          </reference>
          <reference field="2" count="1" selected="0">
            <x v="1"/>
          </reference>
        </references>
      </pivotArea>
    </chartFormat>
    <chartFormat chart="22" format="92">
      <pivotArea type="data" outline="0" fieldPosition="0">
        <references count="2">
          <reference field="4294967294" count="1" selected="0">
            <x v="0"/>
          </reference>
          <reference field="2" count="1" selected="0">
            <x v="2"/>
          </reference>
        </references>
      </pivotArea>
    </chartFormat>
    <chartFormat chart="22" format="93">
      <pivotArea type="data" outline="0" fieldPosition="0">
        <references count="2">
          <reference field="4294967294" count="1" selected="0">
            <x v="0"/>
          </reference>
          <reference field="2" count="1" selected="0">
            <x v="3"/>
          </reference>
        </references>
      </pivotArea>
    </chartFormat>
    <chartFormat chart="22" format="94">
      <pivotArea type="data" outline="0" fieldPosition="0">
        <references count="2">
          <reference field="4294967294" count="1" selected="0">
            <x v="0"/>
          </reference>
          <reference field="2" count="1" selected="0">
            <x v="4"/>
          </reference>
        </references>
      </pivotArea>
    </chartFormat>
    <chartFormat chart="22" format="95">
      <pivotArea type="data" outline="0" fieldPosition="0">
        <references count="2">
          <reference field="4294967294" count="1" selected="0">
            <x v="0"/>
          </reference>
          <reference field="2" count="1" selected="0">
            <x v="5"/>
          </reference>
        </references>
      </pivotArea>
    </chartFormat>
    <chartFormat chart="22" format="9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11A891-C272-4140-8166-ED7614FEAF84}" name="units sold each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9:I93" firstHeaderRow="1" firstDataRow="2" firstDataCol="1"/>
  <pivotFields count="11">
    <pivotField showAll="0"/>
    <pivotField numFmtId="164" showAll="0"/>
    <pivotField axis="axisCol" showAll="0">
      <items count="8">
        <item x="3"/>
        <item x="6"/>
        <item x="0"/>
        <item x="4"/>
        <item x="1"/>
        <item x="5"/>
        <item x="2"/>
        <item t="default"/>
      </items>
    </pivotField>
    <pivotField dataField="1" showAll="0"/>
    <pivotField numFmtId="165" showAll="0"/>
    <pivotField numFmtId="165" showAll="0"/>
    <pivotField numFmtId="165" showAll="0"/>
    <pivotField numFmtId="2" showAll="0"/>
    <pivotField showAll="0">
      <items count="3">
        <item h="1" x="0"/>
        <item x="1"/>
        <item t="default"/>
      </items>
    </pivotField>
    <pivotField axis="axisRow" showAll="0">
      <items count="13">
        <item x="4"/>
        <item x="9"/>
        <item x="1"/>
        <item x="0"/>
        <item x="5"/>
        <item x="11"/>
        <item x="10"/>
        <item x="6"/>
        <item x="2"/>
        <item x="8"/>
        <item x="7"/>
        <item x="3"/>
        <item t="default"/>
      </items>
    </pivotField>
    <pivotField showAll="0">
      <items count="5">
        <item x="1"/>
        <item x="0"/>
        <item x="2"/>
        <item x="3"/>
        <item t="default"/>
      </items>
    </pivotField>
  </pivotFields>
  <rowFields count="1">
    <field x="9"/>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Units Sold" fld="3" baseField="0" baseItem="0"/>
  </dataFields>
  <chartFormats count="21">
    <chartFormat chart="0" format="7" series="1">
      <pivotArea type="data" outline="0" fieldPosition="0">
        <references count="1">
          <reference field="2" count="1" selected="0">
            <x v="6"/>
          </reference>
        </references>
      </pivotArea>
    </chartFormat>
    <chartFormat chart="0" format="8" series="1">
      <pivotArea type="data" outline="0" fieldPosition="0">
        <references count="1">
          <reference field="2" count="1" selected="0">
            <x v="3"/>
          </reference>
        </references>
      </pivotArea>
    </chartFormat>
    <chartFormat chart="0" format="9" series="1">
      <pivotArea type="data" outline="0" fieldPosition="0">
        <references count="1">
          <reference field="2" count="1" selected="0">
            <x v="5"/>
          </reference>
        </references>
      </pivotArea>
    </chartFormat>
    <chartFormat chart="0" format="10" series="1">
      <pivotArea type="data" outline="0" fieldPosition="0">
        <references count="1">
          <reference field="2" count="1" selected="0">
            <x v="2"/>
          </reference>
        </references>
      </pivotArea>
    </chartFormat>
    <chartFormat chart="0" format="11" series="1">
      <pivotArea type="data" outline="0" fieldPosition="0">
        <references count="1">
          <reference field="2" count="1" selected="0">
            <x v="4"/>
          </reference>
        </references>
      </pivotArea>
    </chartFormat>
    <chartFormat chart="0" format="12" series="1">
      <pivotArea type="data" outline="0" fieldPosition="0">
        <references count="1">
          <reference field="2" count="1" selected="0">
            <x v="0"/>
          </reference>
        </references>
      </pivotArea>
    </chartFormat>
    <chartFormat chart="0" format="13" series="1">
      <pivotArea type="data" outline="0" fieldPosition="0">
        <references count="1">
          <reference field="2" count="1" selected="0">
            <x v="1"/>
          </reference>
        </references>
      </pivotArea>
    </chartFormat>
    <chartFormat chart="4" format="21" series="1">
      <pivotArea type="data" outline="0" fieldPosition="0">
        <references count="2">
          <reference field="4294967294" count="1" selected="0">
            <x v="0"/>
          </reference>
          <reference field="2" count="1" selected="0">
            <x v="0"/>
          </reference>
        </references>
      </pivotArea>
    </chartFormat>
    <chartFormat chart="4" format="22" series="1">
      <pivotArea type="data" outline="0" fieldPosition="0">
        <references count="2">
          <reference field="4294967294" count="1" selected="0">
            <x v="0"/>
          </reference>
          <reference field="2" count="1" selected="0">
            <x v="1"/>
          </reference>
        </references>
      </pivotArea>
    </chartFormat>
    <chartFormat chart="4" format="23" series="1">
      <pivotArea type="data" outline="0" fieldPosition="0">
        <references count="2">
          <reference field="4294967294" count="1" selected="0">
            <x v="0"/>
          </reference>
          <reference field="2" count="1" selected="0">
            <x v="2"/>
          </reference>
        </references>
      </pivotArea>
    </chartFormat>
    <chartFormat chart="4" format="24" series="1">
      <pivotArea type="data" outline="0" fieldPosition="0">
        <references count="2">
          <reference field="4294967294" count="1" selected="0">
            <x v="0"/>
          </reference>
          <reference field="2" count="1" selected="0">
            <x v="3"/>
          </reference>
        </references>
      </pivotArea>
    </chartFormat>
    <chartFormat chart="4" format="25" series="1">
      <pivotArea type="data" outline="0" fieldPosition="0">
        <references count="2">
          <reference field="4294967294" count="1" selected="0">
            <x v="0"/>
          </reference>
          <reference field="2" count="1" selected="0">
            <x v="4"/>
          </reference>
        </references>
      </pivotArea>
    </chartFormat>
    <chartFormat chart="4" format="26" series="1">
      <pivotArea type="data" outline="0" fieldPosition="0">
        <references count="2">
          <reference field="4294967294" count="1" selected="0">
            <x v="0"/>
          </reference>
          <reference field="2" count="1" selected="0">
            <x v="5"/>
          </reference>
        </references>
      </pivotArea>
    </chartFormat>
    <chartFormat chart="4" format="27" series="1">
      <pivotArea type="data" outline="0" fieldPosition="0">
        <references count="2">
          <reference field="4294967294" count="1" selected="0">
            <x v="0"/>
          </reference>
          <reference field="2" count="1" selected="0">
            <x v="6"/>
          </reference>
        </references>
      </pivotArea>
    </chartFormat>
    <chartFormat chart="0" format="14" series="1">
      <pivotArea type="data" outline="0" fieldPosition="0">
        <references count="2">
          <reference field="4294967294" count="1" selected="0">
            <x v="0"/>
          </reference>
          <reference field="2" count="1" selected="0">
            <x v="5"/>
          </reference>
        </references>
      </pivotArea>
    </chartFormat>
    <chartFormat chart="0" format="15" series="1">
      <pivotArea type="data" outline="0" fieldPosition="0">
        <references count="2">
          <reference field="4294967294" count="1" selected="0">
            <x v="0"/>
          </reference>
          <reference field="2" count="1" selected="0">
            <x v="6"/>
          </reference>
        </references>
      </pivotArea>
    </chartFormat>
    <chartFormat chart="0" format="16" series="1">
      <pivotArea type="data" outline="0" fieldPosition="0">
        <references count="2">
          <reference field="4294967294" count="1" selected="0">
            <x v="0"/>
          </reference>
          <reference field="2" count="1" selected="0">
            <x v="1"/>
          </reference>
        </references>
      </pivotArea>
    </chartFormat>
    <chartFormat chart="0" format="17" series="1">
      <pivotArea type="data" outline="0" fieldPosition="0">
        <references count="2">
          <reference field="4294967294" count="1" selected="0">
            <x v="0"/>
          </reference>
          <reference field="2" count="1" selected="0">
            <x v="2"/>
          </reference>
        </references>
      </pivotArea>
    </chartFormat>
    <chartFormat chart="0" format="18" series="1">
      <pivotArea type="data" outline="0" fieldPosition="0">
        <references count="2">
          <reference field="4294967294" count="1" selected="0">
            <x v="0"/>
          </reference>
          <reference field="2" count="1" selected="0">
            <x v="3"/>
          </reference>
        </references>
      </pivotArea>
    </chartFormat>
    <chartFormat chart="0" format="19" series="1">
      <pivotArea type="data" outline="0" fieldPosition="0">
        <references count="2">
          <reference field="4294967294" count="1" selected="0">
            <x v="0"/>
          </reference>
          <reference field="2" count="1" selected="0">
            <x v="4"/>
          </reference>
        </references>
      </pivotArea>
    </chartFormat>
    <chartFormat chart="0" format="20"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48FBCB-D0A8-473B-BD52-9D5EF55E1D6C}" name="prod sold in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7:C76" firstHeaderRow="1" firstDataRow="2" firstDataCol="1"/>
  <pivotFields count="11">
    <pivotField showAll="0"/>
    <pivotField numFmtId="164" showAll="0"/>
    <pivotField axis="axisRow" showAll="0">
      <items count="8">
        <item x="3"/>
        <item x="6"/>
        <item x="0"/>
        <item x="4"/>
        <item x="1"/>
        <item x="5"/>
        <item x="2"/>
        <item t="default"/>
      </items>
    </pivotField>
    <pivotField dataField="1" showAll="0"/>
    <pivotField numFmtId="165" showAll="0"/>
    <pivotField numFmtId="165" showAll="0"/>
    <pivotField numFmtId="165" showAll="0"/>
    <pivotField numFmtId="2" showAll="0"/>
    <pivotField axis="axisCol" showAll="0">
      <items count="3">
        <item h="1" x="0"/>
        <item x="1"/>
        <item t="default"/>
      </items>
    </pivotField>
    <pivotField showAll="0">
      <items count="13">
        <item x="4"/>
        <item x="9"/>
        <item x="1"/>
        <item x="0"/>
        <item x="5"/>
        <item x="11"/>
        <item x="10"/>
        <item x="6"/>
        <item x="2"/>
        <item x="8"/>
        <item x="7"/>
        <item x="3"/>
        <item t="default"/>
      </items>
    </pivotField>
    <pivotField showAll="0">
      <items count="5">
        <item x="1"/>
        <item x="0"/>
        <item x="2"/>
        <item x="3"/>
        <item t="default"/>
      </items>
    </pivotField>
  </pivotFields>
  <rowFields count="1">
    <field x="2"/>
  </rowFields>
  <rowItems count="8">
    <i>
      <x/>
    </i>
    <i>
      <x v="1"/>
    </i>
    <i>
      <x v="2"/>
    </i>
    <i>
      <x v="3"/>
    </i>
    <i>
      <x v="4"/>
    </i>
    <i>
      <x v="5"/>
    </i>
    <i>
      <x v="6"/>
    </i>
    <i t="grand">
      <x/>
    </i>
  </rowItems>
  <colFields count="1">
    <field x="8"/>
  </colFields>
  <colItems count="2">
    <i>
      <x v="1"/>
    </i>
    <i t="grand">
      <x/>
    </i>
  </colItems>
  <dataFields count="1">
    <dataField name="Sum of Units Sold" fld="3"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1">
          <reference field="4294967294" count="1" selected="0">
            <x v="0"/>
          </reference>
        </references>
      </pivotArea>
    </chartFormat>
    <chartFormat chart="4" format="12" series="1">
      <pivotArea type="data" outline="0" fieldPosition="0">
        <references count="2">
          <reference field="4294967294" count="1" selected="0">
            <x v="0"/>
          </reference>
          <reference field="8" count="1" selected="0">
            <x v="0"/>
          </reference>
        </references>
      </pivotArea>
    </chartFormat>
    <chartFormat chart="4" format="13" series="1">
      <pivotArea type="data" outline="0" fieldPosition="0">
        <references count="2">
          <reference field="4294967294" count="1" selected="0">
            <x v="0"/>
          </reference>
          <reference field="8" count="1" selected="0">
            <x v="1"/>
          </reference>
        </references>
      </pivotArea>
    </chartFormat>
    <chartFormat chart="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AB46A5-F406-4E75-A48F-EB4F17444BFF}" name="sales by re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7:F56" firstHeaderRow="1" firstDataRow="2" firstDataCol="1"/>
  <pivotFields count="11">
    <pivotField showAll="0"/>
    <pivotField numFmtId="164" showAll="0"/>
    <pivotField axis="axisRow" showAll="0">
      <items count="8">
        <item x="3"/>
        <item x="6"/>
        <item x="0"/>
        <item x="4"/>
        <item x="1"/>
        <item x="5"/>
        <item x="2"/>
        <item t="default"/>
      </items>
    </pivotField>
    <pivotField showAll="0"/>
    <pivotField numFmtId="165" showAll="0"/>
    <pivotField dataField="1" numFmtId="165" showAll="0"/>
    <pivotField numFmtId="165" showAll="0"/>
    <pivotField numFmtId="2" showAll="0"/>
    <pivotField showAll="0">
      <items count="3">
        <item h="1" x="0"/>
        <item x="1"/>
        <item t="default"/>
      </items>
    </pivotField>
    <pivotField showAll="0">
      <items count="13">
        <item x="4"/>
        <item x="9"/>
        <item x="1"/>
        <item x="0"/>
        <item x="5"/>
        <item x="11"/>
        <item x="10"/>
        <item x="6"/>
        <item x="2"/>
        <item x="8"/>
        <item x="7"/>
        <item x="3"/>
        <item t="default"/>
      </items>
    </pivotField>
    <pivotField axis="axisCol" showAll="0">
      <items count="5">
        <item x="1"/>
        <item x="0"/>
        <item x="2"/>
        <item x="3"/>
        <item t="default"/>
      </items>
    </pivotField>
  </pivotFields>
  <rowFields count="1">
    <field x="2"/>
  </rowFields>
  <rowItems count="8">
    <i>
      <x/>
    </i>
    <i>
      <x v="1"/>
    </i>
    <i>
      <x v="2"/>
    </i>
    <i>
      <x v="3"/>
    </i>
    <i>
      <x v="4"/>
    </i>
    <i>
      <x v="5"/>
    </i>
    <i>
      <x v="6"/>
    </i>
    <i t="grand">
      <x/>
    </i>
  </rowItems>
  <colFields count="1">
    <field x="10"/>
  </colFields>
  <colItems count="5">
    <i>
      <x/>
    </i>
    <i>
      <x v="1"/>
    </i>
    <i>
      <x v="2"/>
    </i>
    <i>
      <x v="3"/>
    </i>
    <i t="grand">
      <x/>
    </i>
  </colItems>
  <dataFields count="1">
    <dataField name="Sum of Total Sales" fld="5" baseField="0" baseItem="0" numFmtId="165"/>
  </dataFields>
  <chartFormats count="6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1">
          <reference field="4294967294" count="1" selected="0">
            <x v="0"/>
          </reference>
        </references>
      </pivotArea>
    </chartFormat>
    <chartFormat chart="4" format="37" series="1">
      <pivotArea type="data" outline="0" fieldPosition="0">
        <references count="2">
          <reference field="4294967294" count="1" selected="0">
            <x v="0"/>
          </reference>
          <reference field="10" count="1" selected="0">
            <x v="0"/>
          </reference>
        </references>
      </pivotArea>
    </chartFormat>
    <chartFormat chart="4" format="38">
      <pivotArea type="data" outline="0" fieldPosition="0">
        <references count="3">
          <reference field="4294967294" count="1" selected="0">
            <x v="0"/>
          </reference>
          <reference field="2" count="1" selected="0">
            <x v="0"/>
          </reference>
          <reference field="10" count="1" selected="0">
            <x v="0"/>
          </reference>
        </references>
      </pivotArea>
    </chartFormat>
    <chartFormat chart="4" format="39">
      <pivotArea type="data" outline="0" fieldPosition="0">
        <references count="3">
          <reference field="4294967294" count="1" selected="0">
            <x v="0"/>
          </reference>
          <reference field="2" count="1" selected="0">
            <x v="1"/>
          </reference>
          <reference field="10" count="1" selected="0">
            <x v="0"/>
          </reference>
        </references>
      </pivotArea>
    </chartFormat>
    <chartFormat chart="4" format="40">
      <pivotArea type="data" outline="0" fieldPosition="0">
        <references count="3">
          <reference field="4294967294" count="1" selected="0">
            <x v="0"/>
          </reference>
          <reference field="2" count="1" selected="0">
            <x v="2"/>
          </reference>
          <reference field="10" count="1" selected="0">
            <x v="0"/>
          </reference>
        </references>
      </pivotArea>
    </chartFormat>
    <chartFormat chart="4" format="41">
      <pivotArea type="data" outline="0" fieldPosition="0">
        <references count="3">
          <reference field="4294967294" count="1" selected="0">
            <x v="0"/>
          </reference>
          <reference field="2" count="1" selected="0">
            <x v="3"/>
          </reference>
          <reference field="10" count="1" selected="0">
            <x v="0"/>
          </reference>
        </references>
      </pivotArea>
    </chartFormat>
    <chartFormat chart="4" format="42">
      <pivotArea type="data" outline="0" fieldPosition="0">
        <references count="3">
          <reference field="4294967294" count="1" selected="0">
            <x v="0"/>
          </reference>
          <reference field="2" count="1" selected="0">
            <x v="4"/>
          </reference>
          <reference field="10" count="1" selected="0">
            <x v="0"/>
          </reference>
        </references>
      </pivotArea>
    </chartFormat>
    <chartFormat chart="4" format="43">
      <pivotArea type="data" outline="0" fieldPosition="0">
        <references count="3">
          <reference field="4294967294" count="1" selected="0">
            <x v="0"/>
          </reference>
          <reference field="2" count="1" selected="0">
            <x v="5"/>
          </reference>
          <reference field="10" count="1" selected="0">
            <x v="0"/>
          </reference>
        </references>
      </pivotArea>
    </chartFormat>
    <chartFormat chart="4" format="44">
      <pivotArea type="data" outline="0" fieldPosition="0">
        <references count="3">
          <reference field="4294967294" count="1" selected="0">
            <x v="0"/>
          </reference>
          <reference field="2" count="1" selected="0">
            <x v="6"/>
          </reference>
          <reference field="10" count="1" selected="0">
            <x v="0"/>
          </reference>
        </references>
      </pivotArea>
    </chartFormat>
    <chartFormat chart="4" format="45" series="1">
      <pivotArea type="data" outline="0" fieldPosition="0">
        <references count="2">
          <reference field="4294967294" count="1" selected="0">
            <x v="0"/>
          </reference>
          <reference field="10" count="1" selected="0">
            <x v="1"/>
          </reference>
        </references>
      </pivotArea>
    </chartFormat>
    <chartFormat chart="4" format="46">
      <pivotArea type="data" outline="0" fieldPosition="0">
        <references count="3">
          <reference field="4294967294" count="1" selected="0">
            <x v="0"/>
          </reference>
          <reference field="2" count="1" selected="0">
            <x v="0"/>
          </reference>
          <reference field="10" count="1" selected="0">
            <x v="1"/>
          </reference>
        </references>
      </pivotArea>
    </chartFormat>
    <chartFormat chart="4" format="47">
      <pivotArea type="data" outline="0" fieldPosition="0">
        <references count="3">
          <reference field="4294967294" count="1" selected="0">
            <x v="0"/>
          </reference>
          <reference field="2" count="1" selected="0">
            <x v="1"/>
          </reference>
          <reference field="10" count="1" selected="0">
            <x v="1"/>
          </reference>
        </references>
      </pivotArea>
    </chartFormat>
    <chartFormat chart="4" format="48">
      <pivotArea type="data" outline="0" fieldPosition="0">
        <references count="3">
          <reference field="4294967294" count="1" selected="0">
            <x v="0"/>
          </reference>
          <reference field="2" count="1" selected="0">
            <x v="2"/>
          </reference>
          <reference field="10" count="1" selected="0">
            <x v="1"/>
          </reference>
        </references>
      </pivotArea>
    </chartFormat>
    <chartFormat chart="4" format="49">
      <pivotArea type="data" outline="0" fieldPosition="0">
        <references count="3">
          <reference field="4294967294" count="1" selected="0">
            <x v="0"/>
          </reference>
          <reference field="2" count="1" selected="0">
            <x v="3"/>
          </reference>
          <reference field="10" count="1" selected="0">
            <x v="1"/>
          </reference>
        </references>
      </pivotArea>
    </chartFormat>
    <chartFormat chart="4" format="50">
      <pivotArea type="data" outline="0" fieldPosition="0">
        <references count="3">
          <reference field="4294967294" count="1" selected="0">
            <x v="0"/>
          </reference>
          <reference field="2" count="1" selected="0">
            <x v="4"/>
          </reference>
          <reference field="10" count="1" selected="0">
            <x v="1"/>
          </reference>
        </references>
      </pivotArea>
    </chartFormat>
    <chartFormat chart="4" format="51">
      <pivotArea type="data" outline="0" fieldPosition="0">
        <references count="3">
          <reference field="4294967294" count="1" selected="0">
            <x v="0"/>
          </reference>
          <reference field="2" count="1" selected="0">
            <x v="5"/>
          </reference>
          <reference field="10" count="1" selected="0">
            <x v="1"/>
          </reference>
        </references>
      </pivotArea>
    </chartFormat>
    <chartFormat chart="4" format="52">
      <pivotArea type="data" outline="0" fieldPosition="0">
        <references count="3">
          <reference field="4294967294" count="1" selected="0">
            <x v="0"/>
          </reference>
          <reference field="2" count="1" selected="0">
            <x v="6"/>
          </reference>
          <reference field="10" count="1" selected="0">
            <x v="1"/>
          </reference>
        </references>
      </pivotArea>
    </chartFormat>
    <chartFormat chart="4" format="53" series="1">
      <pivotArea type="data" outline="0" fieldPosition="0">
        <references count="2">
          <reference field="4294967294" count="1" selected="0">
            <x v="0"/>
          </reference>
          <reference field="10" count="1" selected="0">
            <x v="2"/>
          </reference>
        </references>
      </pivotArea>
    </chartFormat>
    <chartFormat chart="4" format="54">
      <pivotArea type="data" outline="0" fieldPosition="0">
        <references count="3">
          <reference field="4294967294" count="1" selected="0">
            <x v="0"/>
          </reference>
          <reference field="2" count="1" selected="0">
            <x v="0"/>
          </reference>
          <reference field="10" count="1" selected="0">
            <x v="2"/>
          </reference>
        </references>
      </pivotArea>
    </chartFormat>
    <chartFormat chart="4" format="55">
      <pivotArea type="data" outline="0" fieldPosition="0">
        <references count="3">
          <reference field="4294967294" count="1" selected="0">
            <x v="0"/>
          </reference>
          <reference field="2" count="1" selected="0">
            <x v="1"/>
          </reference>
          <reference field="10" count="1" selected="0">
            <x v="2"/>
          </reference>
        </references>
      </pivotArea>
    </chartFormat>
    <chartFormat chart="4" format="56">
      <pivotArea type="data" outline="0" fieldPosition="0">
        <references count="3">
          <reference field="4294967294" count="1" selected="0">
            <x v="0"/>
          </reference>
          <reference field="2" count="1" selected="0">
            <x v="2"/>
          </reference>
          <reference field="10" count="1" selected="0">
            <x v="2"/>
          </reference>
        </references>
      </pivotArea>
    </chartFormat>
    <chartFormat chart="4" format="57">
      <pivotArea type="data" outline="0" fieldPosition="0">
        <references count="3">
          <reference field="4294967294" count="1" selected="0">
            <x v="0"/>
          </reference>
          <reference field="2" count="1" selected="0">
            <x v="3"/>
          </reference>
          <reference field="10" count="1" selected="0">
            <x v="2"/>
          </reference>
        </references>
      </pivotArea>
    </chartFormat>
    <chartFormat chart="4" format="58">
      <pivotArea type="data" outline="0" fieldPosition="0">
        <references count="3">
          <reference field="4294967294" count="1" selected="0">
            <x v="0"/>
          </reference>
          <reference field="2" count="1" selected="0">
            <x v="4"/>
          </reference>
          <reference field="10" count="1" selected="0">
            <x v="2"/>
          </reference>
        </references>
      </pivotArea>
    </chartFormat>
    <chartFormat chart="4" format="59">
      <pivotArea type="data" outline="0" fieldPosition="0">
        <references count="3">
          <reference field="4294967294" count="1" selected="0">
            <x v="0"/>
          </reference>
          <reference field="2" count="1" selected="0">
            <x v="5"/>
          </reference>
          <reference field="10" count="1" selected="0">
            <x v="2"/>
          </reference>
        </references>
      </pivotArea>
    </chartFormat>
    <chartFormat chart="4" format="60">
      <pivotArea type="data" outline="0" fieldPosition="0">
        <references count="3">
          <reference field="4294967294" count="1" selected="0">
            <x v="0"/>
          </reference>
          <reference field="2" count="1" selected="0">
            <x v="6"/>
          </reference>
          <reference field="10" count="1" selected="0">
            <x v="2"/>
          </reference>
        </references>
      </pivotArea>
    </chartFormat>
    <chartFormat chart="4" format="61" series="1">
      <pivotArea type="data" outline="0" fieldPosition="0">
        <references count="2">
          <reference field="4294967294" count="1" selected="0">
            <x v="0"/>
          </reference>
          <reference field="10" count="1" selected="0">
            <x v="3"/>
          </reference>
        </references>
      </pivotArea>
    </chartFormat>
    <chartFormat chart="4" format="62">
      <pivotArea type="data" outline="0" fieldPosition="0">
        <references count="3">
          <reference field="4294967294" count="1" selected="0">
            <x v="0"/>
          </reference>
          <reference field="2" count="1" selected="0">
            <x v="0"/>
          </reference>
          <reference field="10" count="1" selected="0">
            <x v="3"/>
          </reference>
        </references>
      </pivotArea>
    </chartFormat>
    <chartFormat chart="4" format="63">
      <pivotArea type="data" outline="0" fieldPosition="0">
        <references count="3">
          <reference field="4294967294" count="1" selected="0">
            <x v="0"/>
          </reference>
          <reference field="2" count="1" selected="0">
            <x v="1"/>
          </reference>
          <reference field="10" count="1" selected="0">
            <x v="3"/>
          </reference>
        </references>
      </pivotArea>
    </chartFormat>
    <chartFormat chart="4" format="64">
      <pivotArea type="data" outline="0" fieldPosition="0">
        <references count="3">
          <reference field="4294967294" count="1" selected="0">
            <x v="0"/>
          </reference>
          <reference field="2" count="1" selected="0">
            <x v="2"/>
          </reference>
          <reference field="10" count="1" selected="0">
            <x v="3"/>
          </reference>
        </references>
      </pivotArea>
    </chartFormat>
    <chartFormat chart="4" format="65">
      <pivotArea type="data" outline="0" fieldPosition="0">
        <references count="3">
          <reference field="4294967294" count="1" selected="0">
            <x v="0"/>
          </reference>
          <reference field="2" count="1" selected="0">
            <x v="3"/>
          </reference>
          <reference field="10" count="1" selected="0">
            <x v="3"/>
          </reference>
        </references>
      </pivotArea>
    </chartFormat>
    <chartFormat chart="4" format="66">
      <pivotArea type="data" outline="0" fieldPosition="0">
        <references count="3">
          <reference field="4294967294" count="1" selected="0">
            <x v="0"/>
          </reference>
          <reference field="2" count="1" selected="0">
            <x v="4"/>
          </reference>
          <reference field="10" count="1" selected="0">
            <x v="3"/>
          </reference>
        </references>
      </pivotArea>
    </chartFormat>
    <chartFormat chart="4" format="67">
      <pivotArea type="data" outline="0" fieldPosition="0">
        <references count="3">
          <reference field="4294967294" count="1" selected="0">
            <x v="0"/>
          </reference>
          <reference field="2" count="1" selected="0">
            <x v="5"/>
          </reference>
          <reference field="10" count="1" selected="0">
            <x v="3"/>
          </reference>
        </references>
      </pivotArea>
    </chartFormat>
    <chartFormat chart="4" format="68">
      <pivotArea type="data" outline="0" fieldPosition="0">
        <references count="3">
          <reference field="4294967294" count="1" selected="0">
            <x v="0"/>
          </reference>
          <reference field="2" count="1" selected="0">
            <x v="6"/>
          </reference>
          <reference field="10" count="1" selected="0">
            <x v="3"/>
          </reference>
        </references>
      </pivotArea>
    </chartFormat>
    <chartFormat chart="0" format="5">
      <pivotArea type="data" outline="0" fieldPosition="0">
        <references count="3">
          <reference field="4294967294" count="1" selected="0">
            <x v="0"/>
          </reference>
          <reference field="2" count="1" selected="0">
            <x v="0"/>
          </reference>
          <reference field="10" count="1" selected="0">
            <x v="0"/>
          </reference>
        </references>
      </pivotArea>
    </chartFormat>
    <chartFormat chart="0" format="6">
      <pivotArea type="data" outline="0" fieldPosition="0">
        <references count="3">
          <reference field="4294967294" count="1" selected="0">
            <x v="0"/>
          </reference>
          <reference field="2" count="1" selected="0">
            <x v="1"/>
          </reference>
          <reference field="10" count="1" selected="0">
            <x v="0"/>
          </reference>
        </references>
      </pivotArea>
    </chartFormat>
    <chartFormat chart="0" format="7">
      <pivotArea type="data" outline="0" fieldPosition="0">
        <references count="3">
          <reference field="4294967294" count="1" selected="0">
            <x v="0"/>
          </reference>
          <reference field="2" count="1" selected="0">
            <x v="2"/>
          </reference>
          <reference field="10" count="1" selected="0">
            <x v="0"/>
          </reference>
        </references>
      </pivotArea>
    </chartFormat>
    <chartFormat chart="0" format="8">
      <pivotArea type="data" outline="0" fieldPosition="0">
        <references count="3">
          <reference field="4294967294" count="1" selected="0">
            <x v="0"/>
          </reference>
          <reference field="2" count="1" selected="0">
            <x v="3"/>
          </reference>
          <reference field="10" count="1" selected="0">
            <x v="0"/>
          </reference>
        </references>
      </pivotArea>
    </chartFormat>
    <chartFormat chart="0" format="9">
      <pivotArea type="data" outline="0" fieldPosition="0">
        <references count="3">
          <reference field="4294967294" count="1" selected="0">
            <x v="0"/>
          </reference>
          <reference field="2" count="1" selected="0">
            <x v="4"/>
          </reference>
          <reference field="10" count="1" selected="0">
            <x v="0"/>
          </reference>
        </references>
      </pivotArea>
    </chartFormat>
    <chartFormat chart="0" format="10">
      <pivotArea type="data" outline="0" fieldPosition="0">
        <references count="3">
          <reference field="4294967294" count="1" selected="0">
            <x v="0"/>
          </reference>
          <reference field="2" count="1" selected="0">
            <x v="5"/>
          </reference>
          <reference field="10" count="1" selected="0">
            <x v="0"/>
          </reference>
        </references>
      </pivotArea>
    </chartFormat>
    <chartFormat chart="0" format="11">
      <pivotArea type="data" outline="0" fieldPosition="0">
        <references count="3">
          <reference field="4294967294" count="1" selected="0">
            <x v="0"/>
          </reference>
          <reference field="2" count="1" selected="0">
            <x v="6"/>
          </reference>
          <reference field="10" count="1" selected="0">
            <x v="0"/>
          </reference>
        </references>
      </pivotArea>
    </chartFormat>
    <chartFormat chart="0" format="12">
      <pivotArea type="data" outline="0" fieldPosition="0">
        <references count="3">
          <reference field="4294967294" count="1" selected="0">
            <x v="0"/>
          </reference>
          <reference field="2" count="1" selected="0">
            <x v="0"/>
          </reference>
          <reference field="10" count="1" selected="0">
            <x v="1"/>
          </reference>
        </references>
      </pivotArea>
    </chartFormat>
    <chartFormat chart="0" format="13">
      <pivotArea type="data" outline="0" fieldPosition="0">
        <references count="3">
          <reference field="4294967294" count="1" selected="0">
            <x v="0"/>
          </reference>
          <reference field="2" count="1" selected="0">
            <x v="1"/>
          </reference>
          <reference field="10" count="1" selected="0">
            <x v="1"/>
          </reference>
        </references>
      </pivotArea>
    </chartFormat>
    <chartFormat chart="0" format="14">
      <pivotArea type="data" outline="0" fieldPosition="0">
        <references count="3">
          <reference field="4294967294" count="1" selected="0">
            <x v="0"/>
          </reference>
          <reference field="2" count="1" selected="0">
            <x v="2"/>
          </reference>
          <reference field="10" count="1" selected="0">
            <x v="1"/>
          </reference>
        </references>
      </pivotArea>
    </chartFormat>
    <chartFormat chart="0" format="15">
      <pivotArea type="data" outline="0" fieldPosition="0">
        <references count="3">
          <reference field="4294967294" count="1" selected="0">
            <x v="0"/>
          </reference>
          <reference field="2" count="1" selected="0">
            <x v="3"/>
          </reference>
          <reference field="10" count="1" selected="0">
            <x v="1"/>
          </reference>
        </references>
      </pivotArea>
    </chartFormat>
    <chartFormat chart="0" format="16">
      <pivotArea type="data" outline="0" fieldPosition="0">
        <references count="3">
          <reference field="4294967294" count="1" selected="0">
            <x v="0"/>
          </reference>
          <reference field="2" count="1" selected="0">
            <x v="4"/>
          </reference>
          <reference field="10" count="1" selected="0">
            <x v="1"/>
          </reference>
        </references>
      </pivotArea>
    </chartFormat>
    <chartFormat chart="0" format="17">
      <pivotArea type="data" outline="0" fieldPosition="0">
        <references count="3">
          <reference field="4294967294" count="1" selected="0">
            <x v="0"/>
          </reference>
          <reference field="2" count="1" selected="0">
            <x v="5"/>
          </reference>
          <reference field="10" count="1" selected="0">
            <x v="1"/>
          </reference>
        </references>
      </pivotArea>
    </chartFormat>
    <chartFormat chart="0" format="18">
      <pivotArea type="data" outline="0" fieldPosition="0">
        <references count="3">
          <reference field="4294967294" count="1" selected="0">
            <x v="0"/>
          </reference>
          <reference field="2" count="1" selected="0">
            <x v="6"/>
          </reference>
          <reference field="10" count="1" selected="0">
            <x v="1"/>
          </reference>
        </references>
      </pivotArea>
    </chartFormat>
    <chartFormat chart="0" format="19">
      <pivotArea type="data" outline="0" fieldPosition="0">
        <references count="3">
          <reference field="4294967294" count="1" selected="0">
            <x v="0"/>
          </reference>
          <reference field="2" count="1" selected="0">
            <x v="0"/>
          </reference>
          <reference field="10" count="1" selected="0">
            <x v="2"/>
          </reference>
        </references>
      </pivotArea>
    </chartFormat>
    <chartFormat chart="0" format="20">
      <pivotArea type="data" outline="0" fieldPosition="0">
        <references count="3">
          <reference field="4294967294" count="1" selected="0">
            <x v="0"/>
          </reference>
          <reference field="2" count="1" selected="0">
            <x v="1"/>
          </reference>
          <reference field="10" count="1" selected="0">
            <x v="2"/>
          </reference>
        </references>
      </pivotArea>
    </chartFormat>
    <chartFormat chart="0" format="21">
      <pivotArea type="data" outline="0" fieldPosition="0">
        <references count="3">
          <reference field="4294967294" count="1" selected="0">
            <x v="0"/>
          </reference>
          <reference field="2" count="1" selected="0">
            <x v="2"/>
          </reference>
          <reference field="10" count="1" selected="0">
            <x v="2"/>
          </reference>
        </references>
      </pivotArea>
    </chartFormat>
    <chartFormat chart="0" format="22">
      <pivotArea type="data" outline="0" fieldPosition="0">
        <references count="3">
          <reference field="4294967294" count="1" selected="0">
            <x v="0"/>
          </reference>
          <reference field="2" count="1" selected="0">
            <x v="3"/>
          </reference>
          <reference field="10" count="1" selected="0">
            <x v="2"/>
          </reference>
        </references>
      </pivotArea>
    </chartFormat>
    <chartFormat chart="0" format="23">
      <pivotArea type="data" outline="0" fieldPosition="0">
        <references count="3">
          <reference field="4294967294" count="1" selected="0">
            <x v="0"/>
          </reference>
          <reference field="2" count="1" selected="0">
            <x v="4"/>
          </reference>
          <reference field="10" count="1" selected="0">
            <x v="2"/>
          </reference>
        </references>
      </pivotArea>
    </chartFormat>
    <chartFormat chart="0" format="24">
      <pivotArea type="data" outline="0" fieldPosition="0">
        <references count="3">
          <reference field="4294967294" count="1" selected="0">
            <x v="0"/>
          </reference>
          <reference field="2" count="1" selected="0">
            <x v="5"/>
          </reference>
          <reference field="10" count="1" selected="0">
            <x v="2"/>
          </reference>
        </references>
      </pivotArea>
    </chartFormat>
    <chartFormat chart="0" format="25">
      <pivotArea type="data" outline="0" fieldPosition="0">
        <references count="3">
          <reference field="4294967294" count="1" selected="0">
            <x v="0"/>
          </reference>
          <reference field="2" count="1" selected="0">
            <x v="6"/>
          </reference>
          <reference field="10" count="1" selected="0">
            <x v="2"/>
          </reference>
        </references>
      </pivotArea>
    </chartFormat>
    <chartFormat chart="0" format="26">
      <pivotArea type="data" outline="0" fieldPosition="0">
        <references count="3">
          <reference field="4294967294" count="1" selected="0">
            <x v="0"/>
          </reference>
          <reference field="2" count="1" selected="0">
            <x v="0"/>
          </reference>
          <reference field="10" count="1" selected="0">
            <x v="3"/>
          </reference>
        </references>
      </pivotArea>
    </chartFormat>
    <chartFormat chart="0" format="27">
      <pivotArea type="data" outline="0" fieldPosition="0">
        <references count="3">
          <reference field="4294967294" count="1" selected="0">
            <x v="0"/>
          </reference>
          <reference field="2" count="1" selected="0">
            <x v="1"/>
          </reference>
          <reference field="10" count="1" selected="0">
            <x v="3"/>
          </reference>
        </references>
      </pivotArea>
    </chartFormat>
    <chartFormat chart="0" format="28">
      <pivotArea type="data" outline="0" fieldPosition="0">
        <references count="3">
          <reference field="4294967294" count="1" selected="0">
            <x v="0"/>
          </reference>
          <reference field="2" count="1" selected="0">
            <x v="2"/>
          </reference>
          <reference field="10" count="1" selected="0">
            <x v="3"/>
          </reference>
        </references>
      </pivotArea>
    </chartFormat>
    <chartFormat chart="0" format="29">
      <pivotArea type="data" outline="0" fieldPosition="0">
        <references count="3">
          <reference field="4294967294" count="1" selected="0">
            <x v="0"/>
          </reference>
          <reference field="2" count="1" selected="0">
            <x v="3"/>
          </reference>
          <reference field="10" count="1" selected="0">
            <x v="3"/>
          </reference>
        </references>
      </pivotArea>
    </chartFormat>
    <chartFormat chart="0" format="30">
      <pivotArea type="data" outline="0" fieldPosition="0">
        <references count="3">
          <reference field="4294967294" count="1" selected="0">
            <x v="0"/>
          </reference>
          <reference field="2" count="1" selected="0">
            <x v="4"/>
          </reference>
          <reference field="10" count="1" selected="0">
            <x v="3"/>
          </reference>
        </references>
      </pivotArea>
    </chartFormat>
    <chartFormat chart="0" format="31">
      <pivotArea type="data" outline="0" fieldPosition="0">
        <references count="3">
          <reference field="4294967294" count="1" selected="0">
            <x v="0"/>
          </reference>
          <reference field="2" count="1" selected="0">
            <x v="5"/>
          </reference>
          <reference field="10" count="1" selected="0">
            <x v="3"/>
          </reference>
        </references>
      </pivotArea>
    </chartFormat>
    <chartFormat chart="0" format="32">
      <pivotArea type="data" outline="0" fieldPosition="0">
        <references count="3">
          <reference field="4294967294" count="1" selected="0">
            <x v="0"/>
          </reference>
          <reference field="2" count="1" selected="0">
            <x v="6"/>
          </reference>
          <reference field="10" count="1" selected="0">
            <x v="3"/>
          </reference>
        </references>
      </pivotArea>
    </chartFormat>
    <chartFormat chart="4" format="6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E3B3E2B-547C-49A2-9B0A-4A8B1D8E5DEF}" sourceName="month">
  <pivotTables>
    <pivotTable tabId="3" name="total sales"/>
    <pivotTable tabId="3" name="total qnt"/>
    <pivotTable tabId="3" name="total prft"/>
    <pivotTable tabId="3" name="prft prsnt"/>
    <pivotTable tabId="3" name="sales by reg"/>
    <pivotTable tabId="3" name="prft bt reg"/>
    <pivotTable tabId="3" name="prod sold in year"/>
    <pivotTable tabId="3" name="units sold each month"/>
    <pivotTable tabId="3" name="PivotTable1"/>
    <pivotTable tabId="3" name="PivotTable2"/>
  </pivotTables>
  <data>
    <tabular pivotCacheId="1278167069">
      <items count="12">
        <i x="4" s="1"/>
        <i x="9" s="1"/>
        <i x="1" s="1"/>
        <i x="0" s="1"/>
        <i x="5" s="1"/>
        <i x="11" s="1"/>
        <i x="10" s="1"/>
        <i x="6" s="1"/>
        <i x="2" s="1"/>
        <i x="8"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F81A3A-4F47-44CD-B004-13E8CB538604}" sourceName="year">
  <pivotTables>
    <pivotTable tabId="3" name="total sales"/>
    <pivotTable tabId="3" name="total qnt"/>
    <pivotTable tabId="3" name="total prft"/>
    <pivotTable tabId="3" name="prft prsnt"/>
    <pivotTable tabId="3" name="sales by reg"/>
    <pivotTable tabId="3" name="prft bt reg"/>
    <pivotTable tabId="3" name="prod sold in year"/>
    <pivotTable tabId="3" name="units sold each month"/>
    <pivotTable tabId="3" name="PivotTable1"/>
    <pivotTable tabId="3" name="PivotTable2"/>
  </pivotTables>
  <data>
    <tabular pivotCacheId="1278167069">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D00851-44A6-4861-AFF0-81F5F11156A4}" sourceName="region">
  <pivotTables>
    <pivotTable tabId="3" name="total sales"/>
    <pivotTable tabId="3" name="total qnt"/>
    <pivotTable tabId="3" name="total prft"/>
    <pivotTable tabId="3" name="prft prsnt"/>
    <pivotTable tabId="3" name="sales by reg"/>
    <pivotTable tabId="3" name="prft bt reg"/>
    <pivotTable tabId="3" name="prod sold in year"/>
    <pivotTable tabId="3" name="units sold each month"/>
    <pivotTable tabId="3" name="PivotTable1"/>
    <pivotTable tabId="3" name="PivotTable2"/>
  </pivotTables>
  <data>
    <tabular pivotCacheId="127816706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9FB323C-E78C-4086-9726-A5538712B0E1}" cache="Slicer_month" caption="month" startItem="4" rowHeight="241300"/>
  <slicer name="year" xr10:uid="{093BDCEC-D704-4D67-9C1A-F9A5DE4235F0}" cache="Slicer_year" caption="year" rowHeight="241300"/>
  <slicer name="region" xr10:uid="{1C44FE1B-9E58-42E2-98B0-D0BD290AC654}"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4817515-B1BD-4B4E-BDA8-B4C4514CAAED}" cache="Slicer_month" caption="month" columnCount="3" style="SlicerStyleOther1" rowHeight="241300"/>
  <slicer name="year 1" xr10:uid="{33B9CB68-2656-4806-8554-8BF9C0EE7CAE}" cache="Slicer_year" caption="year" style="SlicerStyleOther1" rowHeight="241300"/>
  <slicer name="region 1" xr10:uid="{3CFAE8B0-3A4C-470E-81B9-F23D738804AE}" cache="Slicer_region" caption="region"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DA1AD364-D6C3-46FD-A821-D7C69FDD5EEB}" cache="Slicer_month" caption="month" columnCount="3" style="SlicerStyleOther1" rowHeight="241300"/>
  <slicer name="year 2" xr10:uid="{69824073-8D00-4C2B-883C-11EFBDC2FE5E}" cache="Slicer_year" caption="year" style="SlicerStyleOther1" rowHeight="241300"/>
  <slicer name="region 2" xr10:uid="{D5FBFF82-518F-4876-A27D-4922A41BB35F}" cache="Slicer_region" caption="region" style="SlicerStyleOther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76CF144-2E8F-4DEC-BFFB-EA874A7C93A6}" cache="Slicer_month" caption="month" columnCount="3" style="SlicerStyleOther1" rowHeight="241300"/>
  <slicer name="year 3" xr10:uid="{3B65F061-0E67-4795-A7BF-4635735CD64A}" cache="Slicer_year" caption="year" style="SlicerStyleOther1" rowHeight="241300"/>
  <slicer name="region 3" xr10:uid="{B7D3F968-7762-4449-B5C8-7CDFD0F84EF6}" cache="Slicer_region" caption="region" style="SlicerStyleOther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98FECF0F-8AAA-4623-9A2D-469624D7A3BD}" cache="Slicer_month" caption="month" columnCount="3" style="SlicerStyleOther1" rowHeight="241300"/>
  <slicer name="year 4" xr10:uid="{10A114CE-1B2D-4702-A491-3ED8F5FE4858}" cache="Slicer_year" caption="year" style="SlicerStyleOther1" rowHeight="241300"/>
  <slicer name="region 4" xr10:uid="{898398C6-41ED-4856-8D6B-149010BB7B24}" cache="Slicer_region" caption="region"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317B7-06AA-407C-9B81-086537998854}" name="Table1" displayName="Table1" ref="A1:K101" totalsRowShown="0">
  <autoFilter ref="A1:K101" xr:uid="{BA1317B7-06AA-407C-9B81-086537998854}"/>
  <tableColumns count="11">
    <tableColumn id="1" xr3:uid="{2E0020D1-68DA-481A-99A4-A2AE46F73ABE}" name="Order ID"/>
    <tableColumn id="2" xr3:uid="{E54371E4-971B-4723-B181-17145533D3E3}" name="Order Date" dataDxfId="4"/>
    <tableColumn id="3" xr3:uid="{87C87AA1-6487-4270-A82F-5EDDAC90A3DE}" name="Product"/>
    <tableColumn id="4" xr3:uid="{8473AD53-A4B9-4988-A6AC-5B344C29E726}" name="Units Sold"/>
    <tableColumn id="5" xr3:uid="{3FCE66D1-C415-489E-8BA4-F6BBD785BF4E}" name="Unit Price" dataDxfId="3"/>
    <tableColumn id="6" xr3:uid="{76B1305D-8B8A-49D7-A822-1D20AB0653BE}" name="Total Sales" dataDxfId="2"/>
    <tableColumn id="7" xr3:uid="{7F8214DE-BBF6-4E03-82EC-E81448A8D147}" name="Profit" dataDxfId="1"/>
    <tableColumn id="8" xr3:uid="{A6B1B300-3F6A-4BA6-9B62-3424503368E8}" name="Profit Percent" dataDxfId="0"/>
    <tableColumn id="9" xr3:uid="{4A4FE954-F179-4B33-9435-E1FBE2C9BC41}" name="year">
      <calculatedColumnFormula>YEAR(B2)</calculatedColumnFormula>
    </tableColumn>
    <tableColumn id="10" xr3:uid="{73DCF636-25CA-491C-BAC5-7DC5CD78C6EA}" name="month">
      <calculatedColumnFormula>TEXT(B2, "mmm")</calculatedColumnFormula>
    </tableColumn>
    <tableColumn id="11" xr3:uid="{80FBB4D6-6C3D-4A3D-B6EF-D03722095832}" name="reg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5412-DE5D-4C68-AAAF-3C502D9A72AA}">
  <dimension ref="A1:K101"/>
  <sheetViews>
    <sheetView topLeftCell="A2" workbookViewId="0">
      <selection activeCell="A4" sqref="A2:K101"/>
    </sheetView>
  </sheetViews>
  <sheetFormatPr defaultRowHeight="15" x14ac:dyDescent="0.25"/>
  <cols>
    <col min="1" max="1" width="10.5703125" customWidth="1"/>
    <col min="2" max="2" width="18.28515625" bestFit="1" customWidth="1"/>
    <col min="3" max="3" width="10" customWidth="1"/>
    <col min="4" max="4" width="12.140625" customWidth="1"/>
    <col min="5" max="5" width="11.85546875" customWidth="1"/>
    <col min="6" max="6" width="12.5703125" customWidth="1"/>
    <col min="8" max="8" width="15.42578125" customWidth="1"/>
  </cols>
  <sheetData>
    <row r="1" spans="1:11" x14ac:dyDescent="0.25">
      <c r="A1" s="1" t="s">
        <v>0</v>
      </c>
      <c r="B1" s="1" t="s">
        <v>1</v>
      </c>
      <c r="C1" s="1" t="s">
        <v>2</v>
      </c>
      <c r="D1" s="1" t="s">
        <v>3</v>
      </c>
      <c r="E1" s="1" t="s">
        <v>4</v>
      </c>
      <c r="F1" s="1" t="s">
        <v>5</v>
      </c>
      <c r="G1" s="1" t="s">
        <v>6</v>
      </c>
      <c r="H1" s="1" t="s">
        <v>7</v>
      </c>
      <c r="I1" s="3" t="s">
        <v>15</v>
      </c>
      <c r="J1" s="3" t="s">
        <v>16</v>
      </c>
      <c r="K1" t="s">
        <v>21</v>
      </c>
    </row>
    <row r="2" spans="1:11" x14ac:dyDescent="0.25">
      <c r="A2">
        <v>1</v>
      </c>
      <c r="B2" s="2">
        <v>45394</v>
      </c>
      <c r="C2" t="s">
        <v>8</v>
      </c>
      <c r="D2">
        <v>10</v>
      </c>
      <c r="E2" s="4">
        <v>1964</v>
      </c>
      <c r="F2" s="4">
        <v>19640</v>
      </c>
      <c r="G2" s="4">
        <v>4005.2933277364132</v>
      </c>
      <c r="H2" s="5">
        <v>20.393550548556099</v>
      </c>
      <c r="I2">
        <f>YEAR(B2)</f>
        <v>2024</v>
      </c>
      <c r="J2" t="str">
        <f>TEXT(B2, "mmm")</f>
        <v>Apr</v>
      </c>
      <c r="K2" t="s">
        <v>19</v>
      </c>
    </row>
    <row r="3" spans="1:11" x14ac:dyDescent="0.25">
      <c r="A3">
        <v>2</v>
      </c>
      <c r="B3" s="2">
        <v>45727</v>
      </c>
      <c r="C3" t="s">
        <v>8</v>
      </c>
      <c r="D3">
        <v>7</v>
      </c>
      <c r="E3" s="4">
        <v>1112</v>
      </c>
      <c r="F3" s="4">
        <v>7784</v>
      </c>
      <c r="G3" s="4">
        <v>1029.467933987333</v>
      </c>
      <c r="H3" s="5">
        <v>13.22543594536655</v>
      </c>
      <c r="I3">
        <f t="shared" ref="I3:I66" si="0">YEAR(B3)</f>
        <v>2025</v>
      </c>
      <c r="J3" t="str">
        <f t="shared" ref="J3:J66" si="1">TEXT(B3, "mmm")</f>
        <v>Mar</v>
      </c>
      <c r="K3" t="s">
        <v>18</v>
      </c>
    </row>
    <row r="4" spans="1:11" x14ac:dyDescent="0.25">
      <c r="A4">
        <v>3</v>
      </c>
      <c r="B4" s="2">
        <v>45562</v>
      </c>
      <c r="C4" t="s">
        <v>9</v>
      </c>
      <c r="D4">
        <v>17</v>
      </c>
      <c r="E4" s="4">
        <v>863</v>
      </c>
      <c r="F4" s="4">
        <v>14671</v>
      </c>
      <c r="G4" s="4">
        <v>2458.0622043631929</v>
      </c>
      <c r="H4" s="5">
        <v>16.754564817416629</v>
      </c>
      <c r="I4">
        <f t="shared" si="0"/>
        <v>2024</v>
      </c>
      <c r="J4" t="str">
        <f t="shared" si="1"/>
        <v>Sep</v>
      </c>
      <c r="K4" t="s">
        <v>18</v>
      </c>
    </row>
    <row r="5" spans="1:11" x14ac:dyDescent="0.25">
      <c r="A5">
        <v>4</v>
      </c>
      <c r="B5" s="2">
        <v>45398</v>
      </c>
      <c r="C5" t="s">
        <v>10</v>
      </c>
      <c r="D5">
        <v>7</v>
      </c>
      <c r="E5" s="4">
        <v>78</v>
      </c>
      <c r="F5" s="4">
        <v>546</v>
      </c>
      <c r="G5" s="4">
        <v>128.89409245371141</v>
      </c>
      <c r="H5" s="5">
        <v>23.606976639873889</v>
      </c>
      <c r="I5">
        <f t="shared" si="0"/>
        <v>2024</v>
      </c>
      <c r="J5" t="str">
        <f t="shared" si="1"/>
        <v>Apr</v>
      </c>
      <c r="K5" t="s">
        <v>19</v>
      </c>
    </row>
    <row r="6" spans="1:11" x14ac:dyDescent="0.25">
      <c r="A6">
        <v>5</v>
      </c>
      <c r="B6" s="2">
        <v>45363</v>
      </c>
      <c r="C6" t="s">
        <v>10</v>
      </c>
      <c r="D6">
        <v>12</v>
      </c>
      <c r="E6" s="4">
        <v>1007</v>
      </c>
      <c r="F6" s="4">
        <v>12084</v>
      </c>
      <c r="G6" s="4">
        <v>3238.0068252777992</v>
      </c>
      <c r="H6" s="5">
        <v>26.795819474328031</v>
      </c>
      <c r="I6">
        <f t="shared" si="0"/>
        <v>2024</v>
      </c>
      <c r="J6" t="str">
        <f t="shared" si="1"/>
        <v>Mar</v>
      </c>
      <c r="K6" t="s">
        <v>17</v>
      </c>
    </row>
    <row r="7" spans="1:11" x14ac:dyDescent="0.25">
      <c r="A7">
        <v>6</v>
      </c>
      <c r="B7" s="2">
        <v>45992</v>
      </c>
      <c r="C7" t="s">
        <v>9</v>
      </c>
      <c r="D7">
        <v>17</v>
      </c>
      <c r="E7" s="4">
        <v>526</v>
      </c>
      <c r="F7" s="4">
        <v>8942</v>
      </c>
      <c r="G7" s="4">
        <v>1416.5364990595069</v>
      </c>
      <c r="H7" s="5">
        <v>15.841383348909719</v>
      </c>
      <c r="I7">
        <f t="shared" si="0"/>
        <v>2025</v>
      </c>
      <c r="J7" t="str">
        <f t="shared" si="1"/>
        <v>Dec</v>
      </c>
      <c r="K7" t="s">
        <v>20</v>
      </c>
    </row>
    <row r="8" spans="1:11" x14ac:dyDescent="0.25">
      <c r="A8">
        <v>7</v>
      </c>
      <c r="B8" s="2">
        <v>45312</v>
      </c>
      <c r="C8" t="s">
        <v>11</v>
      </c>
      <c r="D8">
        <v>13</v>
      </c>
      <c r="E8" s="4">
        <v>367</v>
      </c>
      <c r="F8" s="4">
        <v>4771</v>
      </c>
      <c r="G8" s="4">
        <v>290.62744223045507</v>
      </c>
      <c r="H8" s="5">
        <v>6.0915414426840302</v>
      </c>
      <c r="I8">
        <f t="shared" si="0"/>
        <v>2024</v>
      </c>
      <c r="J8" t="str">
        <f t="shared" si="1"/>
        <v>Jan</v>
      </c>
      <c r="K8" t="s">
        <v>19</v>
      </c>
    </row>
    <row r="9" spans="1:11" x14ac:dyDescent="0.25">
      <c r="A9">
        <v>8</v>
      </c>
      <c r="B9" s="2">
        <v>45906</v>
      </c>
      <c r="C9" t="s">
        <v>10</v>
      </c>
      <c r="D9">
        <v>4</v>
      </c>
      <c r="E9" s="4">
        <v>294</v>
      </c>
      <c r="F9" s="4">
        <v>1176</v>
      </c>
      <c r="G9" s="4">
        <v>106.33172797915999</v>
      </c>
      <c r="H9" s="5">
        <v>9.0418136036700663</v>
      </c>
      <c r="I9">
        <f t="shared" si="0"/>
        <v>2025</v>
      </c>
      <c r="J9" t="str">
        <f t="shared" si="1"/>
        <v>Sep</v>
      </c>
      <c r="K9" t="s">
        <v>20</v>
      </c>
    </row>
    <row r="10" spans="1:11" x14ac:dyDescent="0.25">
      <c r="A10">
        <v>9</v>
      </c>
      <c r="B10" s="2">
        <v>45413</v>
      </c>
      <c r="C10" t="s">
        <v>8</v>
      </c>
      <c r="D10">
        <v>10</v>
      </c>
      <c r="E10" s="4">
        <v>797</v>
      </c>
      <c r="F10" s="4">
        <v>7970</v>
      </c>
      <c r="G10" s="4">
        <v>440.06582003838969</v>
      </c>
      <c r="H10" s="5">
        <v>5.5215284822884527</v>
      </c>
      <c r="I10">
        <f t="shared" si="0"/>
        <v>2024</v>
      </c>
      <c r="J10" t="str">
        <f t="shared" si="1"/>
        <v>May</v>
      </c>
      <c r="K10" t="s">
        <v>17</v>
      </c>
    </row>
    <row r="11" spans="1:11" x14ac:dyDescent="0.25">
      <c r="A11">
        <v>10</v>
      </c>
      <c r="B11" s="2">
        <v>45758</v>
      </c>
      <c r="C11" t="s">
        <v>8</v>
      </c>
      <c r="D11">
        <v>3</v>
      </c>
      <c r="E11" s="4">
        <v>746</v>
      </c>
      <c r="F11" s="4">
        <v>2238</v>
      </c>
      <c r="G11" s="4">
        <v>477.40065926328617</v>
      </c>
      <c r="H11" s="5">
        <v>21.33157548093325</v>
      </c>
      <c r="I11">
        <f t="shared" si="0"/>
        <v>2025</v>
      </c>
      <c r="J11" t="str">
        <f t="shared" si="1"/>
        <v>Apr</v>
      </c>
      <c r="K11" t="s">
        <v>19</v>
      </c>
    </row>
    <row r="12" spans="1:11" x14ac:dyDescent="0.25">
      <c r="A12">
        <v>11</v>
      </c>
      <c r="B12" s="2">
        <v>45506</v>
      </c>
      <c r="C12" t="s">
        <v>12</v>
      </c>
      <c r="D12">
        <v>9</v>
      </c>
      <c r="E12" s="4">
        <v>321</v>
      </c>
      <c r="F12" s="4">
        <v>2889</v>
      </c>
      <c r="G12" s="4">
        <v>384.46423816272738</v>
      </c>
      <c r="H12" s="5">
        <v>13.30786563387773</v>
      </c>
      <c r="I12">
        <f t="shared" si="0"/>
        <v>2024</v>
      </c>
      <c r="J12" t="str">
        <f t="shared" si="1"/>
        <v>Aug</v>
      </c>
      <c r="K12" t="s">
        <v>17</v>
      </c>
    </row>
    <row r="13" spans="1:11" x14ac:dyDescent="0.25">
      <c r="A13">
        <v>12</v>
      </c>
      <c r="B13" s="2">
        <v>45622</v>
      </c>
      <c r="C13" t="s">
        <v>10</v>
      </c>
      <c r="D13">
        <v>13</v>
      </c>
      <c r="E13" s="4">
        <v>1513</v>
      </c>
      <c r="F13" s="4">
        <v>19669</v>
      </c>
      <c r="G13" s="4">
        <v>3650.9530714910602</v>
      </c>
      <c r="H13" s="5">
        <v>18.56196589298419</v>
      </c>
      <c r="I13">
        <f t="shared" si="0"/>
        <v>2024</v>
      </c>
      <c r="J13" t="str">
        <f t="shared" si="1"/>
        <v>Nov</v>
      </c>
      <c r="K13" t="s">
        <v>17</v>
      </c>
    </row>
    <row r="14" spans="1:11" x14ac:dyDescent="0.25">
      <c r="A14">
        <v>13</v>
      </c>
      <c r="B14" s="2">
        <v>45750</v>
      </c>
      <c r="C14" t="s">
        <v>11</v>
      </c>
      <c r="D14">
        <v>18</v>
      </c>
      <c r="E14" s="4">
        <v>1821</v>
      </c>
      <c r="F14" s="4">
        <v>32778</v>
      </c>
      <c r="G14" s="4">
        <v>5681.0571209698464</v>
      </c>
      <c r="H14" s="5">
        <v>17.331921169594992</v>
      </c>
      <c r="I14">
        <f t="shared" si="0"/>
        <v>2025</v>
      </c>
      <c r="J14" t="str">
        <f t="shared" si="1"/>
        <v>Apr</v>
      </c>
      <c r="K14" t="s">
        <v>20</v>
      </c>
    </row>
    <row r="15" spans="1:11" x14ac:dyDescent="0.25">
      <c r="A15">
        <v>14</v>
      </c>
      <c r="B15" s="2">
        <v>45379</v>
      </c>
      <c r="C15" t="s">
        <v>9</v>
      </c>
      <c r="D15">
        <v>15</v>
      </c>
      <c r="E15" s="4">
        <v>1312</v>
      </c>
      <c r="F15" s="4">
        <v>19680</v>
      </c>
      <c r="G15" s="4">
        <v>1385.1103285979391</v>
      </c>
      <c r="H15" s="5">
        <v>7.0381622388106679</v>
      </c>
      <c r="I15">
        <f t="shared" si="0"/>
        <v>2024</v>
      </c>
      <c r="J15" t="str">
        <f t="shared" si="1"/>
        <v>Mar</v>
      </c>
      <c r="K15" t="s">
        <v>19</v>
      </c>
    </row>
    <row r="16" spans="1:11" x14ac:dyDescent="0.25">
      <c r="A16">
        <v>15</v>
      </c>
      <c r="B16" s="2">
        <v>45664</v>
      </c>
      <c r="C16" t="s">
        <v>9</v>
      </c>
      <c r="D16">
        <v>4</v>
      </c>
      <c r="E16" s="4">
        <v>426</v>
      </c>
      <c r="F16" s="4">
        <v>1704</v>
      </c>
      <c r="G16" s="4">
        <v>256.98933983875241</v>
      </c>
      <c r="H16" s="5">
        <v>15.08153402809579</v>
      </c>
      <c r="I16">
        <f t="shared" si="0"/>
        <v>2025</v>
      </c>
      <c r="J16" t="str">
        <f t="shared" si="1"/>
        <v>Jan</v>
      </c>
      <c r="K16" t="s">
        <v>17</v>
      </c>
    </row>
    <row r="17" spans="1:11" x14ac:dyDescent="0.25">
      <c r="A17">
        <v>16</v>
      </c>
      <c r="B17" s="2">
        <v>45391</v>
      </c>
      <c r="C17" t="s">
        <v>11</v>
      </c>
      <c r="D17">
        <v>15</v>
      </c>
      <c r="E17" s="4">
        <v>315</v>
      </c>
      <c r="F17" s="4">
        <v>4725</v>
      </c>
      <c r="G17" s="4">
        <v>496.78782881449439</v>
      </c>
      <c r="H17" s="5">
        <v>10.514028123058081</v>
      </c>
      <c r="I17">
        <f t="shared" si="0"/>
        <v>2024</v>
      </c>
      <c r="J17" t="str">
        <f t="shared" si="1"/>
        <v>Apr</v>
      </c>
      <c r="K17" t="s">
        <v>17</v>
      </c>
    </row>
    <row r="18" spans="1:11" x14ac:dyDescent="0.25">
      <c r="A18">
        <v>17</v>
      </c>
      <c r="B18" s="2">
        <v>45955</v>
      </c>
      <c r="C18" t="s">
        <v>13</v>
      </c>
      <c r="D18">
        <v>2</v>
      </c>
      <c r="E18" s="4">
        <v>975</v>
      </c>
      <c r="F18" s="4">
        <v>1950</v>
      </c>
      <c r="G18" s="4">
        <v>301.46989697548071</v>
      </c>
      <c r="H18" s="5">
        <v>15.45999471669132</v>
      </c>
      <c r="I18">
        <f t="shared" si="0"/>
        <v>2025</v>
      </c>
      <c r="J18" t="str">
        <f t="shared" si="1"/>
        <v>Oct</v>
      </c>
      <c r="K18" t="s">
        <v>19</v>
      </c>
    </row>
    <row r="19" spans="1:11" x14ac:dyDescent="0.25">
      <c r="A19">
        <v>18</v>
      </c>
      <c r="B19" s="2">
        <v>45422</v>
      </c>
      <c r="C19" t="s">
        <v>14</v>
      </c>
      <c r="D19">
        <v>15</v>
      </c>
      <c r="E19" s="4">
        <v>970</v>
      </c>
      <c r="F19" s="4">
        <v>14550</v>
      </c>
      <c r="G19" s="4">
        <v>1468.0159947449081</v>
      </c>
      <c r="H19" s="5">
        <v>10.089457008556071</v>
      </c>
      <c r="I19">
        <f t="shared" si="0"/>
        <v>2024</v>
      </c>
      <c r="J19" t="str">
        <f t="shared" si="1"/>
        <v>May</v>
      </c>
      <c r="K19" t="s">
        <v>17</v>
      </c>
    </row>
    <row r="20" spans="1:11" x14ac:dyDescent="0.25">
      <c r="A20">
        <v>19</v>
      </c>
      <c r="B20" s="2">
        <v>45953</v>
      </c>
      <c r="C20" t="s">
        <v>12</v>
      </c>
      <c r="D20">
        <v>8</v>
      </c>
      <c r="E20" s="4">
        <v>1432</v>
      </c>
      <c r="F20" s="4">
        <v>11456</v>
      </c>
      <c r="G20" s="4">
        <v>2979.8556915771378</v>
      </c>
      <c r="H20" s="5">
        <v>26.01131015692334</v>
      </c>
      <c r="I20">
        <f t="shared" si="0"/>
        <v>2025</v>
      </c>
      <c r="J20" t="str">
        <f t="shared" si="1"/>
        <v>Oct</v>
      </c>
      <c r="K20" t="s">
        <v>17</v>
      </c>
    </row>
    <row r="21" spans="1:11" x14ac:dyDescent="0.25">
      <c r="A21">
        <v>20</v>
      </c>
      <c r="B21" s="2">
        <v>45600</v>
      </c>
      <c r="C21" t="s">
        <v>9</v>
      </c>
      <c r="D21">
        <v>8</v>
      </c>
      <c r="E21" s="4">
        <v>389</v>
      </c>
      <c r="F21" s="4">
        <v>3112</v>
      </c>
      <c r="G21" s="4">
        <v>291.12241585788132</v>
      </c>
      <c r="H21" s="5">
        <v>9.3548334144563405</v>
      </c>
      <c r="I21">
        <f t="shared" si="0"/>
        <v>2024</v>
      </c>
      <c r="J21" t="str">
        <f t="shared" si="1"/>
        <v>Nov</v>
      </c>
      <c r="K21" t="s">
        <v>20</v>
      </c>
    </row>
    <row r="22" spans="1:11" x14ac:dyDescent="0.25">
      <c r="A22">
        <v>21</v>
      </c>
      <c r="B22" s="2">
        <v>45635</v>
      </c>
      <c r="C22" t="s">
        <v>10</v>
      </c>
      <c r="D22">
        <v>17</v>
      </c>
      <c r="E22" s="4">
        <v>438</v>
      </c>
      <c r="F22" s="4">
        <v>7446</v>
      </c>
      <c r="G22" s="4">
        <v>2160.792996593008</v>
      </c>
      <c r="H22" s="5">
        <v>29.019513787174422</v>
      </c>
      <c r="I22">
        <f t="shared" si="0"/>
        <v>2024</v>
      </c>
      <c r="J22" t="str">
        <f t="shared" si="1"/>
        <v>Dec</v>
      </c>
      <c r="K22" t="s">
        <v>17</v>
      </c>
    </row>
    <row r="23" spans="1:11" x14ac:dyDescent="0.25">
      <c r="A23">
        <v>22</v>
      </c>
      <c r="B23" s="2">
        <v>45783</v>
      </c>
      <c r="C23" t="s">
        <v>12</v>
      </c>
      <c r="D23">
        <v>12</v>
      </c>
      <c r="E23" s="4">
        <v>626</v>
      </c>
      <c r="F23" s="4">
        <v>7512</v>
      </c>
      <c r="G23" s="4">
        <v>1156.674033623955</v>
      </c>
      <c r="H23" s="5">
        <v>15.39768415367352</v>
      </c>
      <c r="I23">
        <f t="shared" si="0"/>
        <v>2025</v>
      </c>
      <c r="J23" t="str">
        <f t="shared" si="1"/>
        <v>May</v>
      </c>
      <c r="K23" t="s">
        <v>19</v>
      </c>
    </row>
    <row r="24" spans="1:11" x14ac:dyDescent="0.25">
      <c r="A24">
        <v>23</v>
      </c>
      <c r="B24" s="2">
        <v>45705</v>
      </c>
      <c r="C24" t="s">
        <v>10</v>
      </c>
      <c r="D24">
        <v>19</v>
      </c>
      <c r="E24" s="4">
        <v>1762</v>
      </c>
      <c r="F24" s="4">
        <v>33478</v>
      </c>
      <c r="G24" s="4">
        <v>8756.5499715534334</v>
      </c>
      <c r="H24" s="5">
        <v>26.15613230047623</v>
      </c>
      <c r="I24">
        <f t="shared" si="0"/>
        <v>2025</v>
      </c>
      <c r="J24" t="str">
        <f t="shared" si="1"/>
        <v>Feb</v>
      </c>
      <c r="K24" t="s">
        <v>19</v>
      </c>
    </row>
    <row r="25" spans="1:11" x14ac:dyDescent="0.25">
      <c r="A25">
        <v>24</v>
      </c>
      <c r="B25" s="2">
        <v>45677</v>
      </c>
      <c r="C25" t="s">
        <v>13</v>
      </c>
      <c r="D25">
        <v>10</v>
      </c>
      <c r="E25" s="4">
        <v>52</v>
      </c>
      <c r="F25" s="4">
        <v>520</v>
      </c>
      <c r="G25" s="4">
        <v>107.7394263667729</v>
      </c>
      <c r="H25" s="5">
        <v>20.71912045514863</v>
      </c>
      <c r="I25">
        <f t="shared" si="0"/>
        <v>2025</v>
      </c>
      <c r="J25" t="str">
        <f t="shared" si="1"/>
        <v>Jan</v>
      </c>
      <c r="K25" t="s">
        <v>20</v>
      </c>
    </row>
    <row r="26" spans="1:11" x14ac:dyDescent="0.25">
      <c r="A26">
        <v>25</v>
      </c>
      <c r="B26" s="2">
        <v>45483</v>
      </c>
      <c r="C26" t="s">
        <v>8</v>
      </c>
      <c r="D26">
        <v>9</v>
      </c>
      <c r="E26" s="4">
        <v>1502</v>
      </c>
      <c r="F26" s="4">
        <v>13518</v>
      </c>
      <c r="G26" s="4">
        <v>3161.0163343409108</v>
      </c>
      <c r="H26" s="5">
        <v>23.383757466643821</v>
      </c>
      <c r="I26">
        <f t="shared" si="0"/>
        <v>2024</v>
      </c>
      <c r="J26" t="str">
        <f t="shared" si="1"/>
        <v>Jul</v>
      </c>
      <c r="K26" t="s">
        <v>19</v>
      </c>
    </row>
    <row r="27" spans="1:11" x14ac:dyDescent="0.25">
      <c r="A27">
        <v>26</v>
      </c>
      <c r="B27" s="2">
        <v>45568</v>
      </c>
      <c r="C27" t="s">
        <v>12</v>
      </c>
      <c r="D27">
        <v>5</v>
      </c>
      <c r="E27" s="4">
        <v>1215</v>
      </c>
      <c r="F27" s="4">
        <v>6075</v>
      </c>
      <c r="G27" s="4">
        <v>1469.730655001423</v>
      </c>
      <c r="H27" s="5">
        <v>24.193097201669509</v>
      </c>
      <c r="I27">
        <f t="shared" si="0"/>
        <v>2024</v>
      </c>
      <c r="J27" t="str">
        <f t="shared" si="1"/>
        <v>Oct</v>
      </c>
      <c r="K27" t="s">
        <v>20</v>
      </c>
    </row>
    <row r="28" spans="1:11" x14ac:dyDescent="0.25">
      <c r="A28">
        <v>27</v>
      </c>
      <c r="B28" s="2">
        <v>45452</v>
      </c>
      <c r="C28" t="s">
        <v>9</v>
      </c>
      <c r="D28">
        <v>6</v>
      </c>
      <c r="E28" s="4">
        <v>425</v>
      </c>
      <c r="F28" s="4">
        <v>2550</v>
      </c>
      <c r="G28" s="4">
        <v>449.33861220679881</v>
      </c>
      <c r="H28" s="5">
        <v>17.621122047325439</v>
      </c>
      <c r="I28">
        <f t="shared" si="0"/>
        <v>2024</v>
      </c>
      <c r="J28" t="str">
        <f t="shared" si="1"/>
        <v>Jun</v>
      </c>
      <c r="K28" t="s">
        <v>20</v>
      </c>
    </row>
    <row r="29" spans="1:11" x14ac:dyDescent="0.25">
      <c r="A29">
        <v>28</v>
      </c>
      <c r="B29" s="2">
        <v>45751</v>
      </c>
      <c r="C29" t="s">
        <v>12</v>
      </c>
      <c r="D29">
        <v>2</v>
      </c>
      <c r="E29" s="4">
        <v>1743</v>
      </c>
      <c r="F29" s="4">
        <v>3486</v>
      </c>
      <c r="G29" s="4">
        <v>647.78640611110575</v>
      </c>
      <c r="H29" s="5">
        <v>18.582513084082208</v>
      </c>
      <c r="I29">
        <f t="shared" si="0"/>
        <v>2025</v>
      </c>
      <c r="J29" t="str">
        <f t="shared" si="1"/>
        <v>Apr</v>
      </c>
      <c r="K29" t="s">
        <v>18</v>
      </c>
    </row>
    <row r="30" spans="1:11" x14ac:dyDescent="0.25">
      <c r="A30">
        <v>29</v>
      </c>
      <c r="B30" s="2">
        <v>45605</v>
      </c>
      <c r="C30" t="s">
        <v>12</v>
      </c>
      <c r="D30">
        <v>13</v>
      </c>
      <c r="E30" s="4">
        <v>373</v>
      </c>
      <c r="F30" s="4">
        <v>4849</v>
      </c>
      <c r="G30" s="4">
        <v>865.54149075112696</v>
      </c>
      <c r="H30" s="5">
        <v>17.849896695218131</v>
      </c>
      <c r="I30">
        <f t="shared" si="0"/>
        <v>2024</v>
      </c>
      <c r="J30" t="str">
        <f t="shared" si="1"/>
        <v>Nov</v>
      </c>
      <c r="K30" t="s">
        <v>18</v>
      </c>
    </row>
    <row r="31" spans="1:11" x14ac:dyDescent="0.25">
      <c r="A31">
        <v>30</v>
      </c>
      <c r="B31" s="2">
        <v>45313</v>
      </c>
      <c r="C31" t="s">
        <v>12</v>
      </c>
      <c r="D31">
        <v>6</v>
      </c>
      <c r="E31" s="4">
        <v>195</v>
      </c>
      <c r="F31" s="4">
        <v>1170</v>
      </c>
      <c r="G31" s="4">
        <v>230.50707559134821</v>
      </c>
      <c r="H31" s="5">
        <v>19.701459452251981</v>
      </c>
      <c r="I31">
        <f t="shared" si="0"/>
        <v>2024</v>
      </c>
      <c r="J31" t="str">
        <f t="shared" si="1"/>
        <v>Jan</v>
      </c>
      <c r="K31" t="s">
        <v>18</v>
      </c>
    </row>
    <row r="32" spans="1:11" x14ac:dyDescent="0.25">
      <c r="A32">
        <v>31</v>
      </c>
      <c r="B32" s="2">
        <v>45544</v>
      </c>
      <c r="C32" t="s">
        <v>14</v>
      </c>
      <c r="D32">
        <v>5</v>
      </c>
      <c r="E32" s="4">
        <v>342</v>
      </c>
      <c r="F32" s="4">
        <v>1710</v>
      </c>
      <c r="G32" s="4">
        <v>98.066125560906869</v>
      </c>
      <c r="H32" s="5">
        <v>5.7348611439126822</v>
      </c>
      <c r="I32">
        <f t="shared" si="0"/>
        <v>2024</v>
      </c>
      <c r="J32" t="str">
        <f t="shared" si="1"/>
        <v>Sep</v>
      </c>
      <c r="K32" t="s">
        <v>19</v>
      </c>
    </row>
    <row r="33" spans="1:11" x14ac:dyDescent="0.25">
      <c r="A33">
        <v>32</v>
      </c>
      <c r="B33" s="2">
        <v>45852</v>
      </c>
      <c r="C33" t="s">
        <v>12</v>
      </c>
      <c r="D33">
        <v>1</v>
      </c>
      <c r="E33" s="4">
        <v>1738</v>
      </c>
      <c r="F33" s="4">
        <v>1738</v>
      </c>
      <c r="G33" s="4">
        <v>258.75134129939721</v>
      </c>
      <c r="H33" s="5">
        <v>14.88787924622538</v>
      </c>
      <c r="I33">
        <f t="shared" si="0"/>
        <v>2025</v>
      </c>
      <c r="J33" t="str">
        <f t="shared" si="1"/>
        <v>Jul</v>
      </c>
      <c r="K33" t="s">
        <v>19</v>
      </c>
    </row>
    <row r="34" spans="1:11" x14ac:dyDescent="0.25">
      <c r="A34">
        <v>33</v>
      </c>
      <c r="B34" s="2">
        <v>45766</v>
      </c>
      <c r="C34" t="s">
        <v>10</v>
      </c>
      <c r="D34">
        <v>6</v>
      </c>
      <c r="E34" s="4">
        <v>481</v>
      </c>
      <c r="F34" s="4">
        <v>2886</v>
      </c>
      <c r="G34" s="4">
        <v>581.66515683438536</v>
      </c>
      <c r="H34" s="5">
        <v>20.154717839029288</v>
      </c>
      <c r="I34">
        <f t="shared" si="0"/>
        <v>2025</v>
      </c>
      <c r="J34" t="str">
        <f t="shared" si="1"/>
        <v>Apr</v>
      </c>
      <c r="K34" t="s">
        <v>20</v>
      </c>
    </row>
    <row r="35" spans="1:11" x14ac:dyDescent="0.25">
      <c r="A35">
        <v>34</v>
      </c>
      <c r="B35" s="2">
        <v>45350</v>
      </c>
      <c r="C35" t="s">
        <v>8</v>
      </c>
      <c r="D35">
        <v>6</v>
      </c>
      <c r="E35" s="4">
        <v>754</v>
      </c>
      <c r="F35" s="4">
        <v>4524</v>
      </c>
      <c r="G35" s="4">
        <v>902.22535230438257</v>
      </c>
      <c r="H35" s="5">
        <v>19.943089131396611</v>
      </c>
      <c r="I35">
        <f t="shared" si="0"/>
        <v>2024</v>
      </c>
      <c r="J35" t="str">
        <f t="shared" si="1"/>
        <v>Feb</v>
      </c>
      <c r="K35" t="s">
        <v>19</v>
      </c>
    </row>
    <row r="36" spans="1:11" x14ac:dyDescent="0.25">
      <c r="A36">
        <v>35</v>
      </c>
      <c r="B36" s="2">
        <v>45802</v>
      </c>
      <c r="C36" t="s">
        <v>13</v>
      </c>
      <c r="D36">
        <v>16</v>
      </c>
      <c r="E36" s="4">
        <v>998</v>
      </c>
      <c r="F36" s="4">
        <v>15968</v>
      </c>
      <c r="G36" s="4">
        <v>3963.880729665681</v>
      </c>
      <c r="H36" s="5">
        <v>24.823902365140789</v>
      </c>
      <c r="I36">
        <f t="shared" si="0"/>
        <v>2025</v>
      </c>
      <c r="J36" t="str">
        <f t="shared" si="1"/>
        <v>May</v>
      </c>
      <c r="K36" t="s">
        <v>20</v>
      </c>
    </row>
    <row r="37" spans="1:11" x14ac:dyDescent="0.25">
      <c r="A37">
        <v>36</v>
      </c>
      <c r="B37" s="2">
        <v>45973</v>
      </c>
      <c r="C37" t="s">
        <v>11</v>
      </c>
      <c r="D37">
        <v>4</v>
      </c>
      <c r="E37" s="4">
        <v>634</v>
      </c>
      <c r="F37" s="4">
        <v>2536</v>
      </c>
      <c r="G37" s="4">
        <v>542.07592081955681</v>
      </c>
      <c r="H37" s="5">
        <v>21.375233470802709</v>
      </c>
      <c r="I37">
        <f t="shared" si="0"/>
        <v>2025</v>
      </c>
      <c r="J37" t="str">
        <f t="shared" si="1"/>
        <v>Nov</v>
      </c>
      <c r="K37" t="s">
        <v>18</v>
      </c>
    </row>
    <row r="38" spans="1:11" x14ac:dyDescent="0.25">
      <c r="A38">
        <v>37</v>
      </c>
      <c r="B38" s="2">
        <v>45767</v>
      </c>
      <c r="C38" t="s">
        <v>12</v>
      </c>
      <c r="D38">
        <v>11</v>
      </c>
      <c r="E38" s="4">
        <v>448</v>
      </c>
      <c r="F38" s="4">
        <v>4928</v>
      </c>
      <c r="G38" s="4">
        <v>1468.708245731709</v>
      </c>
      <c r="H38" s="5">
        <v>29.803332908516811</v>
      </c>
      <c r="I38">
        <f t="shared" si="0"/>
        <v>2025</v>
      </c>
      <c r="J38" t="str">
        <f t="shared" si="1"/>
        <v>Apr</v>
      </c>
      <c r="K38" t="s">
        <v>19</v>
      </c>
    </row>
    <row r="39" spans="1:11" x14ac:dyDescent="0.25">
      <c r="A39">
        <v>38</v>
      </c>
      <c r="B39" s="2">
        <v>45991</v>
      </c>
      <c r="C39" t="s">
        <v>9</v>
      </c>
      <c r="D39">
        <v>9</v>
      </c>
      <c r="E39" s="4">
        <v>866</v>
      </c>
      <c r="F39" s="4">
        <v>7794</v>
      </c>
      <c r="G39" s="4">
        <v>942.79054899394487</v>
      </c>
      <c r="H39" s="5">
        <v>12.09636321521613</v>
      </c>
      <c r="I39">
        <f t="shared" si="0"/>
        <v>2025</v>
      </c>
      <c r="J39" t="str">
        <f t="shared" si="1"/>
        <v>Nov</v>
      </c>
      <c r="K39" t="s">
        <v>18</v>
      </c>
    </row>
    <row r="40" spans="1:11" x14ac:dyDescent="0.25">
      <c r="A40">
        <v>39</v>
      </c>
      <c r="B40" s="2">
        <v>45481</v>
      </c>
      <c r="C40" t="s">
        <v>12</v>
      </c>
      <c r="D40">
        <v>3</v>
      </c>
      <c r="E40" s="4">
        <v>1962</v>
      </c>
      <c r="F40" s="4">
        <v>5886</v>
      </c>
      <c r="G40" s="4">
        <v>822.79074015385959</v>
      </c>
      <c r="H40" s="5">
        <v>13.97877574165579</v>
      </c>
      <c r="I40">
        <f t="shared" si="0"/>
        <v>2024</v>
      </c>
      <c r="J40" t="str">
        <f t="shared" si="1"/>
        <v>Jul</v>
      </c>
      <c r="K40" t="s">
        <v>19</v>
      </c>
    </row>
    <row r="41" spans="1:11" x14ac:dyDescent="0.25">
      <c r="A41">
        <v>40</v>
      </c>
      <c r="B41" s="2">
        <v>45978</v>
      </c>
      <c r="C41" t="s">
        <v>9</v>
      </c>
      <c r="D41">
        <v>19</v>
      </c>
      <c r="E41" s="4">
        <v>1417</v>
      </c>
      <c r="F41" s="4">
        <v>26923</v>
      </c>
      <c r="G41" s="4">
        <v>3929.7292174341701</v>
      </c>
      <c r="H41" s="5">
        <v>14.596178796694909</v>
      </c>
      <c r="I41">
        <f t="shared" si="0"/>
        <v>2025</v>
      </c>
      <c r="J41" t="str">
        <f t="shared" si="1"/>
        <v>Nov</v>
      </c>
      <c r="K41" t="s">
        <v>18</v>
      </c>
    </row>
    <row r="42" spans="1:11" x14ac:dyDescent="0.25">
      <c r="A42">
        <v>41</v>
      </c>
      <c r="B42" s="2">
        <v>45854</v>
      </c>
      <c r="C42" t="s">
        <v>10</v>
      </c>
      <c r="D42">
        <v>8</v>
      </c>
      <c r="E42" s="4">
        <v>1013</v>
      </c>
      <c r="F42" s="4">
        <v>8104</v>
      </c>
      <c r="G42" s="4">
        <v>1348.9367470230229</v>
      </c>
      <c r="H42" s="5">
        <v>16.64532017550621</v>
      </c>
      <c r="I42">
        <f t="shared" si="0"/>
        <v>2025</v>
      </c>
      <c r="J42" t="str">
        <f t="shared" si="1"/>
        <v>Jul</v>
      </c>
      <c r="K42" t="s">
        <v>19</v>
      </c>
    </row>
    <row r="43" spans="1:11" x14ac:dyDescent="0.25">
      <c r="A43">
        <v>42</v>
      </c>
      <c r="B43" s="2">
        <v>45858</v>
      </c>
      <c r="C43" t="s">
        <v>9</v>
      </c>
      <c r="D43">
        <v>5</v>
      </c>
      <c r="E43" s="4">
        <v>1213</v>
      </c>
      <c r="F43" s="4">
        <v>6065</v>
      </c>
      <c r="G43" s="4">
        <v>1570.832064208259</v>
      </c>
      <c r="H43" s="5">
        <v>25.89995159453024</v>
      </c>
      <c r="I43">
        <f t="shared" si="0"/>
        <v>2025</v>
      </c>
      <c r="J43" t="str">
        <f t="shared" si="1"/>
        <v>Jul</v>
      </c>
      <c r="K43" t="s">
        <v>20</v>
      </c>
    </row>
    <row r="44" spans="1:11" x14ac:dyDescent="0.25">
      <c r="A44">
        <v>43</v>
      </c>
      <c r="B44" s="2">
        <v>45535</v>
      </c>
      <c r="C44" t="s">
        <v>11</v>
      </c>
      <c r="D44">
        <v>4</v>
      </c>
      <c r="E44" s="4">
        <v>236</v>
      </c>
      <c r="F44" s="4">
        <v>944</v>
      </c>
      <c r="G44" s="4">
        <v>102.8469341743735</v>
      </c>
      <c r="H44" s="5">
        <v>10.894802348980249</v>
      </c>
      <c r="I44">
        <f t="shared" si="0"/>
        <v>2024</v>
      </c>
      <c r="J44" t="str">
        <f t="shared" si="1"/>
        <v>Aug</v>
      </c>
      <c r="K44" t="s">
        <v>20</v>
      </c>
    </row>
    <row r="45" spans="1:11" x14ac:dyDescent="0.25">
      <c r="A45">
        <v>44</v>
      </c>
      <c r="B45" s="2">
        <v>45796</v>
      </c>
      <c r="C45" t="s">
        <v>8</v>
      </c>
      <c r="D45">
        <v>6</v>
      </c>
      <c r="E45" s="4">
        <v>1878</v>
      </c>
      <c r="F45" s="4">
        <v>11268</v>
      </c>
      <c r="G45" s="4">
        <v>2749.3925832188052</v>
      </c>
      <c r="H45" s="5">
        <v>24.400005175885731</v>
      </c>
      <c r="I45">
        <f t="shared" si="0"/>
        <v>2025</v>
      </c>
      <c r="J45" t="str">
        <f t="shared" si="1"/>
        <v>May</v>
      </c>
      <c r="K45" t="s">
        <v>20</v>
      </c>
    </row>
    <row r="46" spans="1:11" x14ac:dyDescent="0.25">
      <c r="A46">
        <v>45</v>
      </c>
      <c r="B46" s="2">
        <v>45422</v>
      </c>
      <c r="C46" t="s">
        <v>9</v>
      </c>
      <c r="D46">
        <v>2</v>
      </c>
      <c r="E46" s="4">
        <v>110</v>
      </c>
      <c r="F46" s="4">
        <v>220</v>
      </c>
      <c r="G46" s="4">
        <v>33.292060069715887</v>
      </c>
      <c r="H46" s="5">
        <v>15.132754577143579</v>
      </c>
      <c r="I46">
        <f t="shared" si="0"/>
        <v>2024</v>
      </c>
      <c r="J46" t="str">
        <f t="shared" si="1"/>
        <v>May</v>
      </c>
      <c r="K46" t="s">
        <v>18</v>
      </c>
    </row>
    <row r="47" spans="1:11" x14ac:dyDescent="0.25">
      <c r="A47">
        <v>46</v>
      </c>
      <c r="B47" s="2">
        <v>45776</v>
      </c>
      <c r="C47" t="s">
        <v>9</v>
      </c>
      <c r="D47">
        <v>11</v>
      </c>
      <c r="E47" s="4">
        <v>988</v>
      </c>
      <c r="F47" s="4">
        <v>10868</v>
      </c>
      <c r="G47" s="4">
        <v>2178.641077409678</v>
      </c>
      <c r="H47" s="5">
        <v>20.046384591550218</v>
      </c>
      <c r="I47">
        <f t="shared" si="0"/>
        <v>2025</v>
      </c>
      <c r="J47" t="str">
        <f t="shared" si="1"/>
        <v>Apr</v>
      </c>
      <c r="K47" t="s">
        <v>17</v>
      </c>
    </row>
    <row r="48" spans="1:11" x14ac:dyDescent="0.25">
      <c r="A48">
        <v>47</v>
      </c>
      <c r="B48" s="2">
        <v>45938</v>
      </c>
      <c r="C48" t="s">
        <v>8</v>
      </c>
      <c r="D48">
        <v>4</v>
      </c>
      <c r="E48" s="4">
        <v>1453</v>
      </c>
      <c r="F48" s="4">
        <v>5812</v>
      </c>
      <c r="G48" s="4">
        <v>1209.681394777823</v>
      </c>
      <c r="H48" s="5">
        <v>20.813513330657649</v>
      </c>
      <c r="I48">
        <f t="shared" si="0"/>
        <v>2025</v>
      </c>
      <c r="J48" t="str">
        <f t="shared" si="1"/>
        <v>Oct</v>
      </c>
      <c r="K48" t="s">
        <v>20</v>
      </c>
    </row>
    <row r="49" spans="1:11" x14ac:dyDescent="0.25">
      <c r="A49">
        <v>48</v>
      </c>
      <c r="B49" s="2">
        <v>45312</v>
      </c>
      <c r="C49" t="s">
        <v>11</v>
      </c>
      <c r="D49">
        <v>15</v>
      </c>
      <c r="E49" s="4">
        <v>759</v>
      </c>
      <c r="F49" s="4">
        <v>11385</v>
      </c>
      <c r="G49" s="4">
        <v>1630.470433599005</v>
      </c>
      <c r="H49" s="5">
        <v>14.32121592972336</v>
      </c>
      <c r="I49">
        <f t="shared" si="0"/>
        <v>2024</v>
      </c>
      <c r="J49" t="str">
        <f t="shared" si="1"/>
        <v>Jan</v>
      </c>
      <c r="K49" t="s">
        <v>20</v>
      </c>
    </row>
    <row r="50" spans="1:11" x14ac:dyDescent="0.25">
      <c r="A50">
        <v>49</v>
      </c>
      <c r="B50" s="2">
        <v>45458</v>
      </c>
      <c r="C50" t="s">
        <v>12</v>
      </c>
      <c r="D50">
        <v>6</v>
      </c>
      <c r="E50" s="4">
        <v>856</v>
      </c>
      <c r="F50" s="4">
        <v>5136</v>
      </c>
      <c r="G50" s="4">
        <v>914.99792348425387</v>
      </c>
      <c r="H50" s="5">
        <v>17.81538013014513</v>
      </c>
      <c r="I50">
        <f t="shared" si="0"/>
        <v>2024</v>
      </c>
      <c r="J50" t="str">
        <f t="shared" si="1"/>
        <v>Jun</v>
      </c>
      <c r="K50" t="s">
        <v>18</v>
      </c>
    </row>
    <row r="51" spans="1:11" x14ac:dyDescent="0.25">
      <c r="A51">
        <v>50</v>
      </c>
      <c r="B51" s="2">
        <v>45565</v>
      </c>
      <c r="C51" t="s">
        <v>9</v>
      </c>
      <c r="D51">
        <v>17</v>
      </c>
      <c r="E51" s="4">
        <v>1513</v>
      </c>
      <c r="F51" s="4">
        <v>25721</v>
      </c>
      <c r="G51" s="4">
        <v>3941.9437107783542</v>
      </c>
      <c r="H51" s="5">
        <v>15.32577936619243</v>
      </c>
      <c r="I51">
        <f t="shared" si="0"/>
        <v>2024</v>
      </c>
      <c r="J51" t="str">
        <f t="shared" si="1"/>
        <v>Sep</v>
      </c>
      <c r="K51" t="s">
        <v>17</v>
      </c>
    </row>
    <row r="52" spans="1:11" x14ac:dyDescent="0.25">
      <c r="A52">
        <v>51</v>
      </c>
      <c r="B52" s="2">
        <v>45679</v>
      </c>
      <c r="C52" t="s">
        <v>8</v>
      </c>
      <c r="D52">
        <v>6</v>
      </c>
      <c r="E52" s="4">
        <v>1392</v>
      </c>
      <c r="F52" s="4">
        <v>8352</v>
      </c>
      <c r="G52" s="4">
        <v>561.94925755766144</v>
      </c>
      <c r="H52" s="5">
        <v>6.7283196546654862</v>
      </c>
      <c r="I52">
        <f t="shared" si="0"/>
        <v>2025</v>
      </c>
      <c r="J52" t="str">
        <f t="shared" si="1"/>
        <v>Jan</v>
      </c>
      <c r="K52" t="s">
        <v>17</v>
      </c>
    </row>
    <row r="53" spans="1:11" x14ac:dyDescent="0.25">
      <c r="A53">
        <v>52</v>
      </c>
      <c r="B53" s="2">
        <v>45892</v>
      </c>
      <c r="C53" t="s">
        <v>10</v>
      </c>
      <c r="D53">
        <v>19</v>
      </c>
      <c r="E53" s="4">
        <v>1375</v>
      </c>
      <c r="F53" s="4">
        <v>26125</v>
      </c>
      <c r="G53" s="4">
        <v>4161.4864457098984</v>
      </c>
      <c r="H53" s="5">
        <v>15.929134720420659</v>
      </c>
      <c r="I53">
        <f t="shared" si="0"/>
        <v>2025</v>
      </c>
      <c r="J53" t="str">
        <f t="shared" si="1"/>
        <v>Aug</v>
      </c>
      <c r="K53" t="s">
        <v>20</v>
      </c>
    </row>
    <row r="54" spans="1:11" x14ac:dyDescent="0.25">
      <c r="A54">
        <v>53</v>
      </c>
      <c r="B54" s="2">
        <v>45607</v>
      </c>
      <c r="C54" t="s">
        <v>8</v>
      </c>
      <c r="D54">
        <v>2</v>
      </c>
      <c r="E54" s="4">
        <v>1417</v>
      </c>
      <c r="F54" s="4">
        <v>2834</v>
      </c>
      <c r="G54" s="4">
        <v>210.70321862419169</v>
      </c>
      <c r="H54" s="5">
        <v>7.4348348138388047</v>
      </c>
      <c r="I54">
        <f t="shared" si="0"/>
        <v>2024</v>
      </c>
      <c r="J54" t="str">
        <f t="shared" si="1"/>
        <v>Nov</v>
      </c>
      <c r="K54" t="s">
        <v>20</v>
      </c>
    </row>
    <row r="55" spans="1:11" x14ac:dyDescent="0.25">
      <c r="A55">
        <v>54</v>
      </c>
      <c r="B55" s="2">
        <v>45305</v>
      </c>
      <c r="C55" t="s">
        <v>10</v>
      </c>
      <c r="D55">
        <v>15</v>
      </c>
      <c r="E55" s="4">
        <v>60</v>
      </c>
      <c r="F55" s="4">
        <v>900</v>
      </c>
      <c r="G55" s="4">
        <v>136.12967979307231</v>
      </c>
      <c r="H55" s="5">
        <v>15.12551997700804</v>
      </c>
      <c r="I55">
        <f t="shared" si="0"/>
        <v>2024</v>
      </c>
      <c r="J55" t="str">
        <f t="shared" si="1"/>
        <v>Jan</v>
      </c>
      <c r="K55" t="s">
        <v>18</v>
      </c>
    </row>
    <row r="56" spans="1:11" x14ac:dyDescent="0.25">
      <c r="A56">
        <v>55</v>
      </c>
      <c r="B56" s="2">
        <v>45533</v>
      </c>
      <c r="C56" t="s">
        <v>11</v>
      </c>
      <c r="D56">
        <v>11</v>
      </c>
      <c r="E56" s="4">
        <v>1135</v>
      </c>
      <c r="F56" s="4">
        <v>12485</v>
      </c>
      <c r="G56" s="4">
        <v>2474.8965554749489</v>
      </c>
      <c r="H56" s="5">
        <v>19.822959995794552</v>
      </c>
      <c r="I56">
        <f t="shared" si="0"/>
        <v>2024</v>
      </c>
      <c r="J56" t="str">
        <f t="shared" si="1"/>
        <v>Aug</v>
      </c>
      <c r="K56" t="s">
        <v>18</v>
      </c>
    </row>
    <row r="57" spans="1:11" x14ac:dyDescent="0.25">
      <c r="A57">
        <v>56</v>
      </c>
      <c r="B57" s="2">
        <v>45637</v>
      </c>
      <c r="C57" t="s">
        <v>12</v>
      </c>
      <c r="D57">
        <v>8</v>
      </c>
      <c r="E57" s="4">
        <v>1918</v>
      </c>
      <c r="F57" s="4">
        <v>15344</v>
      </c>
      <c r="G57" s="4">
        <v>2989.8355538816691</v>
      </c>
      <c r="H57" s="5">
        <v>19.485372483587518</v>
      </c>
      <c r="I57">
        <f t="shared" si="0"/>
        <v>2024</v>
      </c>
      <c r="J57" t="str">
        <f t="shared" si="1"/>
        <v>Dec</v>
      </c>
      <c r="K57" t="s">
        <v>19</v>
      </c>
    </row>
    <row r="58" spans="1:11" x14ac:dyDescent="0.25">
      <c r="A58">
        <v>57</v>
      </c>
      <c r="B58" s="2">
        <v>45856</v>
      </c>
      <c r="C58" t="s">
        <v>8</v>
      </c>
      <c r="D58">
        <v>19</v>
      </c>
      <c r="E58" s="4">
        <v>275</v>
      </c>
      <c r="F58" s="4">
        <v>5225</v>
      </c>
      <c r="G58" s="4">
        <v>1126.799045704618</v>
      </c>
      <c r="H58" s="5">
        <v>21.56553197520801</v>
      </c>
      <c r="I58">
        <f t="shared" si="0"/>
        <v>2025</v>
      </c>
      <c r="J58" t="str">
        <f t="shared" si="1"/>
        <v>Jul</v>
      </c>
      <c r="K58" t="s">
        <v>18</v>
      </c>
    </row>
    <row r="59" spans="1:11" x14ac:dyDescent="0.25">
      <c r="A59">
        <v>58</v>
      </c>
      <c r="B59" s="2">
        <v>45631</v>
      </c>
      <c r="C59" t="s">
        <v>13</v>
      </c>
      <c r="D59">
        <v>13</v>
      </c>
      <c r="E59" s="4">
        <v>1226</v>
      </c>
      <c r="F59" s="4">
        <v>15938</v>
      </c>
      <c r="G59" s="4">
        <v>1176.469478445209</v>
      </c>
      <c r="H59" s="5">
        <v>7.3815376988656576</v>
      </c>
      <c r="I59">
        <f t="shared" si="0"/>
        <v>2024</v>
      </c>
      <c r="J59" t="str">
        <f t="shared" si="1"/>
        <v>Dec</v>
      </c>
      <c r="K59" t="s">
        <v>18</v>
      </c>
    </row>
    <row r="60" spans="1:11" x14ac:dyDescent="0.25">
      <c r="A60">
        <v>59</v>
      </c>
      <c r="B60" s="2">
        <v>45383</v>
      </c>
      <c r="C60" t="s">
        <v>13</v>
      </c>
      <c r="D60">
        <v>12</v>
      </c>
      <c r="E60" s="4">
        <v>1784</v>
      </c>
      <c r="F60" s="4">
        <v>21408</v>
      </c>
      <c r="G60" s="4">
        <v>4560.5636100789043</v>
      </c>
      <c r="H60" s="5">
        <v>21.30308113826095</v>
      </c>
      <c r="I60">
        <f t="shared" si="0"/>
        <v>2024</v>
      </c>
      <c r="J60" t="str">
        <f t="shared" si="1"/>
        <v>Apr</v>
      </c>
      <c r="K60" t="s">
        <v>17</v>
      </c>
    </row>
    <row r="61" spans="1:11" x14ac:dyDescent="0.25">
      <c r="A61">
        <v>60</v>
      </c>
      <c r="B61" s="2">
        <v>45658</v>
      </c>
      <c r="C61" t="s">
        <v>14</v>
      </c>
      <c r="D61">
        <v>5</v>
      </c>
      <c r="E61" s="4">
        <v>613</v>
      </c>
      <c r="F61" s="4">
        <v>3065</v>
      </c>
      <c r="G61" s="4">
        <v>392.43344844365259</v>
      </c>
      <c r="H61" s="5">
        <v>12.80370141741118</v>
      </c>
      <c r="I61">
        <f t="shared" si="0"/>
        <v>2025</v>
      </c>
      <c r="J61" t="str">
        <f t="shared" si="1"/>
        <v>Jan</v>
      </c>
      <c r="K61" t="s">
        <v>20</v>
      </c>
    </row>
    <row r="62" spans="1:11" x14ac:dyDescent="0.25">
      <c r="A62">
        <v>61</v>
      </c>
      <c r="B62" s="2">
        <v>45746</v>
      </c>
      <c r="C62" t="s">
        <v>9</v>
      </c>
      <c r="D62">
        <v>6</v>
      </c>
      <c r="E62" s="4">
        <v>821</v>
      </c>
      <c r="F62" s="4">
        <v>4926</v>
      </c>
      <c r="G62" s="4">
        <v>737.72508266785235</v>
      </c>
      <c r="H62" s="5">
        <v>14.97614865342778</v>
      </c>
      <c r="I62">
        <f t="shared" si="0"/>
        <v>2025</v>
      </c>
      <c r="J62" t="str">
        <f t="shared" si="1"/>
        <v>Mar</v>
      </c>
      <c r="K62" t="s">
        <v>18</v>
      </c>
    </row>
    <row r="63" spans="1:11" x14ac:dyDescent="0.25">
      <c r="A63">
        <v>62</v>
      </c>
      <c r="B63" s="2">
        <v>45719</v>
      </c>
      <c r="C63" t="s">
        <v>11</v>
      </c>
      <c r="D63">
        <v>4</v>
      </c>
      <c r="E63" s="4">
        <v>1644</v>
      </c>
      <c r="F63" s="4">
        <v>6576</v>
      </c>
      <c r="G63" s="4">
        <v>1739.3294014489279</v>
      </c>
      <c r="H63" s="5">
        <v>26.449656348067641</v>
      </c>
      <c r="I63">
        <f t="shared" si="0"/>
        <v>2025</v>
      </c>
      <c r="J63" t="str">
        <f t="shared" si="1"/>
        <v>Mar</v>
      </c>
      <c r="K63" t="s">
        <v>17</v>
      </c>
    </row>
    <row r="64" spans="1:11" x14ac:dyDescent="0.25">
      <c r="A64">
        <v>63</v>
      </c>
      <c r="B64" s="2">
        <v>45800</v>
      </c>
      <c r="C64" t="s">
        <v>8</v>
      </c>
      <c r="D64">
        <v>19</v>
      </c>
      <c r="E64" s="4">
        <v>1657</v>
      </c>
      <c r="F64" s="4">
        <v>31483</v>
      </c>
      <c r="G64" s="4">
        <v>1645.2260533026581</v>
      </c>
      <c r="H64" s="5">
        <v>5.2257601032387564</v>
      </c>
      <c r="I64">
        <f t="shared" si="0"/>
        <v>2025</v>
      </c>
      <c r="J64" t="str">
        <f t="shared" si="1"/>
        <v>May</v>
      </c>
      <c r="K64" t="s">
        <v>18</v>
      </c>
    </row>
    <row r="65" spans="1:11" x14ac:dyDescent="0.25">
      <c r="A65">
        <v>64</v>
      </c>
      <c r="B65" s="2">
        <v>45326</v>
      </c>
      <c r="C65" t="s">
        <v>13</v>
      </c>
      <c r="D65">
        <v>1</v>
      </c>
      <c r="E65" s="4">
        <v>1733</v>
      </c>
      <c r="F65" s="4">
        <v>1733</v>
      </c>
      <c r="G65" s="4">
        <v>341.57977339481732</v>
      </c>
      <c r="H65" s="5">
        <v>19.710315833515129</v>
      </c>
      <c r="I65">
        <f t="shared" si="0"/>
        <v>2024</v>
      </c>
      <c r="J65" t="str">
        <f t="shared" si="1"/>
        <v>Feb</v>
      </c>
      <c r="K65" t="s">
        <v>20</v>
      </c>
    </row>
    <row r="66" spans="1:11" x14ac:dyDescent="0.25">
      <c r="A66">
        <v>65</v>
      </c>
      <c r="B66" s="2">
        <v>45497</v>
      </c>
      <c r="C66" t="s">
        <v>9</v>
      </c>
      <c r="D66">
        <v>17</v>
      </c>
      <c r="E66" s="4">
        <v>1934</v>
      </c>
      <c r="F66" s="4">
        <v>32878</v>
      </c>
      <c r="G66" s="4">
        <v>6565.0295594328336</v>
      </c>
      <c r="H66" s="5">
        <v>19.967849502502691</v>
      </c>
      <c r="I66">
        <f t="shared" si="0"/>
        <v>2024</v>
      </c>
      <c r="J66" t="str">
        <f t="shared" si="1"/>
        <v>Jul</v>
      </c>
      <c r="K66" t="s">
        <v>19</v>
      </c>
    </row>
    <row r="67" spans="1:11" x14ac:dyDescent="0.25">
      <c r="A67">
        <v>66</v>
      </c>
      <c r="B67" s="2">
        <v>45372</v>
      </c>
      <c r="C67" t="s">
        <v>13</v>
      </c>
      <c r="D67">
        <v>12</v>
      </c>
      <c r="E67" s="4">
        <v>1648</v>
      </c>
      <c r="F67" s="4">
        <v>19776</v>
      </c>
      <c r="G67" s="4">
        <v>2949.8859342425699</v>
      </c>
      <c r="H67" s="5">
        <v>14.916494408589051</v>
      </c>
      <c r="I67">
        <f t="shared" ref="I67:I101" si="2">YEAR(B67)</f>
        <v>2024</v>
      </c>
      <c r="J67" t="str">
        <f t="shared" ref="J67:J101" si="3">TEXT(B67, "mmm")</f>
        <v>Mar</v>
      </c>
      <c r="K67" t="s">
        <v>19</v>
      </c>
    </row>
    <row r="68" spans="1:11" x14ac:dyDescent="0.25">
      <c r="A68">
        <v>67</v>
      </c>
      <c r="B68" s="2">
        <v>45853</v>
      </c>
      <c r="C68" t="s">
        <v>8</v>
      </c>
      <c r="D68">
        <v>15</v>
      </c>
      <c r="E68" s="4">
        <v>1383</v>
      </c>
      <c r="F68" s="4">
        <v>20745</v>
      </c>
      <c r="G68" s="4">
        <v>2266.5357239281079</v>
      </c>
      <c r="H68" s="5">
        <v>10.925696427708401</v>
      </c>
      <c r="I68">
        <f t="shared" si="2"/>
        <v>2025</v>
      </c>
      <c r="J68" t="str">
        <f t="shared" si="3"/>
        <v>Jul</v>
      </c>
      <c r="K68" t="s">
        <v>18</v>
      </c>
    </row>
    <row r="69" spans="1:11" x14ac:dyDescent="0.25">
      <c r="A69">
        <v>68</v>
      </c>
      <c r="B69" s="2">
        <v>45679</v>
      </c>
      <c r="C69" t="s">
        <v>10</v>
      </c>
      <c r="D69">
        <v>1</v>
      </c>
      <c r="E69" s="4">
        <v>934</v>
      </c>
      <c r="F69" s="4">
        <v>934</v>
      </c>
      <c r="G69" s="4">
        <v>101.4963879340722</v>
      </c>
      <c r="H69" s="5">
        <v>10.86685095653878</v>
      </c>
      <c r="I69">
        <f t="shared" si="2"/>
        <v>2025</v>
      </c>
      <c r="J69" t="str">
        <f t="shared" si="3"/>
        <v>Jan</v>
      </c>
      <c r="K69" t="s">
        <v>19</v>
      </c>
    </row>
    <row r="70" spans="1:11" x14ac:dyDescent="0.25">
      <c r="A70">
        <v>69</v>
      </c>
      <c r="B70" s="2">
        <v>45293</v>
      </c>
      <c r="C70" t="s">
        <v>8</v>
      </c>
      <c r="D70">
        <v>14</v>
      </c>
      <c r="E70" s="4">
        <v>1316</v>
      </c>
      <c r="F70" s="4">
        <v>18424</v>
      </c>
      <c r="G70" s="4">
        <v>4991.5667384574272</v>
      </c>
      <c r="H70" s="5">
        <v>27.092741741518822</v>
      </c>
      <c r="I70">
        <f t="shared" si="2"/>
        <v>2024</v>
      </c>
      <c r="J70" t="str">
        <f t="shared" si="3"/>
        <v>Jan</v>
      </c>
      <c r="K70" t="s">
        <v>20</v>
      </c>
    </row>
    <row r="71" spans="1:11" x14ac:dyDescent="0.25">
      <c r="A71">
        <v>70</v>
      </c>
      <c r="B71" s="2">
        <v>45681</v>
      </c>
      <c r="C71" t="s">
        <v>14</v>
      </c>
      <c r="D71">
        <v>6</v>
      </c>
      <c r="E71" s="4">
        <v>1566</v>
      </c>
      <c r="F71" s="4">
        <v>9396</v>
      </c>
      <c r="G71" s="4">
        <v>1508.1152540159319</v>
      </c>
      <c r="H71" s="5">
        <v>16.050609344571441</v>
      </c>
      <c r="I71">
        <f t="shared" si="2"/>
        <v>2025</v>
      </c>
      <c r="J71" t="str">
        <f t="shared" si="3"/>
        <v>Jan</v>
      </c>
      <c r="K71" t="s">
        <v>17</v>
      </c>
    </row>
    <row r="72" spans="1:11" x14ac:dyDescent="0.25">
      <c r="A72">
        <v>71</v>
      </c>
      <c r="B72" s="2">
        <v>45857</v>
      </c>
      <c r="C72" t="s">
        <v>8</v>
      </c>
      <c r="D72">
        <v>5</v>
      </c>
      <c r="E72" s="4">
        <v>1439</v>
      </c>
      <c r="F72" s="4">
        <v>7195</v>
      </c>
      <c r="G72" s="4">
        <v>954.93724167677317</v>
      </c>
      <c r="H72" s="5">
        <v>13.272234074729299</v>
      </c>
      <c r="I72">
        <f t="shared" si="2"/>
        <v>2025</v>
      </c>
      <c r="J72" t="str">
        <f t="shared" si="3"/>
        <v>Jul</v>
      </c>
      <c r="K72" t="s">
        <v>18</v>
      </c>
    </row>
    <row r="73" spans="1:11" x14ac:dyDescent="0.25">
      <c r="A73">
        <v>72</v>
      </c>
      <c r="B73" s="2">
        <v>45397</v>
      </c>
      <c r="C73" t="s">
        <v>8</v>
      </c>
      <c r="D73">
        <v>11</v>
      </c>
      <c r="E73" s="4">
        <v>1403</v>
      </c>
      <c r="F73" s="4">
        <v>15433</v>
      </c>
      <c r="G73" s="4">
        <v>2503.14607423501</v>
      </c>
      <c r="H73" s="5">
        <v>16.21943934578508</v>
      </c>
      <c r="I73">
        <f t="shared" si="2"/>
        <v>2024</v>
      </c>
      <c r="J73" t="str">
        <f t="shared" si="3"/>
        <v>Apr</v>
      </c>
      <c r="K73" t="s">
        <v>18</v>
      </c>
    </row>
    <row r="74" spans="1:11" x14ac:dyDescent="0.25">
      <c r="A74">
        <v>73</v>
      </c>
      <c r="B74" s="2">
        <v>45768</v>
      </c>
      <c r="C74" t="s">
        <v>14</v>
      </c>
      <c r="D74">
        <v>4</v>
      </c>
      <c r="E74" s="4">
        <v>1180</v>
      </c>
      <c r="F74" s="4">
        <v>4720</v>
      </c>
      <c r="G74" s="4">
        <v>1025.8806737220459</v>
      </c>
      <c r="H74" s="5">
        <v>21.73476003648403</v>
      </c>
      <c r="I74">
        <f t="shared" si="2"/>
        <v>2025</v>
      </c>
      <c r="J74" t="str">
        <f t="shared" si="3"/>
        <v>Apr</v>
      </c>
      <c r="K74" t="s">
        <v>19</v>
      </c>
    </row>
    <row r="75" spans="1:11" x14ac:dyDescent="0.25">
      <c r="A75">
        <v>74</v>
      </c>
      <c r="B75" s="2">
        <v>45994</v>
      </c>
      <c r="C75" t="s">
        <v>11</v>
      </c>
      <c r="D75">
        <v>13</v>
      </c>
      <c r="E75" s="4">
        <v>275</v>
      </c>
      <c r="F75" s="4">
        <v>3575</v>
      </c>
      <c r="G75" s="4">
        <v>309.01993286874682</v>
      </c>
      <c r="H75" s="5">
        <v>8.6439142061187919</v>
      </c>
      <c r="I75">
        <f t="shared" si="2"/>
        <v>2025</v>
      </c>
      <c r="J75" t="str">
        <f t="shared" si="3"/>
        <v>Dec</v>
      </c>
      <c r="K75" t="s">
        <v>17</v>
      </c>
    </row>
    <row r="76" spans="1:11" x14ac:dyDescent="0.25">
      <c r="A76">
        <v>75</v>
      </c>
      <c r="B76" s="2">
        <v>45693</v>
      </c>
      <c r="C76" t="s">
        <v>8</v>
      </c>
      <c r="D76">
        <v>11</v>
      </c>
      <c r="E76" s="4">
        <v>874</v>
      </c>
      <c r="F76" s="4">
        <v>9614</v>
      </c>
      <c r="G76" s="4">
        <v>1560.914222936218</v>
      </c>
      <c r="H76" s="5">
        <v>16.23584588034344</v>
      </c>
      <c r="I76">
        <f t="shared" si="2"/>
        <v>2025</v>
      </c>
      <c r="J76" t="str">
        <f t="shared" si="3"/>
        <v>Feb</v>
      </c>
      <c r="K76" t="s">
        <v>20</v>
      </c>
    </row>
    <row r="77" spans="1:11" x14ac:dyDescent="0.25">
      <c r="A77">
        <v>76</v>
      </c>
      <c r="B77" s="2">
        <v>46021</v>
      </c>
      <c r="C77" t="s">
        <v>14</v>
      </c>
      <c r="D77">
        <v>3</v>
      </c>
      <c r="E77" s="4">
        <v>267</v>
      </c>
      <c r="F77" s="4">
        <v>801</v>
      </c>
      <c r="G77" s="4">
        <v>157.77384531485501</v>
      </c>
      <c r="H77" s="5">
        <v>19.697109277759669</v>
      </c>
      <c r="I77">
        <f t="shared" si="2"/>
        <v>2025</v>
      </c>
      <c r="J77" t="str">
        <f t="shared" si="3"/>
        <v>Dec</v>
      </c>
      <c r="K77" t="s">
        <v>20</v>
      </c>
    </row>
    <row r="78" spans="1:11" x14ac:dyDescent="0.25">
      <c r="A78">
        <v>77</v>
      </c>
      <c r="B78" s="2">
        <v>45847</v>
      </c>
      <c r="C78" t="s">
        <v>9</v>
      </c>
      <c r="D78">
        <v>1</v>
      </c>
      <c r="E78" s="4">
        <v>986</v>
      </c>
      <c r="F78" s="4">
        <v>986</v>
      </c>
      <c r="G78" s="4">
        <v>283.12579697087841</v>
      </c>
      <c r="H78" s="5">
        <v>28.714583871285839</v>
      </c>
      <c r="I78">
        <f t="shared" si="2"/>
        <v>2025</v>
      </c>
      <c r="J78" t="str">
        <f t="shared" si="3"/>
        <v>Jul</v>
      </c>
      <c r="K78" t="s">
        <v>17</v>
      </c>
    </row>
    <row r="79" spans="1:11" x14ac:dyDescent="0.25">
      <c r="A79">
        <v>78</v>
      </c>
      <c r="B79" s="2">
        <v>45453</v>
      </c>
      <c r="C79" t="s">
        <v>10</v>
      </c>
      <c r="D79">
        <v>6</v>
      </c>
      <c r="E79" s="4">
        <v>802</v>
      </c>
      <c r="F79" s="4">
        <v>4812</v>
      </c>
      <c r="G79" s="4">
        <v>544.39092183672938</v>
      </c>
      <c r="H79" s="5">
        <v>11.313194551885481</v>
      </c>
      <c r="I79">
        <f t="shared" si="2"/>
        <v>2024</v>
      </c>
      <c r="J79" t="str">
        <f t="shared" si="3"/>
        <v>Jun</v>
      </c>
      <c r="K79" t="s">
        <v>20</v>
      </c>
    </row>
    <row r="80" spans="1:11" x14ac:dyDescent="0.25">
      <c r="A80">
        <v>79</v>
      </c>
      <c r="B80" s="2">
        <v>45493</v>
      </c>
      <c r="C80" t="s">
        <v>10</v>
      </c>
      <c r="D80">
        <v>18</v>
      </c>
      <c r="E80" s="4">
        <v>555</v>
      </c>
      <c r="F80" s="4">
        <v>9990</v>
      </c>
      <c r="G80" s="4">
        <v>1396.7287429208229</v>
      </c>
      <c r="H80" s="5">
        <v>13.98126869790614</v>
      </c>
      <c r="I80">
        <f t="shared" si="2"/>
        <v>2024</v>
      </c>
      <c r="J80" t="str">
        <f t="shared" si="3"/>
        <v>Jul</v>
      </c>
      <c r="K80" t="s">
        <v>20</v>
      </c>
    </row>
    <row r="81" spans="1:11" x14ac:dyDescent="0.25">
      <c r="A81">
        <v>80</v>
      </c>
      <c r="B81" s="2">
        <v>45561</v>
      </c>
      <c r="C81" t="s">
        <v>8</v>
      </c>
      <c r="D81">
        <v>10</v>
      </c>
      <c r="E81" s="4">
        <v>308</v>
      </c>
      <c r="F81" s="4">
        <v>3080</v>
      </c>
      <c r="G81" s="4">
        <v>446.10611424026638</v>
      </c>
      <c r="H81" s="5">
        <v>14.4839647480606</v>
      </c>
      <c r="I81">
        <f t="shared" si="2"/>
        <v>2024</v>
      </c>
      <c r="J81" t="str">
        <f t="shared" si="3"/>
        <v>Sep</v>
      </c>
      <c r="K81" t="s">
        <v>19</v>
      </c>
    </row>
    <row r="82" spans="1:11" x14ac:dyDescent="0.25">
      <c r="A82">
        <v>81</v>
      </c>
      <c r="B82" s="2">
        <v>45562</v>
      </c>
      <c r="C82" t="s">
        <v>11</v>
      </c>
      <c r="D82">
        <v>5</v>
      </c>
      <c r="E82" s="4">
        <v>1961</v>
      </c>
      <c r="F82" s="4">
        <v>9805</v>
      </c>
      <c r="G82" s="4">
        <v>1974.575408927019</v>
      </c>
      <c r="H82" s="5">
        <v>20.138453941122069</v>
      </c>
      <c r="I82">
        <f t="shared" si="2"/>
        <v>2024</v>
      </c>
      <c r="J82" t="str">
        <f t="shared" si="3"/>
        <v>Sep</v>
      </c>
      <c r="K82" t="s">
        <v>18</v>
      </c>
    </row>
    <row r="83" spans="1:11" x14ac:dyDescent="0.25">
      <c r="A83">
        <v>82</v>
      </c>
      <c r="B83" s="2">
        <v>45747</v>
      </c>
      <c r="C83" t="s">
        <v>11</v>
      </c>
      <c r="D83">
        <v>10</v>
      </c>
      <c r="E83" s="4">
        <v>1847</v>
      </c>
      <c r="F83" s="4">
        <v>18470</v>
      </c>
      <c r="G83" s="4">
        <v>2570.7102549122078</v>
      </c>
      <c r="H83" s="5">
        <v>13.918301326000041</v>
      </c>
      <c r="I83">
        <f t="shared" si="2"/>
        <v>2025</v>
      </c>
      <c r="J83" t="str">
        <f t="shared" si="3"/>
        <v>Mar</v>
      </c>
      <c r="K83" t="s">
        <v>18</v>
      </c>
    </row>
    <row r="84" spans="1:11" x14ac:dyDescent="0.25">
      <c r="A84">
        <v>83</v>
      </c>
      <c r="B84" s="2">
        <v>45753</v>
      </c>
      <c r="C84" t="s">
        <v>9</v>
      </c>
      <c r="D84">
        <v>12</v>
      </c>
      <c r="E84" s="4">
        <v>1590</v>
      </c>
      <c r="F84" s="4">
        <v>19080</v>
      </c>
      <c r="G84" s="4">
        <v>3498.8518836795479</v>
      </c>
      <c r="H84" s="5">
        <v>18.337798132492392</v>
      </c>
      <c r="I84">
        <f t="shared" si="2"/>
        <v>2025</v>
      </c>
      <c r="J84" t="str">
        <f t="shared" si="3"/>
        <v>Apr</v>
      </c>
      <c r="K84" t="s">
        <v>20</v>
      </c>
    </row>
    <row r="85" spans="1:11" x14ac:dyDescent="0.25">
      <c r="A85">
        <v>84</v>
      </c>
      <c r="B85" s="2">
        <v>46018</v>
      </c>
      <c r="C85" t="s">
        <v>8</v>
      </c>
      <c r="D85">
        <v>2</v>
      </c>
      <c r="E85" s="4">
        <v>1846</v>
      </c>
      <c r="F85" s="4">
        <v>3692</v>
      </c>
      <c r="G85" s="4">
        <v>906.19247444696214</v>
      </c>
      <c r="H85" s="5">
        <v>24.544758246125731</v>
      </c>
      <c r="I85">
        <f t="shared" si="2"/>
        <v>2025</v>
      </c>
      <c r="J85" t="str">
        <f t="shared" si="3"/>
        <v>Dec</v>
      </c>
      <c r="K85" t="s">
        <v>19</v>
      </c>
    </row>
    <row r="86" spans="1:11" x14ac:dyDescent="0.25">
      <c r="A86">
        <v>85</v>
      </c>
      <c r="B86" s="2">
        <v>45543</v>
      </c>
      <c r="C86" t="s">
        <v>10</v>
      </c>
      <c r="D86">
        <v>13</v>
      </c>
      <c r="E86" s="4">
        <v>103</v>
      </c>
      <c r="F86" s="4">
        <v>1339</v>
      </c>
      <c r="G86" s="4">
        <v>303.07782762906021</v>
      </c>
      <c r="H86" s="5">
        <v>22.63463985280509</v>
      </c>
      <c r="I86">
        <f t="shared" si="2"/>
        <v>2024</v>
      </c>
      <c r="J86" t="str">
        <f t="shared" si="3"/>
        <v>Sep</v>
      </c>
      <c r="K86" t="s">
        <v>19</v>
      </c>
    </row>
    <row r="87" spans="1:11" x14ac:dyDescent="0.25">
      <c r="A87">
        <v>86</v>
      </c>
      <c r="B87" s="2">
        <v>45993</v>
      </c>
      <c r="C87" t="s">
        <v>11</v>
      </c>
      <c r="D87">
        <v>8</v>
      </c>
      <c r="E87" s="4">
        <v>1120</v>
      </c>
      <c r="F87" s="4">
        <v>8960</v>
      </c>
      <c r="G87" s="4">
        <v>1447.8657681881921</v>
      </c>
      <c r="H87" s="5">
        <v>16.159216162814641</v>
      </c>
      <c r="I87">
        <f t="shared" si="2"/>
        <v>2025</v>
      </c>
      <c r="J87" t="str">
        <f t="shared" si="3"/>
        <v>Dec</v>
      </c>
      <c r="K87" t="s">
        <v>18</v>
      </c>
    </row>
    <row r="88" spans="1:11" x14ac:dyDescent="0.25">
      <c r="A88">
        <v>87</v>
      </c>
      <c r="B88" s="2">
        <v>45587</v>
      </c>
      <c r="C88" t="s">
        <v>8</v>
      </c>
      <c r="D88">
        <v>2</v>
      </c>
      <c r="E88" s="4">
        <v>776</v>
      </c>
      <c r="F88" s="4">
        <v>1552</v>
      </c>
      <c r="G88" s="4">
        <v>412.91587693757759</v>
      </c>
      <c r="H88" s="5">
        <v>26.60540444185423</v>
      </c>
      <c r="I88">
        <f t="shared" si="2"/>
        <v>2024</v>
      </c>
      <c r="J88" t="str">
        <f t="shared" si="3"/>
        <v>Oct</v>
      </c>
      <c r="K88" t="s">
        <v>19</v>
      </c>
    </row>
    <row r="89" spans="1:11" x14ac:dyDescent="0.25">
      <c r="A89">
        <v>88</v>
      </c>
      <c r="B89" s="2">
        <v>46016</v>
      </c>
      <c r="C89" t="s">
        <v>13</v>
      </c>
      <c r="D89">
        <v>1</v>
      </c>
      <c r="E89" s="4">
        <v>738</v>
      </c>
      <c r="F89" s="4">
        <v>738</v>
      </c>
      <c r="G89" s="4">
        <v>139.87687605006769</v>
      </c>
      <c r="H89" s="5">
        <v>18.953506239846579</v>
      </c>
      <c r="I89">
        <f t="shared" si="2"/>
        <v>2025</v>
      </c>
      <c r="J89" t="str">
        <f t="shared" si="3"/>
        <v>Dec</v>
      </c>
      <c r="K89" t="s">
        <v>20</v>
      </c>
    </row>
    <row r="90" spans="1:11" x14ac:dyDescent="0.25">
      <c r="A90">
        <v>89</v>
      </c>
      <c r="B90" s="2">
        <v>46011</v>
      </c>
      <c r="C90" t="s">
        <v>11</v>
      </c>
      <c r="D90">
        <v>5</v>
      </c>
      <c r="E90" s="4">
        <v>1594</v>
      </c>
      <c r="F90" s="4">
        <v>7970</v>
      </c>
      <c r="G90" s="4">
        <v>1474.2623852081581</v>
      </c>
      <c r="H90" s="5">
        <v>18.497645987555309</v>
      </c>
      <c r="I90">
        <f t="shared" si="2"/>
        <v>2025</v>
      </c>
      <c r="J90" t="str">
        <f t="shared" si="3"/>
        <v>Dec</v>
      </c>
      <c r="K90" t="s">
        <v>20</v>
      </c>
    </row>
    <row r="91" spans="1:11" x14ac:dyDescent="0.25">
      <c r="A91">
        <v>90</v>
      </c>
      <c r="B91" s="2">
        <v>45629</v>
      </c>
      <c r="C91" t="s">
        <v>14</v>
      </c>
      <c r="D91">
        <v>9</v>
      </c>
      <c r="E91" s="4">
        <v>1172</v>
      </c>
      <c r="F91" s="4">
        <v>10548</v>
      </c>
      <c r="G91" s="4">
        <v>617.55313878156016</v>
      </c>
      <c r="H91" s="5">
        <v>5.8546941484789548</v>
      </c>
      <c r="I91">
        <f t="shared" si="2"/>
        <v>2024</v>
      </c>
      <c r="J91" t="str">
        <f t="shared" si="3"/>
        <v>Dec</v>
      </c>
      <c r="K91" t="s">
        <v>19</v>
      </c>
    </row>
    <row r="92" spans="1:11" x14ac:dyDescent="0.25">
      <c r="A92">
        <v>91</v>
      </c>
      <c r="B92" s="2">
        <v>45344</v>
      </c>
      <c r="C92" t="s">
        <v>13</v>
      </c>
      <c r="D92">
        <v>17</v>
      </c>
      <c r="E92" s="4">
        <v>1093</v>
      </c>
      <c r="F92" s="4">
        <v>18581</v>
      </c>
      <c r="G92" s="4">
        <v>5512.4855670041043</v>
      </c>
      <c r="H92" s="5">
        <v>29.667324508929038</v>
      </c>
      <c r="I92">
        <f t="shared" si="2"/>
        <v>2024</v>
      </c>
      <c r="J92" t="str">
        <f t="shared" si="3"/>
        <v>Feb</v>
      </c>
      <c r="K92" t="s">
        <v>17</v>
      </c>
    </row>
    <row r="93" spans="1:11" x14ac:dyDescent="0.25">
      <c r="A93">
        <v>92</v>
      </c>
      <c r="B93" s="2">
        <v>45508</v>
      </c>
      <c r="C93" t="s">
        <v>11</v>
      </c>
      <c r="D93">
        <v>9</v>
      </c>
      <c r="E93" s="4">
        <v>1963</v>
      </c>
      <c r="F93" s="4">
        <v>17667</v>
      </c>
      <c r="G93" s="4">
        <v>1426.4813185732289</v>
      </c>
      <c r="H93" s="5">
        <v>8.0742702132406681</v>
      </c>
      <c r="I93">
        <f t="shared" si="2"/>
        <v>2024</v>
      </c>
      <c r="J93" t="str">
        <f t="shared" si="3"/>
        <v>Aug</v>
      </c>
      <c r="K93" t="s">
        <v>18</v>
      </c>
    </row>
    <row r="94" spans="1:11" x14ac:dyDescent="0.25">
      <c r="A94">
        <v>93</v>
      </c>
      <c r="B94" s="2">
        <v>45479</v>
      </c>
      <c r="C94" t="s">
        <v>10</v>
      </c>
      <c r="D94">
        <v>11</v>
      </c>
      <c r="E94" s="4">
        <v>1826</v>
      </c>
      <c r="F94" s="4">
        <v>20086</v>
      </c>
      <c r="G94" s="4">
        <v>2164.923876755428</v>
      </c>
      <c r="H94" s="5">
        <v>10.77827281069117</v>
      </c>
      <c r="I94">
        <f t="shared" si="2"/>
        <v>2024</v>
      </c>
      <c r="J94" t="str">
        <f t="shared" si="3"/>
        <v>Jul</v>
      </c>
      <c r="K94" t="s">
        <v>20</v>
      </c>
    </row>
    <row r="95" spans="1:11" x14ac:dyDescent="0.25">
      <c r="A95">
        <v>94</v>
      </c>
      <c r="B95" s="2">
        <v>45671</v>
      </c>
      <c r="C95" t="s">
        <v>12</v>
      </c>
      <c r="D95">
        <v>15</v>
      </c>
      <c r="E95" s="4">
        <v>1646</v>
      </c>
      <c r="F95" s="4">
        <v>24690</v>
      </c>
      <c r="G95" s="4">
        <v>1553.5987278733251</v>
      </c>
      <c r="H95" s="5">
        <v>6.2924209310381736</v>
      </c>
      <c r="I95">
        <f t="shared" si="2"/>
        <v>2025</v>
      </c>
      <c r="J95" t="str">
        <f t="shared" si="3"/>
        <v>Jan</v>
      </c>
      <c r="K95" t="s">
        <v>19</v>
      </c>
    </row>
    <row r="96" spans="1:11" x14ac:dyDescent="0.25">
      <c r="A96">
        <v>95</v>
      </c>
      <c r="B96" s="2">
        <v>45784</v>
      </c>
      <c r="C96" t="s">
        <v>13</v>
      </c>
      <c r="D96">
        <v>6</v>
      </c>
      <c r="E96" s="4">
        <v>1964</v>
      </c>
      <c r="F96" s="4">
        <v>11784</v>
      </c>
      <c r="G96" s="4">
        <v>2474.6487403015481</v>
      </c>
      <c r="H96" s="5">
        <v>21.00007417092284</v>
      </c>
      <c r="I96">
        <f t="shared" si="2"/>
        <v>2025</v>
      </c>
      <c r="J96" t="str">
        <f t="shared" si="3"/>
        <v>May</v>
      </c>
      <c r="K96" t="s">
        <v>18</v>
      </c>
    </row>
    <row r="97" spans="1:11" x14ac:dyDescent="0.25">
      <c r="A97">
        <v>96</v>
      </c>
      <c r="B97" s="2">
        <v>45332</v>
      </c>
      <c r="C97" t="s">
        <v>9</v>
      </c>
      <c r="D97">
        <v>3</v>
      </c>
      <c r="E97" s="4">
        <v>1563</v>
      </c>
      <c r="F97" s="4">
        <v>4689</v>
      </c>
      <c r="G97" s="4">
        <v>497.85595470622411</v>
      </c>
      <c r="H97" s="5">
        <v>10.617529424317</v>
      </c>
      <c r="I97">
        <f t="shared" si="2"/>
        <v>2024</v>
      </c>
      <c r="J97" t="str">
        <f t="shared" si="3"/>
        <v>Feb</v>
      </c>
      <c r="K97" t="s">
        <v>17</v>
      </c>
    </row>
    <row r="98" spans="1:11" x14ac:dyDescent="0.25">
      <c r="A98">
        <v>97</v>
      </c>
      <c r="B98" s="2">
        <v>45448</v>
      </c>
      <c r="C98" t="s">
        <v>9</v>
      </c>
      <c r="D98">
        <v>17</v>
      </c>
      <c r="E98" s="4">
        <v>468</v>
      </c>
      <c r="F98" s="4">
        <v>7956</v>
      </c>
      <c r="G98" s="4">
        <v>755.84076013324704</v>
      </c>
      <c r="H98" s="5">
        <v>9.500260936818087</v>
      </c>
      <c r="I98">
        <f t="shared" si="2"/>
        <v>2024</v>
      </c>
      <c r="J98" t="str">
        <f t="shared" si="3"/>
        <v>Jun</v>
      </c>
      <c r="K98" t="s">
        <v>17</v>
      </c>
    </row>
    <row r="99" spans="1:11" x14ac:dyDescent="0.25">
      <c r="A99">
        <v>98</v>
      </c>
      <c r="B99" s="2">
        <v>45306</v>
      </c>
      <c r="C99" t="s">
        <v>10</v>
      </c>
      <c r="D99">
        <v>5</v>
      </c>
      <c r="E99" s="4">
        <v>739</v>
      </c>
      <c r="F99" s="4">
        <v>3695</v>
      </c>
      <c r="G99" s="4">
        <v>266.55322092621918</v>
      </c>
      <c r="H99" s="5">
        <v>7.2138896055810351</v>
      </c>
      <c r="I99">
        <f t="shared" si="2"/>
        <v>2024</v>
      </c>
      <c r="J99" t="str">
        <f t="shared" si="3"/>
        <v>Jan</v>
      </c>
      <c r="K99" t="s">
        <v>17</v>
      </c>
    </row>
    <row r="100" spans="1:11" x14ac:dyDescent="0.25">
      <c r="A100">
        <v>99</v>
      </c>
      <c r="B100" s="2">
        <v>45356</v>
      </c>
      <c r="C100" t="s">
        <v>11</v>
      </c>
      <c r="D100">
        <v>12</v>
      </c>
      <c r="E100" s="4">
        <v>899</v>
      </c>
      <c r="F100" s="4">
        <v>10788</v>
      </c>
      <c r="G100" s="4">
        <v>818.02425736347027</v>
      </c>
      <c r="H100" s="5">
        <v>7.5827239281003918</v>
      </c>
      <c r="I100">
        <f t="shared" si="2"/>
        <v>2024</v>
      </c>
      <c r="J100" t="str">
        <f t="shared" si="3"/>
        <v>Mar</v>
      </c>
      <c r="K100" t="s">
        <v>17</v>
      </c>
    </row>
    <row r="101" spans="1:11" x14ac:dyDescent="0.25">
      <c r="A101">
        <v>100</v>
      </c>
      <c r="B101" s="2">
        <v>45812</v>
      </c>
      <c r="C101" t="s">
        <v>8</v>
      </c>
      <c r="D101">
        <v>18</v>
      </c>
      <c r="E101" s="4">
        <v>111</v>
      </c>
      <c r="F101" s="4">
        <v>1998</v>
      </c>
      <c r="G101" s="4">
        <v>391.9430148710731</v>
      </c>
      <c r="H101" s="5">
        <v>19.616767511064719</v>
      </c>
      <c r="I101">
        <f t="shared" si="2"/>
        <v>2025</v>
      </c>
      <c r="J101" t="str">
        <f t="shared" si="3"/>
        <v>Jun</v>
      </c>
      <c r="K1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FE74-66E9-4412-9434-15E015C60BCE}">
  <dimension ref="A3:I124"/>
  <sheetViews>
    <sheetView zoomScale="112" zoomScaleNormal="112" workbookViewId="0">
      <selection activeCell="I114" sqref="I114"/>
    </sheetView>
  </sheetViews>
  <sheetFormatPr defaultRowHeight="15" x14ac:dyDescent="0.25"/>
  <cols>
    <col min="1" max="1" width="17.28515625" bestFit="1" customWidth="1"/>
    <col min="2" max="2" width="16.28515625" bestFit="1" customWidth="1"/>
    <col min="3" max="5" width="6" bestFit="1" customWidth="1"/>
    <col min="6" max="6" width="11.28515625" bestFit="1" customWidth="1"/>
    <col min="7" max="7" width="7.140625" bestFit="1" customWidth="1"/>
    <col min="8" max="8" width="6.5703125" bestFit="1" customWidth="1"/>
    <col min="9" max="9" width="11.28515625" bestFit="1" customWidth="1"/>
    <col min="10" max="10" width="14.42578125" bestFit="1" customWidth="1"/>
    <col min="11" max="11" width="9" bestFit="1" customWidth="1"/>
    <col min="12" max="14" width="6" bestFit="1" customWidth="1"/>
    <col min="15" max="15" width="12" bestFit="1" customWidth="1"/>
    <col min="16" max="16" width="9.28515625" bestFit="1" customWidth="1"/>
    <col min="17" max="18" width="6" bestFit="1" customWidth="1"/>
    <col min="19" max="19" width="5.28515625" bestFit="1" customWidth="1"/>
    <col min="20" max="20" width="12.28515625" bestFit="1" customWidth="1"/>
    <col min="21" max="21" width="10.140625" bestFit="1" customWidth="1"/>
    <col min="22" max="24" width="6" bestFit="1" customWidth="1"/>
    <col min="25" max="25" width="13.28515625" bestFit="1" customWidth="1"/>
    <col min="26" max="26" width="9" bestFit="1" customWidth="1"/>
    <col min="27" max="29" width="6" bestFit="1" customWidth="1"/>
    <col min="30" max="30" width="12" bestFit="1" customWidth="1"/>
    <col min="31" max="31" width="8.42578125" bestFit="1" customWidth="1"/>
    <col min="32" max="34" width="6" bestFit="1" customWidth="1"/>
    <col min="35" max="35" width="11.42578125" bestFit="1" customWidth="1"/>
    <col min="36" max="36" width="11.28515625" bestFit="1" customWidth="1"/>
  </cols>
  <sheetData>
    <row r="3" spans="1:2" x14ac:dyDescent="0.25">
      <c r="A3" s="6" t="s">
        <v>22</v>
      </c>
      <c r="B3" t="s">
        <v>24</v>
      </c>
    </row>
    <row r="4" spans="1:2" x14ac:dyDescent="0.25">
      <c r="A4" s="7" t="s">
        <v>11</v>
      </c>
      <c r="B4" s="4">
        <v>80865</v>
      </c>
    </row>
    <row r="5" spans="1:2" x14ac:dyDescent="0.25">
      <c r="A5" s="7" t="s">
        <v>14</v>
      </c>
      <c r="B5" s="4">
        <v>17982</v>
      </c>
    </row>
    <row r="6" spans="1:2" x14ac:dyDescent="0.25">
      <c r="A6" s="7" t="s">
        <v>8</v>
      </c>
      <c r="B6" s="4">
        <v>115406</v>
      </c>
    </row>
    <row r="7" spans="1:2" x14ac:dyDescent="0.25">
      <c r="A7" s="7" t="s">
        <v>12</v>
      </c>
      <c r="B7" s="4">
        <v>53810</v>
      </c>
    </row>
    <row r="8" spans="1:2" x14ac:dyDescent="0.25">
      <c r="A8" s="7" t="s">
        <v>9</v>
      </c>
      <c r="B8" s="4">
        <v>87288</v>
      </c>
    </row>
    <row r="9" spans="1:2" x14ac:dyDescent="0.25">
      <c r="A9" s="7" t="s">
        <v>13</v>
      </c>
      <c r="B9" s="4">
        <v>30960</v>
      </c>
    </row>
    <row r="10" spans="1:2" x14ac:dyDescent="0.25">
      <c r="A10" s="7" t="s">
        <v>10</v>
      </c>
      <c r="B10" s="4">
        <v>72703</v>
      </c>
    </row>
    <row r="11" spans="1:2" x14ac:dyDescent="0.25">
      <c r="A11" s="7" t="s">
        <v>23</v>
      </c>
      <c r="B11" s="4">
        <v>459014</v>
      </c>
    </row>
    <row r="12" spans="1:2" x14ac:dyDescent="0.25">
      <c r="B12" s="8">
        <f>SUM($B$4:$B$10)</f>
        <v>459014</v>
      </c>
    </row>
    <row r="14" spans="1:2" x14ac:dyDescent="0.25">
      <c r="A14" s="6" t="s">
        <v>22</v>
      </c>
      <c r="B14" t="s">
        <v>25</v>
      </c>
    </row>
    <row r="15" spans="1:2" x14ac:dyDescent="0.25">
      <c r="A15" s="7" t="s">
        <v>11</v>
      </c>
      <c r="B15" s="9">
        <v>62</v>
      </c>
    </row>
    <row r="16" spans="1:2" x14ac:dyDescent="0.25">
      <c r="A16" s="7" t="s">
        <v>14</v>
      </c>
      <c r="B16" s="9">
        <v>18</v>
      </c>
    </row>
    <row r="17" spans="1:2" x14ac:dyDescent="0.25">
      <c r="A17" s="7" t="s">
        <v>8</v>
      </c>
      <c r="B17" s="9">
        <v>115</v>
      </c>
    </row>
    <row r="18" spans="1:2" x14ac:dyDescent="0.25">
      <c r="A18" s="7" t="s">
        <v>12</v>
      </c>
      <c r="B18" s="9">
        <v>49</v>
      </c>
    </row>
    <row r="19" spans="1:2" x14ac:dyDescent="0.25">
      <c r="A19" s="7" t="s">
        <v>9</v>
      </c>
      <c r="B19" s="9">
        <v>84</v>
      </c>
    </row>
    <row r="20" spans="1:2" x14ac:dyDescent="0.25">
      <c r="A20" s="7" t="s">
        <v>13</v>
      </c>
      <c r="B20" s="9">
        <v>35</v>
      </c>
    </row>
    <row r="21" spans="1:2" x14ac:dyDescent="0.25">
      <c r="A21" s="7" t="s">
        <v>10</v>
      </c>
      <c r="B21" s="9">
        <v>57</v>
      </c>
    </row>
    <row r="22" spans="1:2" x14ac:dyDescent="0.25">
      <c r="A22" s="7" t="s">
        <v>23</v>
      </c>
      <c r="B22" s="9">
        <v>420</v>
      </c>
    </row>
    <row r="23" spans="1:2" x14ac:dyDescent="0.25">
      <c r="B23">
        <f>SUM(B15:B21)</f>
        <v>420</v>
      </c>
    </row>
    <row r="25" spans="1:2" x14ac:dyDescent="0.25">
      <c r="A25" s="6" t="s">
        <v>22</v>
      </c>
      <c r="B25" t="s">
        <v>26</v>
      </c>
    </row>
    <row r="26" spans="1:2" x14ac:dyDescent="0.25">
      <c r="A26" s="7" t="s">
        <v>11</v>
      </c>
      <c r="B26" s="4">
        <v>13764.320784415635</v>
      </c>
    </row>
    <row r="27" spans="1:2" x14ac:dyDescent="0.25">
      <c r="A27" s="7" t="s">
        <v>14</v>
      </c>
      <c r="B27" s="4">
        <v>3084.2032214964852</v>
      </c>
    </row>
    <row r="28" spans="1:2" x14ac:dyDescent="0.25">
      <c r="A28" s="7" t="s">
        <v>8</v>
      </c>
      <c r="B28" s="4">
        <v>14880.439605671319</v>
      </c>
    </row>
    <row r="29" spans="1:2" x14ac:dyDescent="0.25">
      <c r="A29" s="7" t="s">
        <v>12</v>
      </c>
      <c r="B29" s="4">
        <v>8065.3744462166305</v>
      </c>
    </row>
    <row r="30" spans="1:2" x14ac:dyDescent="0.25">
      <c r="A30" s="7" t="s">
        <v>9</v>
      </c>
      <c r="B30" s="4">
        <v>14815.221510262591</v>
      </c>
    </row>
    <row r="31" spans="1:2" x14ac:dyDescent="0.25">
      <c r="A31" s="7" t="s">
        <v>13</v>
      </c>
      <c r="B31" s="4">
        <v>6987.6156693595503</v>
      </c>
    </row>
    <row r="32" spans="1:2" x14ac:dyDescent="0.25">
      <c r="A32" s="7" t="s">
        <v>10</v>
      </c>
      <c r="B32" s="4">
        <v>15056.466437033974</v>
      </c>
    </row>
    <row r="33" spans="1:6" x14ac:dyDescent="0.25">
      <c r="A33" s="7" t="s">
        <v>23</v>
      </c>
      <c r="B33" s="4">
        <v>76653.641674456187</v>
      </c>
    </row>
    <row r="34" spans="1:6" x14ac:dyDescent="0.25">
      <c r="B34" s="4">
        <f>SUM(B26:B32)</f>
        <v>76653.641674456187</v>
      </c>
    </row>
    <row r="36" spans="1:6" x14ac:dyDescent="0.25">
      <c r="A36" s="6" t="s">
        <v>22</v>
      </c>
      <c r="B36" t="s">
        <v>28</v>
      </c>
    </row>
    <row r="37" spans="1:6" x14ac:dyDescent="0.25">
      <c r="A37" s="7" t="s">
        <v>11</v>
      </c>
      <c r="B37" s="5">
        <v>122.37588867095413</v>
      </c>
    </row>
    <row r="38" spans="1:6" x14ac:dyDescent="0.25">
      <c r="A38" s="7" t="s">
        <v>14</v>
      </c>
      <c r="B38" s="5">
        <v>70.286180076226316</v>
      </c>
    </row>
    <row r="39" spans="1:6" x14ac:dyDescent="0.25">
      <c r="A39" s="7" t="s">
        <v>8</v>
      </c>
      <c r="B39" s="5">
        <v>197.88544380592703</v>
      </c>
    </row>
    <row r="40" spans="1:6" x14ac:dyDescent="0.25">
      <c r="A40" s="7" t="s">
        <v>12</v>
      </c>
      <c r="B40" s="5">
        <v>110.97514048045943</v>
      </c>
    </row>
    <row r="41" spans="1:6" x14ac:dyDescent="0.25">
      <c r="A41" s="7" t="s">
        <v>9</v>
      </c>
      <c r="B41" s="5">
        <v>165.59032623220301</v>
      </c>
    </row>
    <row r="42" spans="1:6" x14ac:dyDescent="0.25">
      <c r="A42" s="7" t="s">
        <v>13</v>
      </c>
      <c r="B42" s="5">
        <v>100.95659794775017</v>
      </c>
    </row>
    <row r="43" spans="1:6" x14ac:dyDescent="0.25">
      <c r="A43" s="7" t="s">
        <v>10</v>
      </c>
      <c r="B43" s="5">
        <v>98.793969595641244</v>
      </c>
    </row>
    <row r="44" spans="1:6" x14ac:dyDescent="0.25">
      <c r="A44" s="7" t="s">
        <v>23</v>
      </c>
      <c r="B44" s="5">
        <v>866.86354680916133</v>
      </c>
      <c r="D44" s="5">
        <f>AVERAGE(Table1[Profit Percent])</f>
        <v>16.667153842945414</v>
      </c>
    </row>
    <row r="45" spans="1:6" x14ac:dyDescent="0.25">
      <c r="B45" s="5">
        <f>AVERAGE(Table1[Profit Percent])</f>
        <v>16.667153842945414</v>
      </c>
    </row>
    <row r="47" spans="1:6" x14ac:dyDescent="0.25">
      <c r="A47" s="6" t="s">
        <v>24</v>
      </c>
      <c r="B47" s="6" t="s">
        <v>29</v>
      </c>
    </row>
    <row r="48" spans="1:6" x14ac:dyDescent="0.25">
      <c r="A48" s="6" t="s">
        <v>22</v>
      </c>
      <c r="B48" t="s">
        <v>18</v>
      </c>
      <c r="C48" t="s">
        <v>19</v>
      </c>
      <c r="D48" t="s">
        <v>17</v>
      </c>
      <c r="E48" t="s">
        <v>20</v>
      </c>
      <c r="F48" t="s">
        <v>23</v>
      </c>
    </row>
    <row r="49" spans="1:6" x14ac:dyDescent="0.25">
      <c r="A49" s="7" t="s">
        <v>11</v>
      </c>
      <c r="B49" s="4">
        <v>29966</v>
      </c>
      <c r="C49" s="4"/>
      <c r="D49" s="4">
        <v>10151</v>
      </c>
      <c r="E49" s="4">
        <v>40748</v>
      </c>
      <c r="F49" s="4">
        <v>80865</v>
      </c>
    </row>
    <row r="50" spans="1:6" x14ac:dyDescent="0.25">
      <c r="A50" s="7" t="s">
        <v>14</v>
      </c>
      <c r="B50" s="4"/>
      <c r="C50" s="4">
        <v>4720</v>
      </c>
      <c r="D50" s="4">
        <v>9396</v>
      </c>
      <c r="E50" s="4">
        <v>3866</v>
      </c>
      <c r="F50" s="4">
        <v>17982</v>
      </c>
    </row>
    <row r="51" spans="1:6" x14ac:dyDescent="0.25">
      <c r="A51" s="7" t="s">
        <v>8</v>
      </c>
      <c r="B51" s="4">
        <v>72432</v>
      </c>
      <c r="C51" s="4">
        <v>5930</v>
      </c>
      <c r="D51" s="4">
        <v>10350</v>
      </c>
      <c r="E51" s="4">
        <v>26694</v>
      </c>
      <c r="F51" s="4">
        <v>115406</v>
      </c>
    </row>
    <row r="52" spans="1:6" x14ac:dyDescent="0.25">
      <c r="A52" s="7" t="s">
        <v>12</v>
      </c>
      <c r="B52" s="4">
        <v>3486</v>
      </c>
      <c r="C52" s="4">
        <v>38868</v>
      </c>
      <c r="D52" s="4">
        <v>11456</v>
      </c>
      <c r="E52" s="4"/>
      <c r="F52" s="4">
        <v>53810</v>
      </c>
    </row>
    <row r="53" spans="1:6" x14ac:dyDescent="0.25">
      <c r="A53" s="7" t="s">
        <v>9</v>
      </c>
      <c r="B53" s="4">
        <v>39643</v>
      </c>
      <c r="C53" s="4"/>
      <c r="D53" s="4">
        <v>13558</v>
      </c>
      <c r="E53" s="4">
        <v>34087</v>
      </c>
      <c r="F53" s="4">
        <v>87288</v>
      </c>
    </row>
    <row r="54" spans="1:6" x14ac:dyDescent="0.25">
      <c r="A54" s="7" t="s">
        <v>13</v>
      </c>
      <c r="B54" s="4">
        <v>11784</v>
      </c>
      <c r="C54" s="4">
        <v>1950</v>
      </c>
      <c r="D54" s="4"/>
      <c r="E54" s="4">
        <v>17226</v>
      </c>
      <c r="F54" s="4">
        <v>30960</v>
      </c>
    </row>
    <row r="55" spans="1:6" x14ac:dyDescent="0.25">
      <c r="A55" s="7" t="s">
        <v>10</v>
      </c>
      <c r="B55" s="4"/>
      <c r="C55" s="4">
        <v>42516</v>
      </c>
      <c r="D55" s="4"/>
      <c r="E55" s="4">
        <v>30187</v>
      </c>
      <c r="F55" s="4">
        <v>72703</v>
      </c>
    </row>
    <row r="56" spans="1:6" x14ac:dyDescent="0.25">
      <c r="A56" s="7" t="s">
        <v>23</v>
      </c>
      <c r="B56" s="4">
        <v>157311</v>
      </c>
      <c r="C56" s="4">
        <v>93984</v>
      </c>
      <c r="D56" s="4">
        <v>54911</v>
      </c>
      <c r="E56" s="4">
        <v>152808</v>
      </c>
      <c r="F56" s="4">
        <v>459014</v>
      </c>
    </row>
    <row r="59" spans="1:6" x14ac:dyDescent="0.25">
      <c r="A59" s="6" t="s">
        <v>22</v>
      </c>
      <c r="B59" t="s">
        <v>26</v>
      </c>
    </row>
    <row r="60" spans="1:6" x14ac:dyDescent="0.25">
      <c r="A60" s="7" t="s">
        <v>18</v>
      </c>
      <c r="B60" s="4">
        <v>20316.297938028063</v>
      </c>
    </row>
    <row r="61" spans="1:6" x14ac:dyDescent="0.25">
      <c r="A61" s="7" t="s">
        <v>19</v>
      </c>
      <c r="B61" s="4">
        <v>17355.659159446688</v>
      </c>
    </row>
    <row r="62" spans="1:6" x14ac:dyDescent="0.25">
      <c r="A62" s="7" t="s">
        <v>17</v>
      </c>
      <c r="B62" s="4">
        <v>10208.968766558788</v>
      </c>
    </row>
    <row r="63" spans="1:6" x14ac:dyDescent="0.25">
      <c r="A63" s="7" t="s">
        <v>20</v>
      </c>
      <c r="B63" s="4">
        <v>28772.71581042264</v>
      </c>
    </row>
    <row r="64" spans="1:6" x14ac:dyDescent="0.25">
      <c r="A64" s="7" t="s">
        <v>23</v>
      </c>
      <c r="B64" s="4">
        <v>76653.641674456172</v>
      </c>
    </row>
    <row r="67" spans="1:9" x14ac:dyDescent="0.25">
      <c r="A67" s="6" t="s">
        <v>25</v>
      </c>
      <c r="B67" s="6" t="s">
        <v>29</v>
      </c>
    </row>
    <row r="68" spans="1:9" x14ac:dyDescent="0.25">
      <c r="A68" s="6" t="s">
        <v>22</v>
      </c>
      <c r="B68">
        <v>2025</v>
      </c>
      <c r="C68" t="s">
        <v>23</v>
      </c>
    </row>
    <row r="69" spans="1:9" x14ac:dyDescent="0.25">
      <c r="A69" s="7" t="s">
        <v>11</v>
      </c>
      <c r="B69" s="9">
        <v>62</v>
      </c>
      <c r="C69" s="9">
        <v>62</v>
      </c>
    </row>
    <row r="70" spans="1:9" x14ac:dyDescent="0.25">
      <c r="A70" s="7" t="s">
        <v>14</v>
      </c>
      <c r="B70" s="9">
        <v>18</v>
      </c>
      <c r="C70" s="9">
        <v>18</v>
      </c>
    </row>
    <row r="71" spans="1:9" x14ac:dyDescent="0.25">
      <c r="A71" s="7" t="s">
        <v>8</v>
      </c>
      <c r="B71" s="9">
        <v>115</v>
      </c>
      <c r="C71" s="9">
        <v>115</v>
      </c>
    </row>
    <row r="72" spans="1:9" x14ac:dyDescent="0.25">
      <c r="A72" s="7" t="s">
        <v>12</v>
      </c>
      <c r="B72" s="9">
        <v>49</v>
      </c>
      <c r="C72" s="9">
        <v>49</v>
      </c>
    </row>
    <row r="73" spans="1:9" x14ac:dyDescent="0.25">
      <c r="A73" s="7" t="s">
        <v>9</v>
      </c>
      <c r="B73" s="9">
        <v>84</v>
      </c>
      <c r="C73" s="9">
        <v>84</v>
      </c>
    </row>
    <row r="74" spans="1:9" x14ac:dyDescent="0.25">
      <c r="A74" s="7" t="s">
        <v>13</v>
      </c>
      <c r="B74" s="9">
        <v>35</v>
      </c>
      <c r="C74" s="9">
        <v>35</v>
      </c>
    </row>
    <row r="75" spans="1:9" x14ac:dyDescent="0.25">
      <c r="A75" s="7" t="s">
        <v>10</v>
      </c>
      <c r="B75" s="9">
        <v>57</v>
      </c>
      <c r="C75" s="9">
        <v>57</v>
      </c>
    </row>
    <row r="76" spans="1:9" x14ac:dyDescent="0.25">
      <c r="A76" s="7" t="s">
        <v>23</v>
      </c>
      <c r="B76" s="9">
        <v>420</v>
      </c>
      <c r="C76" s="9">
        <v>420</v>
      </c>
    </row>
    <row r="79" spans="1:9" x14ac:dyDescent="0.25">
      <c r="A79" s="6" t="s">
        <v>25</v>
      </c>
      <c r="B79" s="6" t="s">
        <v>29</v>
      </c>
    </row>
    <row r="80" spans="1:9" x14ac:dyDescent="0.25">
      <c r="A80" s="6" t="s">
        <v>22</v>
      </c>
      <c r="B80" t="s">
        <v>11</v>
      </c>
      <c r="C80" t="s">
        <v>14</v>
      </c>
      <c r="D80" t="s">
        <v>8</v>
      </c>
      <c r="E80" t="s">
        <v>12</v>
      </c>
      <c r="F80" t="s">
        <v>9</v>
      </c>
      <c r="G80" t="s">
        <v>13</v>
      </c>
      <c r="H80" t="s">
        <v>10</v>
      </c>
      <c r="I80" t="s">
        <v>23</v>
      </c>
    </row>
    <row r="81" spans="1:9" x14ac:dyDescent="0.25">
      <c r="A81" s="7" t="s">
        <v>35</v>
      </c>
      <c r="B81" s="9"/>
      <c r="C81" s="9">
        <v>11</v>
      </c>
      <c r="D81" s="9">
        <v>6</v>
      </c>
      <c r="E81" s="9">
        <v>15</v>
      </c>
      <c r="F81" s="9">
        <v>4</v>
      </c>
      <c r="G81" s="9">
        <v>10</v>
      </c>
      <c r="H81" s="9">
        <v>1</v>
      </c>
      <c r="I81" s="9">
        <v>47</v>
      </c>
    </row>
    <row r="82" spans="1:9" x14ac:dyDescent="0.25">
      <c r="A82" s="7" t="s">
        <v>33</v>
      </c>
      <c r="B82" s="9"/>
      <c r="C82" s="9"/>
      <c r="D82" s="9">
        <v>11</v>
      </c>
      <c r="E82" s="9"/>
      <c r="F82" s="9"/>
      <c r="G82" s="9"/>
      <c r="H82" s="9">
        <v>19</v>
      </c>
      <c r="I82" s="9">
        <v>30</v>
      </c>
    </row>
    <row r="83" spans="1:9" x14ac:dyDescent="0.25">
      <c r="A83" s="7" t="s">
        <v>31</v>
      </c>
      <c r="B83" s="9">
        <v>14</v>
      </c>
      <c r="C83" s="9"/>
      <c r="D83" s="9">
        <v>7</v>
      </c>
      <c r="E83" s="9"/>
      <c r="F83" s="9">
        <v>6</v>
      </c>
      <c r="G83" s="9"/>
      <c r="H83" s="9"/>
      <c r="I83" s="9">
        <v>27</v>
      </c>
    </row>
    <row r="84" spans="1:9" x14ac:dyDescent="0.25">
      <c r="A84" s="7" t="s">
        <v>30</v>
      </c>
      <c r="B84" s="9">
        <v>18</v>
      </c>
      <c r="C84" s="9">
        <v>4</v>
      </c>
      <c r="D84" s="9">
        <v>3</v>
      </c>
      <c r="E84" s="9">
        <v>13</v>
      </c>
      <c r="F84" s="9">
        <v>23</v>
      </c>
      <c r="G84" s="9"/>
      <c r="H84" s="9">
        <v>6</v>
      </c>
      <c r="I84" s="9">
        <v>67</v>
      </c>
    </row>
    <row r="85" spans="1:9" x14ac:dyDescent="0.25">
      <c r="A85" s="7" t="s">
        <v>38</v>
      </c>
      <c r="B85" s="9"/>
      <c r="C85" s="9"/>
      <c r="D85" s="9">
        <v>25</v>
      </c>
      <c r="E85" s="9">
        <v>12</v>
      </c>
      <c r="F85" s="9"/>
      <c r="G85" s="9">
        <v>22</v>
      </c>
      <c r="H85" s="9"/>
      <c r="I85" s="9">
        <v>59</v>
      </c>
    </row>
    <row r="86" spans="1:9" x14ac:dyDescent="0.25">
      <c r="A86" s="7" t="s">
        <v>32</v>
      </c>
      <c r="B86" s="9"/>
      <c r="C86" s="9"/>
      <c r="D86" s="9">
        <v>18</v>
      </c>
      <c r="E86" s="9"/>
      <c r="F86" s="9"/>
      <c r="G86" s="9"/>
      <c r="H86" s="9"/>
      <c r="I86" s="9">
        <v>18</v>
      </c>
    </row>
    <row r="87" spans="1:9" x14ac:dyDescent="0.25">
      <c r="A87" s="7" t="s">
        <v>36</v>
      </c>
      <c r="B87" s="9"/>
      <c r="C87" s="9"/>
      <c r="D87" s="9">
        <v>39</v>
      </c>
      <c r="E87" s="9">
        <v>1</v>
      </c>
      <c r="F87" s="9">
        <v>6</v>
      </c>
      <c r="G87" s="9"/>
      <c r="H87" s="9">
        <v>8</v>
      </c>
      <c r="I87" s="9">
        <v>54</v>
      </c>
    </row>
    <row r="88" spans="1:9" x14ac:dyDescent="0.25">
      <c r="A88" s="7" t="s">
        <v>34</v>
      </c>
      <c r="B88" s="9"/>
      <c r="C88" s="9"/>
      <c r="D88" s="9"/>
      <c r="E88" s="9"/>
      <c r="F88" s="9"/>
      <c r="G88" s="9"/>
      <c r="H88" s="9">
        <v>19</v>
      </c>
      <c r="I88" s="9">
        <v>19</v>
      </c>
    </row>
    <row r="89" spans="1:9" x14ac:dyDescent="0.25">
      <c r="A89" s="7" t="s">
        <v>39</v>
      </c>
      <c r="B89" s="9"/>
      <c r="C89" s="9"/>
      <c r="D89" s="9"/>
      <c r="E89" s="9"/>
      <c r="F89" s="9"/>
      <c r="G89" s="9"/>
      <c r="H89" s="9">
        <v>4</v>
      </c>
      <c r="I89" s="9">
        <v>4</v>
      </c>
    </row>
    <row r="90" spans="1:9" x14ac:dyDescent="0.25">
      <c r="A90" s="7" t="s">
        <v>37</v>
      </c>
      <c r="B90" s="9"/>
      <c r="C90" s="9"/>
      <c r="D90" s="9">
        <v>4</v>
      </c>
      <c r="E90" s="9">
        <v>8</v>
      </c>
      <c r="F90" s="9"/>
      <c r="G90" s="9">
        <v>2</v>
      </c>
      <c r="H90" s="9"/>
      <c r="I90" s="9">
        <v>14</v>
      </c>
    </row>
    <row r="91" spans="1:9" x14ac:dyDescent="0.25">
      <c r="A91" s="7" t="s">
        <v>27</v>
      </c>
      <c r="B91" s="9">
        <v>4</v>
      </c>
      <c r="C91" s="9"/>
      <c r="D91" s="9"/>
      <c r="E91" s="9"/>
      <c r="F91" s="9">
        <v>28</v>
      </c>
      <c r="G91" s="9"/>
      <c r="H91" s="9"/>
      <c r="I91" s="9">
        <v>32</v>
      </c>
    </row>
    <row r="92" spans="1:9" x14ac:dyDescent="0.25">
      <c r="A92" s="7" t="s">
        <v>40</v>
      </c>
      <c r="B92" s="9">
        <v>26</v>
      </c>
      <c r="C92" s="9">
        <v>3</v>
      </c>
      <c r="D92" s="9">
        <v>2</v>
      </c>
      <c r="E92" s="9"/>
      <c r="F92" s="9">
        <v>17</v>
      </c>
      <c r="G92" s="9">
        <v>1</v>
      </c>
      <c r="H92" s="9"/>
      <c r="I92" s="9">
        <v>49</v>
      </c>
    </row>
    <row r="93" spans="1:9" x14ac:dyDescent="0.25">
      <c r="A93" s="7" t="s">
        <v>23</v>
      </c>
      <c r="B93" s="9">
        <v>62</v>
      </c>
      <c r="C93" s="9">
        <v>18</v>
      </c>
      <c r="D93" s="9">
        <v>115</v>
      </c>
      <c r="E93" s="9">
        <v>49</v>
      </c>
      <c r="F93" s="9">
        <v>84</v>
      </c>
      <c r="G93" s="9">
        <v>35</v>
      </c>
      <c r="H93" s="9">
        <v>57</v>
      </c>
      <c r="I93" s="9">
        <v>420</v>
      </c>
    </row>
    <row r="96" spans="1:9" x14ac:dyDescent="0.25">
      <c r="A96" s="6" t="s">
        <v>24</v>
      </c>
      <c r="B96" s="6" t="s">
        <v>29</v>
      </c>
    </row>
    <row r="97" spans="1:6" x14ac:dyDescent="0.25">
      <c r="A97" s="6" t="s">
        <v>22</v>
      </c>
      <c r="B97" t="s">
        <v>18</v>
      </c>
      <c r="C97" t="s">
        <v>19</v>
      </c>
      <c r="D97" t="s">
        <v>17</v>
      </c>
      <c r="E97" t="s">
        <v>20</v>
      </c>
      <c r="F97" t="s">
        <v>23</v>
      </c>
    </row>
    <row r="98" spans="1:6" x14ac:dyDescent="0.25">
      <c r="A98" s="7" t="s">
        <v>11</v>
      </c>
      <c r="B98" s="9">
        <v>29966</v>
      </c>
      <c r="C98" s="9"/>
      <c r="D98" s="9">
        <v>10151</v>
      </c>
      <c r="E98" s="9">
        <v>40748</v>
      </c>
      <c r="F98" s="9">
        <v>80865</v>
      </c>
    </row>
    <row r="99" spans="1:6" x14ac:dyDescent="0.25">
      <c r="A99" s="7" t="s">
        <v>8</v>
      </c>
      <c r="B99" s="9">
        <v>72432</v>
      </c>
      <c r="C99" s="9">
        <v>5930</v>
      </c>
      <c r="D99" s="9">
        <v>10350</v>
      </c>
      <c r="E99" s="9">
        <v>26694</v>
      </c>
      <c r="F99" s="9">
        <v>115406</v>
      </c>
    </row>
    <row r="100" spans="1:6" x14ac:dyDescent="0.25">
      <c r="A100" s="7" t="s">
        <v>12</v>
      </c>
      <c r="B100" s="9">
        <v>3486</v>
      </c>
      <c r="C100" s="9">
        <v>38868</v>
      </c>
      <c r="D100" s="9">
        <v>11456</v>
      </c>
      <c r="E100" s="9"/>
      <c r="F100" s="9">
        <v>53810</v>
      </c>
    </row>
    <row r="101" spans="1:6" x14ac:dyDescent="0.25">
      <c r="A101" s="7" t="s">
        <v>9</v>
      </c>
      <c r="B101" s="9">
        <v>39643</v>
      </c>
      <c r="C101" s="9"/>
      <c r="D101" s="9">
        <v>13558</v>
      </c>
      <c r="E101" s="9">
        <v>34087</v>
      </c>
      <c r="F101" s="9">
        <v>87288</v>
      </c>
    </row>
    <row r="102" spans="1:6" x14ac:dyDescent="0.25">
      <c r="A102" s="7" t="s">
        <v>10</v>
      </c>
      <c r="B102" s="9"/>
      <c r="C102" s="9">
        <v>42516</v>
      </c>
      <c r="D102" s="9"/>
      <c r="E102" s="9">
        <v>30187</v>
      </c>
      <c r="F102" s="9">
        <v>72703</v>
      </c>
    </row>
    <row r="103" spans="1:6" x14ac:dyDescent="0.25">
      <c r="A103" s="7" t="s">
        <v>23</v>
      </c>
      <c r="B103" s="9">
        <v>145527</v>
      </c>
      <c r="C103" s="9">
        <v>87314</v>
      </c>
      <c r="D103" s="9">
        <v>45515</v>
      </c>
      <c r="E103" s="9">
        <v>131716</v>
      </c>
      <c r="F103" s="9">
        <v>410072</v>
      </c>
    </row>
    <row r="117" spans="1:6" x14ac:dyDescent="0.25">
      <c r="A117" s="6" t="s">
        <v>24</v>
      </c>
      <c r="B117" s="6" t="s">
        <v>29</v>
      </c>
    </row>
    <row r="118" spans="1:6" x14ac:dyDescent="0.25">
      <c r="A118" s="6" t="s">
        <v>22</v>
      </c>
      <c r="B118" t="s">
        <v>18</v>
      </c>
      <c r="C118" t="s">
        <v>19</v>
      </c>
      <c r="D118" t="s">
        <v>17</v>
      </c>
      <c r="E118" t="s">
        <v>20</v>
      </c>
      <c r="F118" t="s">
        <v>23</v>
      </c>
    </row>
    <row r="119" spans="1:6" x14ac:dyDescent="0.25">
      <c r="A119" s="7" t="s">
        <v>11</v>
      </c>
      <c r="B119" s="9">
        <v>29966</v>
      </c>
      <c r="C119" s="9"/>
      <c r="D119" s="9">
        <v>10151</v>
      </c>
      <c r="E119" s="9">
        <v>40748</v>
      </c>
      <c r="F119" s="9">
        <v>80865</v>
      </c>
    </row>
    <row r="120" spans="1:6" x14ac:dyDescent="0.25">
      <c r="A120" s="7" t="s">
        <v>14</v>
      </c>
      <c r="B120" s="9"/>
      <c r="C120" s="9">
        <v>4720</v>
      </c>
      <c r="D120" s="9">
        <v>9396</v>
      </c>
      <c r="E120" s="9">
        <v>3866</v>
      </c>
      <c r="F120" s="9">
        <v>17982</v>
      </c>
    </row>
    <row r="121" spans="1:6" x14ac:dyDescent="0.25">
      <c r="A121" s="7" t="s">
        <v>12</v>
      </c>
      <c r="B121" s="9">
        <v>3486</v>
      </c>
      <c r="C121" s="9">
        <v>38868</v>
      </c>
      <c r="D121" s="9">
        <v>11456</v>
      </c>
      <c r="E121" s="9"/>
      <c r="F121" s="9">
        <v>53810</v>
      </c>
    </row>
    <row r="122" spans="1:6" x14ac:dyDescent="0.25">
      <c r="A122" s="7" t="s">
        <v>13</v>
      </c>
      <c r="B122" s="9">
        <v>11784</v>
      </c>
      <c r="C122" s="9">
        <v>1950</v>
      </c>
      <c r="D122" s="9"/>
      <c r="E122" s="9">
        <v>17226</v>
      </c>
      <c r="F122" s="9">
        <v>30960</v>
      </c>
    </row>
    <row r="123" spans="1:6" x14ac:dyDescent="0.25">
      <c r="A123" s="7" t="s">
        <v>10</v>
      </c>
      <c r="B123" s="9"/>
      <c r="C123" s="9">
        <v>42516</v>
      </c>
      <c r="D123" s="9"/>
      <c r="E123" s="9">
        <v>30187</v>
      </c>
      <c r="F123" s="9">
        <v>72703</v>
      </c>
    </row>
    <row r="124" spans="1:6" x14ac:dyDescent="0.25">
      <c r="A124" s="7" t="s">
        <v>23</v>
      </c>
      <c r="B124" s="9">
        <v>45236</v>
      </c>
      <c r="C124" s="9">
        <v>88054</v>
      </c>
      <c r="D124" s="9">
        <v>31003</v>
      </c>
      <c r="E124" s="9">
        <v>92027</v>
      </c>
      <c r="F124" s="9">
        <v>256320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7EC9-7E51-464F-B194-E956EA1F3E40}">
  <dimension ref="A1"/>
  <sheetViews>
    <sheetView tabSelected="1" zoomScale="95" zoomScaleNormal="95" workbookViewId="0">
      <selection activeCell="Y16" sqref="Y1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9130-44FF-4951-AC3E-1B54553907F3}">
  <dimension ref="A1"/>
  <sheetViews>
    <sheetView zoomScale="95" zoomScaleNormal="9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BD9BF-C3B9-4AFA-AEA6-927096669CE3}">
  <dimension ref="A1"/>
  <sheetViews>
    <sheetView zoomScale="95" zoomScaleNormal="9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A8D0-F0C5-46B4-92D3-4F0F6B711903}">
  <dimension ref="A1"/>
  <sheetViews>
    <sheetView zoomScale="95" zoomScaleNormal="95" workbookViewId="0">
      <selection activeCell="S14" sqref="S14"/>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8242-D81F-43FB-8A6A-B18979EB024E}">
  <dimension ref="A1"/>
  <sheetViews>
    <sheetView zoomScale="95" zoomScaleNormal="9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3E8A7-DB07-4E6C-9F9F-4175627104D9}">
  <dimension ref="A1"/>
  <sheetViews>
    <sheetView zoomScale="95" zoomScaleNormal="9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pivots</vt:lpstr>
      <vt:lpstr>new main</vt:lpstr>
      <vt:lpstr>sales</vt:lpstr>
      <vt:lpstr>profit</vt:lpstr>
      <vt:lpstr>Sheet1</vt:lpstr>
      <vt:lpstr>top sales</vt:lpstr>
      <vt:lpstr>botttom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Sosa</dc:creator>
  <cp:lastModifiedBy>Aakash Sosa</cp:lastModifiedBy>
  <dcterms:created xsi:type="dcterms:W3CDTF">2025-09-24T20:18:27Z</dcterms:created>
  <dcterms:modified xsi:type="dcterms:W3CDTF">2025-11-20T16:40:29Z</dcterms:modified>
</cp:coreProperties>
</file>